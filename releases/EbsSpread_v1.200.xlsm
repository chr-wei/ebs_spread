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3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5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ctrlProps/ctrlProp15.xml" ContentType="application/vnd.ms-excel.controlproperties+xml"/>
  <Override PartName="/xl/tables/table18.xml" ContentType="application/vnd.openxmlformats-officedocument.spreadsheetml.table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9.xml" ContentType="application/vnd.openxmlformats-officedocument.spreadsheetml.table+xml"/>
  <Override PartName="/xl/drawings/drawing8.xml" ContentType="application/vnd.openxmlformats-officedocument.drawing+xml"/>
  <Override PartName="/xl/ctrlProps/ctrlProp20.xml" ContentType="application/vnd.ms-excel.controlproperties+xml"/>
  <Override PartName="/xl/tables/table20.xml" ContentType="application/vnd.openxmlformats-officedocument.spreadsheetml.table+xml"/>
  <Override PartName="/xl/drawings/drawing9.xml" ContentType="application/vnd.openxmlformats-officedocument.drawing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10.xml" ContentType="application/vnd.openxmlformats-officedocument.drawing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\Documents\Projects\EbsSpread\bin\"/>
    </mc:Choice>
  </mc:AlternateContent>
  <xr:revisionPtr revIDLastSave="0" documentId="13_ncr:1_{60878751-43B6-4E5A-AD1A-1E40877570DF}" xr6:coauthVersionLast="45" xr6:coauthVersionMax="45" xr10:uidLastSave="{00000000-0000-0000-0000-000000000000}"/>
  <bookViews>
    <workbookView xWindow="-120" yWindow="-120" windowWidth="24240" windowHeight="13140" tabRatio="813" firstSheet="1" activeTab="1" xr2:uid="{DAA936AD-5BF0-425A-A8EF-49858B3BE9B8}"/>
  </bookViews>
  <sheets>
    <sheet name="VSHEET_STOR_7E980E" sheetId="1432" state="hidden" r:id="rId1"/>
    <sheet name="Planning" sheetId="1" r:id="rId2"/>
    <sheet name="tEB5070FA0A50A1350" sheetId="1433" state="hidden" r:id="rId3"/>
    <sheet name="t27A0206F6E4FA6801" sheetId="1434" state="hidden" r:id="rId4"/>
    <sheet name="t75D774E7EE48EF5A9" sheetId="1435" state="hidden" r:id="rId5"/>
    <sheet name="EbsSheet (Me)" sheetId="1430" r:id="rId6"/>
    <sheet name="Analysis" sheetId="1004" r:id="rId7"/>
    <sheet name="Settings" sheetId="418" r:id="rId8"/>
    <sheet name="Messages" sheetId="1390" r:id="rId9"/>
    <sheet name="Task sheet template" sheetId="5" state="hidden" r:id="rId10"/>
    <sheet name="Version info" sheetId="3" r:id="rId11"/>
    <sheet name="List validation data" sheetId="1425" state="hidden" r:id="rId12"/>
    <sheet name="EbsSheet template" sheetId="440" state="hidden" r:id="rId13"/>
  </sheets>
  <functionGroups builtInGroupCount="19"/>
  <definedNames>
    <definedName name="_Tag_1Vdata">'List validation data'!$D$3:$D$4</definedName>
    <definedName name="_Tag_2Vdata">'List validation data'!$C$3</definedName>
    <definedName name="_Tag_3Vdata">'List validation data'!$A$3:$A$23</definedName>
    <definedName name="ContributorVdata">'List validation data'!$B$3</definedName>
    <definedName name="Kanban_listVdata">'List validation data'!$E$3:$E$23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7" i="1435" l="1"/>
  <c r="B4" i="1435" s="1"/>
  <c r="D17" i="1434"/>
  <c r="B4" i="1434" s="1"/>
  <c r="D19" i="1433"/>
  <c r="D18" i="1433"/>
  <c r="D17" i="1433"/>
  <c r="D80" i="1432"/>
  <c r="D79" i="1432"/>
  <c r="B73" i="1432" s="1"/>
  <c r="D59" i="1432"/>
  <c r="D58" i="1432"/>
  <c r="B45" i="1432" s="1"/>
  <c r="B52" i="1432"/>
  <c r="D38" i="1432"/>
  <c r="B32" i="1432" s="1"/>
  <c r="D18" i="1432"/>
  <c r="B12" i="1432" s="1"/>
  <c r="L23" i="1435" l="1"/>
  <c r="M23" i="1435" s="1"/>
  <c r="L22" i="1435"/>
  <c r="M22" i="1435" s="1"/>
  <c r="L21" i="1435"/>
  <c r="M21" i="1435" s="1"/>
  <c r="L20" i="1435"/>
  <c r="M20" i="1435" s="1"/>
  <c r="L19" i="1435"/>
  <c r="M19" i="1435" s="1"/>
  <c r="L17" i="1435"/>
  <c r="M17" i="1435" s="1"/>
  <c r="L18" i="1435"/>
  <c r="M18" i="1435" s="1"/>
  <c r="B11" i="1435"/>
  <c r="L23" i="1434"/>
  <c r="M23" i="1434" s="1"/>
  <c r="L22" i="1434"/>
  <c r="M22" i="1434" s="1"/>
  <c r="L21" i="1434"/>
  <c r="M21" i="1434" s="1"/>
  <c r="L20" i="1434"/>
  <c r="M20" i="1434" s="1"/>
  <c r="L19" i="1434"/>
  <c r="M19" i="1434" s="1"/>
  <c r="L17" i="1434"/>
  <c r="M17" i="1434" s="1"/>
  <c r="L18" i="1434"/>
  <c r="M18" i="1434" s="1"/>
  <c r="B11" i="1434"/>
  <c r="B4" i="1433"/>
  <c r="L23" i="1433"/>
  <c r="M23" i="1433" s="1"/>
  <c r="L22" i="1433"/>
  <c r="M22" i="1433" s="1"/>
  <c r="L21" i="1433"/>
  <c r="M21" i="1433" s="1"/>
  <c r="L20" i="1433"/>
  <c r="M20" i="1433" s="1"/>
  <c r="L19" i="1433"/>
  <c r="M19" i="1433" s="1"/>
  <c r="L17" i="1433"/>
  <c r="M17" i="1433" s="1"/>
  <c r="L18" i="1433"/>
  <c r="M18" i="1433" s="1"/>
  <c r="B66" i="1432"/>
  <c r="B11" i="1433"/>
  <c r="B25" i="1432"/>
  <c r="B5" i="1432"/>
  <c r="D17" i="5"/>
  <c r="B4" i="5" s="1"/>
  <c r="L17" i="5" l="1"/>
  <c r="B11" i="5"/>
  <c r="J4" i="418"/>
  <c r="M1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tc={1091B406-9F52-4589-8D93-67E9BCF9C841}</author>
  </authors>
  <commentList>
    <comment ref="P18" authorId="0" shapeId="0" xr:uid="{1091B406-9F52-4589-8D93-67E9BCF9C84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sharedStrings.xml><?xml version="1.0" encoding="utf-8"?>
<sst xmlns="http://schemas.openxmlformats.org/spreadsheetml/2006/main" count="698" uniqueCount="237">
  <si>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</si>
  <si>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</si>
  <si>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</si>
  <si>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</si>
  <si>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</si>
  <si>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</si>
  <si>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</si>
  <si>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</si>
  <si>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</si>
  <si>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</si>
  <si>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</si>
  <si>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</si>
  <si>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</si>
  <si>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</si>
  <si>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</si>
  <si>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</si>
  <si>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</si>
  <si>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</si>
  <si>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</si>
  <si>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</si>
  <si>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</si>
  <si>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</si>
  <si>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</si>
  <si>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</si>
  <si>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</si>
  <si>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</si>
  <si>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</si>
  <si>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</si>
  <si>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</si>
  <si>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</si>
  <si>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</si>
  <si>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</si>
  <si>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</si>
  <si>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</si>
  <si>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</si>
  <si>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</si>
  <si>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</si>
  <si>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</si>
  <si>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</si>
  <si>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</si>
  <si>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</si>
  <si>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</si>
  <si>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</si>
  <si>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</si>
  <si>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</si>
  <si>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</si>
  <si>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</si>
  <si>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</si>
  <si>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</si>
  <si>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</si>
  <si>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</si>
  <si>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</si>
  <si>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</si>
  <si>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</si>
  <si>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</si>
  <si>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</si>
  <si>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</si>
  <si>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</si>
  <si>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</si>
  <si>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</si>
  <si>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</si>
  <si>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</si>
  <si>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</si>
  <si>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</si>
  <si>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</si>
  <si>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</si>
  <si>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</si>
  <si>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</si>
  <si>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</si>
  <si>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</si>
  <si>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</si>
  <si>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</si>
  <si>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</si>
  <si>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</si>
  <si>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</si>
  <si>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</si>
  <si>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</si>
  <si>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</si>
  <si>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</si>
  <si>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</si>
  <si>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</si>
  <si>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</si>
  <si>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</si>
  <si>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</si>
  <si>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</si>
  <si>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</si>
  <si>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Calendar ID</t>
  </si>
  <si>
    <t>Store ID</t>
  </si>
  <si>
    <t>Store ID temp</t>
  </si>
  <si>
    <t>Calendar ID temp</t>
  </si>
  <si>
    <t>Calendar path temp</t>
  </si>
  <si>
    <t>To do</t>
  </si>
  <si>
    <t>N/A</t>
  </si>
  <si>
    <t>%Tag * HEADERS</t>
  </si>
  <si>
    <t>%Tag * VALUES</t>
  </si>
  <si>
    <t>v1.093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</si>
  <si>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</si>
  <si>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</si>
  <si>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</si>
  <si>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</si>
  <si>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</si>
  <si>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Split end</t>
  </si>
  <si>
    <t>Split start</t>
  </si>
  <si>
    <t>Get the time spent of filtered tasks (visible on planning sheet)</t>
  </si>
  <si>
    <t>Span start</t>
  </si>
  <si>
    <t>Span end</t>
  </si>
  <si>
    <t>Split interval</t>
  </si>
  <si>
    <t>Time spent</t>
  </si>
  <si>
    <t>Split entry no.</t>
  </si>
  <si>
    <t>Mon</t>
  </si>
  <si>
    <t>FirstDayOfWeek</t>
  </si>
  <si>
    <t>d</t>
  </si>
  <si>
    <t>ImportedTaskPostfix</t>
  </si>
  <si>
    <t>Message no.</t>
  </si>
  <si>
    <t>Message</t>
  </si>
  <si>
    <t>Severity</t>
  </si>
  <si>
    <t>Timestamp</t>
  </si>
  <si>
    <t>Caller</t>
  </si>
  <si>
    <t>v1.100</t>
  </si>
  <si>
    <t>Add message handler</t>
  </si>
  <si>
    <t>Replace string collections with dictionaries</t>
  </si>
  <si>
    <t>v1.094</t>
  </si>
  <si>
    <t>Add analysis sheet</t>
  </si>
  <si>
    <t>Change task import export modules to use virtual sheet(s)</t>
  </si>
  <si>
    <t>Copying high user estimate to task sheet value if date was entered in mask</t>
  </si>
  <si>
    <t>Add DoEvents for long-running operations</t>
  </si>
  <si>
    <t>#000001</t>
  </si>
  <si>
    <t>#000002</t>
  </si>
  <si>
    <t>Day</t>
  </si>
  <si>
    <t>Created on</t>
  </si>
  <si>
    <t>In progress</t>
  </si>
  <si>
    <t>Done</t>
  </si>
  <si>
    <t>Note</t>
  </si>
  <si>
    <t>Continuous</t>
  </si>
  <si>
    <t>Meta</t>
  </si>
  <si>
    <t>Kanban list validation data is not managed dynamically</t>
  </si>
  <si>
    <t>Now?</t>
  </si>
  <si>
    <t>Template version</t>
  </si>
  <si>
    <t>v02</t>
  </si>
  <si>
    <t>&gt; Imports all visible task of 'Planning' sheet</t>
  </si>
  <si>
    <t>&gt; Imports all tasks which are contained in 'EXP_STOR_ …' sheet(s)</t>
  </si>
  <si>
    <t>Export/import</t>
  </si>
  <si>
    <t xml:space="preserve"> (imported)</t>
  </si>
  <si>
    <t>Testing/Review</t>
  </si>
  <si>
    <t>#1</t>
  </si>
  <si>
    <t>#2</t>
  </si>
  <si>
    <t>Einarbeitung</t>
  </si>
  <si>
    <t>Satrotec</t>
  </si>
  <si>
    <t>Weiterbildung</t>
  </si>
  <si>
    <t>VBA</t>
  </si>
  <si>
    <t>mv;Sprint6</t>
  </si>
  <si>
    <t>Sprint6</t>
  </si>
  <si>
    <t>Sprint8</t>
  </si>
  <si>
    <t>Sprint7</t>
  </si>
  <si>
    <t>Sprint 9</t>
  </si>
  <si>
    <t>Sprint 10</t>
  </si>
  <si>
    <t>Tiso</t>
  </si>
  <si>
    <t>Sprint 11</t>
  </si>
  <si>
    <t>Sprint 12</t>
  </si>
  <si>
    <t>Sprint 14</t>
  </si>
  <si>
    <t>Sprint 17</t>
  </si>
  <si>
    <t>Sprint 13</t>
  </si>
  <si>
    <t>Sprint 18</t>
  </si>
  <si>
    <t>Sprint 19</t>
  </si>
  <si>
    <t>Prozess;Sprint 19</t>
  </si>
  <si>
    <t>EBS 80% date</t>
  </si>
  <si>
    <t>#3</t>
  </si>
  <si>
    <t>#4</t>
  </si>
  <si>
    <t>#5</t>
  </si>
  <si>
    <t>te</t>
  </si>
  <si>
    <t>v1.200</t>
  </si>
  <si>
    <t>\\my.mail@provider.com\Calendar</t>
  </si>
  <si>
    <t>0000000038A1BB1005E5101AA1BB058002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</si>
  <si>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00000000F593AB5CD8A4614C8B14C1E4C84EFB870100D67807C5E37E4B47A653892DF42F73BD00000000010D0000</t>
  </si>
  <si>
    <t>TryCatch handler now handles all kind of errors. Users do not have to enter debugging mode</t>
  </si>
  <si>
    <t xml:space="preserve">Change calendar standard: Use optional events as 'busy'-time </t>
  </si>
  <si>
    <t>Clipboard is now cleared when data is copied</t>
  </si>
  <si>
    <t>Improved stability and error handling</t>
  </si>
  <si>
    <t>Long-running operations can be stopped via progress bar</t>
  </si>
  <si>
    <t>Implement feature to auto-format task list</t>
  </si>
  <si>
    <t>Tasks now have  a creation date internally stored for extended analysis</t>
  </si>
  <si>
    <t>Change appearance of task list: Add more space and prevent long fields textoverflow with spacer columns</t>
  </si>
  <si>
    <t>Progress bars indicate state of long-running operations</t>
  </si>
  <si>
    <t>Task order is now preserved when tasks are exported and imported again</t>
  </si>
  <si>
    <t>Time of meta tasks can now be shared: Track time on one meta task and split time on all visible tasks afterwards </t>
  </si>
  <si>
    <t>t5D6D3C17A703516B0</t>
  </si>
  <si>
    <t>.</t>
  </si>
  <si>
    <t>Buy strawberries</t>
  </si>
  <si>
    <t>t56897537B7D0EB0ED</t>
  </si>
  <si>
    <t>Buy apples</t>
  </si>
  <si>
    <t>tE95456FD28B05D24F</t>
  </si>
  <si>
    <t>#000003</t>
  </si>
  <si>
    <t>Buy soy beans</t>
  </si>
  <si>
    <t>t17D002B34366981BE</t>
  </si>
  <si>
    <t>#000004</t>
  </si>
  <si>
    <t>Have a chat with the store owner</t>
  </si>
  <si>
    <t>fruits</t>
  </si>
  <si>
    <t>{%Tag 1}</t>
  </si>
  <si>
    <t>{fruits}</t>
  </si>
  <si>
    <t>other</t>
  </si>
  <si>
    <t>{other}</t>
  </si>
  <si>
    <t>important</t>
  </si>
  <si>
    <t>{%Tag 1;%Tag 2}</t>
  </si>
  <si>
    <t>{fruits;important}</t>
  </si>
  <si>
    <t>{%Tag 2}</t>
  </si>
  <si>
    <t>{important}</t>
  </si>
  <si>
    <t>SetPlainDelta()</t>
  </si>
  <si>
    <t>SetCalendarDelta()</t>
  </si>
  <si>
    <t>{0,050;0,200;0,350;0,500;0,650;0,800;0,950}</t>
  </si>
  <si>
    <t>tEB5070FA0A50A1350</t>
  </si>
  <si>
    <t>#000005</t>
  </si>
  <si>
    <t>Find shopping cart</t>
  </si>
  <si>
    <t>VIRTUAL_SHEET_NAME</t>
  </si>
  <si>
    <t>VIRTUAL_SHEET_RANGE_ROWS</t>
  </si>
  <si>
    <t>VIRTUAL_SHEET_RANGE_COLS</t>
  </si>
  <si>
    <t>#000006</t>
  </si>
  <si>
    <t>#000007</t>
  </si>
  <si>
    <t>t27A0206F6E4FA6801</t>
  </si>
  <si>
    <t>Buy rice</t>
  </si>
  <si>
    <t>{1,000;1,000;1,000;1,000;1,000;3,875;1,000;1,000;1,000;1,000;1,000;1,000;3,875;1,000;3,875;1,000;1,000;1,000;3,875;1,000;1,000;1,000;3,875;1,000;1,000;1,000;1,000;1,000;3,875;3,875;1,000;1,000;1,000;1,000;1,000;3,875;1,000;1,000;1,000;3,875;1,000;1,000;1,000;3,875;3,875;3,875;3,875;1,000;1,000;1,000}</t>
  </si>
  <si>
    <t>{0,579;0,579;0,579;0,579;0,579;3,454;0,579;0,579;0,579;0,579;0,579;0,579;3,454;0,579;3,454;0,579;0,579;0,579;3,454;0,579;0,579;0,579;3,454;0,579;0,579;0,579;0,579;0,579;3,454;3,454;0,579;0,579;0,579;0,579;0,579;3,454;0,579;0,579;0,579;3,454;0,579;0,579;0,579;3,454;3,454;3,454;3,454;0,579;0,579;0,579}</t>
  </si>
  <si>
    <t>{0,579;0,579;0,579;0,579;0,579;3,454;3,454}</t>
  </si>
  <si>
    <t>{02/09/2020 08:34:45;02/09/2020 08:34:45;02/09/2020 08:34:45;02/09/2020 08:34:45;02/09/2020 08:34:45;02/09/2020 11:27:15;02/09/2020 11:27:15}</t>
  </si>
  <si>
    <t>{5,812;1,500;1,500;1,500;5,812;1,500;1,500;1,500;1,500;1,500;1,500;5,812;5,812;5,812;5,812;5,812;1,500;1,500;5,812;1,500;1,500;1,500;5,812;5,812;5,812;5,812;1,500;1,500;1,500;1,500;5,812;5,812;1,500;5,812;5,812;1,500;1,500;5,812;5,812;1,500;1,500;5,812;1,500;1,500;5,812;1,500;5,812;1,500;5,812;1,500}</t>
  </si>
  <si>
    <t>{5,562;1,250;1,250;1,250;5,562;1,250;1,250;1,250;1,250;1,250;1,250;5,562;5,562;5,562;5,562;5,562;1,250;1,250;5,562;1,250;1,250;1,250;5,562;5,562;5,562;5,562;1,250;1,250;1,250;1,250;5,562;5,562;1,250;5,562;5,562;1,250;1,250;5,562;5,562;1,250;1,250;5,562;1,250;1,250;5,562;1,250;5,562;1,250;5,562;1,250}</t>
  </si>
  <si>
    <t>{6,142;1,829;1,829;1,829;6,142;4,704;1,829;1,829;1,829;1,829;1,829;6,142;9,017;6,142;9,017;6,142;1,829;1,829;9,017;1,829;1,829;1,829;9,017;6,142;6,142;6,142;1,829;1,829;4,704;4,704;6,142;6,142;1,829;6,142;6,142;4,704;1,829;6,142;6,142;4,704;1,829;6,142;1,829;4,704;9,017;4,704;9,017;1,829;6,142;1,829}</t>
  </si>
  <si>
    <t>{1,829;1,829;1,829;4,704;6,142;6,142;9,017}</t>
  </si>
  <si>
    <t>{02/09/2020 09:49:45;02/09/2020 09:49:45;02/09/2020 09:49:45;02/09/2020 12:42:15;02/09/2020 14:08:30;02/09/2020 14:08:30;02/09/2020 17:01:00}</t>
  </si>
  <si>
    <t>{3,000;11,625;11,625;3,000;11,625;3,000;11,625;3,000;3,000;3,000;3,000;11,625;11,625;3,000;3,000;3,000;11,625;11,625;3,000;3,000;11,625;3,000;3,000;3,000;3,000;11,625;11,625;11,625;11,625;11,625;3,000;11,625;11,625;3,000;11,625;11,625;3,000;11,625;11,625;11,625;3,000;11,625;3,000;3,000;11,625;11,625;3,000;11,625;11,625;3,000}</t>
  </si>
  <si>
    <t>{9,142;13,454;13,454;4,829;17,767;7,704;13,454;4,829;4,829;4,829;4,829;17,767;20,642;9,142;12,017;9,142;13,454;13,454;12,017;4,829;13,454;4,829;12,017;9,142;9,142;17,767;13,454;13,454;16,329;16,329;9,142;17,767;13,454;9,142;17,767;16,329;4,829;17,767;17,767;16,329;4,829;17,767;4,829;7,704;20,642;16,329;12,017;13,454;17,767;4,829}</t>
  </si>
  <si>
    <t>{4,829;5,979;9,142;13,454;13,454;17,767;18,557}</t>
  </si>
  <si>
    <t>{02/09/2020 12:49:45;02/09/2020 13:58:45;02/09/2020 17:08:30;03/09/2020 10:57:15;03/09/2020 10:57:15;03/09/2020 15:16:00;03/09/2020 16:03:26}</t>
  </si>
  <si>
    <t>e3560A743F45056773</t>
  </si>
  <si>
    <t>{0,516;2,000;2,000}</t>
  </si>
  <si>
    <t>t75D774E7EE48EF5A9</t>
  </si>
  <si>
    <t>Take a milk carton</t>
  </si>
  <si>
    <t>Watch best before note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</si>
</sst>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93D07B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medium">
        <color theme="0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59">
    <xf numFmtId="0" fontId="0" fillId="0" borderId="0" xfId="0"/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0" fontId="11" fillId="7" borderId="0" xfId="4"/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2" fillId="9" borderId="3" xfId="0" applyFont="1" applyFill="1" applyBorder="1"/>
    <xf numFmtId="14" fontId="0" fillId="8" borderId="0" xfId="0" applyNumberFormat="1" applyFill="1" applyAlignment="1">
      <alignment horizontal="center"/>
    </xf>
    <xf numFmtId="0" fontId="4" fillId="0" borderId="0" xfId="0" applyFont="1" applyFill="1"/>
    <xf numFmtId="22" fontId="4" fillId="0" borderId="0" xfId="0" applyNumberFormat="1" applyFont="1" applyFill="1"/>
    <xf numFmtId="2" fontId="4" fillId="0" borderId="0" xfId="0" applyNumberFormat="1" applyFont="1" applyFill="1"/>
    <xf numFmtId="22" fontId="12" fillId="9" borderId="3" xfId="0" applyNumberFormat="1" applyFont="1" applyFill="1" applyBorder="1"/>
    <xf numFmtId="0" fontId="6" fillId="0" borderId="0" xfId="1" applyFill="1"/>
    <xf numFmtId="22" fontId="6" fillId="0" borderId="0" xfId="1" applyNumberFormat="1" applyFill="1"/>
    <xf numFmtId="0" fontId="6" fillId="4" borderId="0" xfId="0" applyFont="1" applyFill="1" applyAlignment="1">
      <alignment horizontal="center"/>
    </xf>
    <xf numFmtId="0" fontId="6" fillId="0" borderId="0" xfId="1"/>
    <xf numFmtId="0" fontId="0" fillId="0" borderId="0" xfId="0" applyFill="1"/>
    <xf numFmtId="2" fontId="0" fillId="0" borderId="0" xfId="0" applyNumberFormat="1" applyFill="1"/>
    <xf numFmtId="0" fontId="13" fillId="0" borderId="0" xfId="0" applyFont="1"/>
    <xf numFmtId="0" fontId="6" fillId="0" borderId="0" xfId="1" applyAlignment="1">
      <alignment vertical="center"/>
    </xf>
    <xf numFmtId="0" fontId="0" fillId="0" borderId="0" xfId="0" applyAlignment="1">
      <alignment vertical="center"/>
    </xf>
    <xf numFmtId="0" fontId="0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2" fontId="0" fillId="0" borderId="0" xfId="0" applyNumberFormat="1" applyFont="1" applyFill="1" applyAlignment="1">
      <alignment vertical="center"/>
    </xf>
    <xf numFmtId="0" fontId="7" fillId="0" borderId="0" xfId="2" applyFont="1" applyFill="1" applyAlignment="1">
      <alignment horizontal="left" vertical="center" indent="1"/>
    </xf>
    <xf numFmtId="0" fontId="7" fillId="0" borderId="0" xfId="0" applyFont="1" applyFill="1" applyAlignment="1">
      <alignment horizontal="left" vertical="center" indent="1"/>
    </xf>
    <xf numFmtId="0" fontId="6" fillId="0" borderId="0" xfId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4" fillId="0" borderId="0" xfId="1" applyFont="1" applyFill="1" applyAlignment="1">
      <alignment horizontal="left" vertical="center" indent="1"/>
    </xf>
    <xf numFmtId="2" fontId="7" fillId="0" borderId="0" xfId="0" applyNumberFormat="1" applyFont="1" applyFill="1" applyAlignment="1">
      <alignment horizontal="left" vertical="center" indent="1"/>
    </xf>
    <xf numFmtId="14" fontId="14" fillId="0" borderId="0" xfId="1" applyNumberFormat="1" applyFont="1" applyFill="1" applyAlignment="1">
      <alignment horizontal="left" vertical="center" indent="1"/>
    </xf>
    <xf numFmtId="0" fontId="4" fillId="4" borderId="2" xfId="3" applyFont="1" applyFill="1" applyBorder="1" applyAlignment="1">
      <alignment horizontal="left"/>
    </xf>
    <xf numFmtId="0" fontId="4" fillId="4" borderId="0" xfId="3" applyFont="1" applyFill="1" applyBorder="1" applyAlignment="1">
      <alignment horizontal="left"/>
    </xf>
    <xf numFmtId="0" fontId="7" fillId="10" borderId="0" xfId="2" applyFont="1" applyFill="1"/>
    <xf numFmtId="22" fontId="7" fillId="0" borderId="0" xfId="0" applyNumberFormat="1" applyFont="1" applyFill="1" applyAlignment="1">
      <alignment horizontal="left" vertical="center" indent="1"/>
    </xf>
  </cellXfs>
  <cellStyles count="5">
    <cellStyle name="Eingabe" xfId="3" builtinId="20"/>
    <cellStyle name="Link" xfId="2" builtinId="8"/>
    <cellStyle name="Schlecht" xfId="4" builtinId="27"/>
    <cellStyle name="Spaltenebene_1" xfId="1" builtinId="2" iLevel="0"/>
    <cellStyle name="Standard" xfId="0" builtinId="0"/>
  </cellStyles>
  <dxfs count="116"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fgColor auto="1"/>
          <bgColor rgb="FF7030A0"/>
        </patternFill>
      </fill>
    </dxf>
    <dxf>
      <font>
        <color rgb="FFFF6600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theme="4" tint="0.39994506668294322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b/>
        <i val="0"/>
        <color rgb="FF00B0F0"/>
      </font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19" formatCode="dd/mm/yyyy"/>
    </dxf>
    <dxf>
      <numFmt numFmtId="2" formatCode="0.00"/>
    </dxf>
    <dxf>
      <numFmt numFmtId="2" formatCode="0.00"/>
    </dxf>
    <dxf>
      <numFmt numFmtId="19" formatCode="dd/mm/yyyy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</dxfs>
  <tableStyles count="0" defaultTableStyle="TableStyleMedium2" defaultPivotStyle="PivotStyleLight16"/>
  <colors>
    <mruColors>
      <color rgb="FFFF6600"/>
      <color rgb="FFFF3300"/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01/09/2020 19:54:16</c:v>
          </c:tx>
          <c:spPr>
            <a:ln w="2222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0.5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C-5960-4682-8919-BE581BA42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20%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1"/>
              <c:pt idx="0">
                <c:v>44075.829351851855</c:v>
              </c:pt>
            </c:numLit>
          </c:xVal>
          <c:yVal>
            <c:numLit>
              <c:formatCode>General</c:formatCode>
              <c:ptCount val="1"/>
              <c:pt idx="0">
                <c:v>6.9855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C-635A-459A-80B0-BF4100F20E8F}"/>
            </c:ext>
          </c:extLst>
        </c:ser>
        <c:ser>
          <c:idx val="1"/>
          <c:order val="1"/>
          <c:tx>
            <c:v>50%</c:v>
          </c:tx>
          <c:spPr>
            <a:ln w="1587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1"/>
              <c:pt idx="0">
                <c:v>44075.829351851855</c:v>
              </c:pt>
            </c:numLit>
          </c:xVal>
          <c:yVal>
            <c:numLit>
              <c:formatCode>General</c:formatCode>
              <c:ptCount val="1"/>
              <c:pt idx="0">
                <c:v>11.298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D-635A-459A-80B0-BF4100F20E8F}"/>
            </c:ext>
          </c:extLst>
        </c:ser>
        <c:ser>
          <c:idx val="2"/>
          <c:order val="2"/>
          <c:tx>
            <c:v>80%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1"/>
              <c:pt idx="0">
                <c:v>44075.829351851855</c:v>
              </c:pt>
            </c:numLit>
          </c:xVal>
          <c:yVal>
            <c:numLit>
              <c:formatCode>General</c:formatCode>
              <c:ptCount val="1"/>
              <c:pt idx="0">
                <c:v>16.005500000000001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E-635A-459A-80B0-BF4100F20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EBS estimation time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dd/mm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2</xdr:row>
      <xdr:rowOff>0</xdr:rowOff>
    </xdr:from>
    <xdr:to>
      <xdr:col>2</xdr:col>
      <xdr:colOff>1438274</xdr:colOff>
      <xdr:row>3</xdr:row>
      <xdr:rowOff>190500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8</xdr:col>
      <xdr:colOff>342900</xdr:colOff>
      <xdr:row>3</xdr:row>
      <xdr:rowOff>190500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8</xdr:col>
      <xdr:colOff>342900</xdr:colOff>
      <xdr:row>3</xdr:row>
      <xdr:rowOff>190500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12</xdr:col>
      <xdr:colOff>0</xdr:colOff>
      <xdr:row>2</xdr:row>
      <xdr:rowOff>0</xdr:rowOff>
    </xdr:from>
    <xdr:to>
      <xdr:col>13</xdr:col>
      <xdr:colOff>533400</xdr:colOff>
      <xdr:row>3</xdr:row>
      <xdr:rowOff>190500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20</xdr:col>
      <xdr:colOff>0</xdr:colOff>
      <xdr:row>2</xdr:row>
      <xdr:rowOff>0</xdr:rowOff>
    </xdr:from>
    <xdr:to>
      <xdr:col>23</xdr:col>
      <xdr:colOff>571500</xdr:colOff>
      <xdr:row>3</xdr:row>
      <xdr:rowOff>190500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</xdr:colOff>
          <xdr:row>0</xdr:row>
          <xdr:rowOff>85725</xdr:rowOff>
        </xdr:from>
        <xdr:to>
          <xdr:col>2</xdr:col>
          <xdr:colOff>952500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66675</xdr:colOff>
          <xdr:row>0</xdr:row>
          <xdr:rowOff>85725</xdr:rowOff>
        </xdr:from>
        <xdr:to>
          <xdr:col>8</xdr:col>
          <xdr:colOff>228600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409575</xdr:colOff>
          <xdr:row>0</xdr:row>
          <xdr:rowOff>352425</xdr:rowOff>
        </xdr:from>
        <xdr:to>
          <xdr:col>6</xdr:col>
          <xdr:colOff>19050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409575</xdr:colOff>
          <xdr:row>0</xdr:row>
          <xdr:rowOff>85725</xdr:rowOff>
        </xdr:from>
        <xdr:to>
          <xdr:col>6</xdr:col>
          <xdr:colOff>19050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1038225</xdr:colOff>
          <xdr:row>0</xdr:row>
          <xdr:rowOff>561975</xdr:rowOff>
        </xdr:from>
        <xdr:to>
          <xdr:col>4</xdr:col>
          <xdr:colOff>66675</xdr:colOff>
          <xdr:row>0</xdr:row>
          <xdr:rowOff>771525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1047750</xdr:colOff>
          <xdr:row>0</xdr:row>
          <xdr:rowOff>85725</xdr:rowOff>
        </xdr:from>
        <xdr:to>
          <xdr:col>4</xdr:col>
          <xdr:colOff>76200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266700</xdr:colOff>
          <xdr:row>0</xdr:row>
          <xdr:rowOff>76200</xdr:rowOff>
        </xdr:from>
        <xdr:to>
          <xdr:col>11</xdr:col>
          <xdr:colOff>0</xdr:colOff>
          <xdr:row>0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266700</xdr:colOff>
          <xdr:row>0</xdr:row>
          <xdr:rowOff>333375</xdr:rowOff>
        </xdr:from>
        <xdr:to>
          <xdr:col>11</xdr:col>
          <xdr:colOff>0</xdr:colOff>
          <xdr:row>0</xdr:row>
          <xdr:rowOff>552450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57150</xdr:colOff>
          <xdr:row>0</xdr:row>
          <xdr:rowOff>66675</xdr:rowOff>
        </xdr:from>
        <xdr:to>
          <xdr:col>13</xdr:col>
          <xdr:colOff>781050</xdr:colOff>
          <xdr:row>0</xdr:row>
          <xdr:rowOff>285750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57150</xdr:colOff>
          <xdr:row>0</xdr:row>
          <xdr:rowOff>333375</xdr:rowOff>
        </xdr:from>
        <xdr:to>
          <xdr:col>13</xdr:col>
          <xdr:colOff>781050</xdr:colOff>
          <xdr:row>0</xdr:row>
          <xdr:rowOff>552450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0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10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66675</xdr:colOff>
          <xdr:row>0</xdr:row>
          <xdr:rowOff>352425</xdr:rowOff>
        </xdr:from>
        <xdr:to>
          <xdr:col>8</xdr:col>
          <xdr:colOff>228600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0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266700</xdr:colOff>
          <xdr:row>0</xdr:row>
          <xdr:rowOff>590550</xdr:rowOff>
        </xdr:from>
        <xdr:to>
          <xdr:col>11</xdr:col>
          <xdr:colOff>0</xdr:colOff>
          <xdr:row>0</xdr:row>
          <xdr:rowOff>809625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0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</xdr:colOff>
          <xdr:row>0</xdr:row>
          <xdr:rowOff>590550</xdr:rowOff>
        </xdr:from>
        <xdr:to>
          <xdr:col>13</xdr:col>
          <xdr:colOff>790575</xdr:colOff>
          <xdr:row>0</xdr:row>
          <xdr:rowOff>809625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0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list 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</xdr:colOff>
          <xdr:row>0</xdr:row>
          <xdr:rowOff>609600</xdr:rowOff>
        </xdr:from>
        <xdr:to>
          <xdr:col>8</xdr:col>
          <xdr:colOff>219075</xdr:colOff>
          <xdr:row>1</xdr:row>
          <xdr:rowOff>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0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Share Meta task time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15</xdr:row>
      <xdr:rowOff>0</xdr:rowOff>
    </xdr:from>
    <xdr:to>
      <xdr:col>9</xdr:col>
      <xdr:colOff>1304925</xdr:colOff>
      <xdr:row>17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1D2E169-617C-4FA7-9878-5BA984E312C2}"/>
            </a:ext>
          </a:extLst>
        </xdr:cNvPr>
        <xdr:cNvSpPr/>
      </xdr:nvSpPr>
      <xdr:spPr bwMode="auto">
        <a:xfrm>
          <a:off x="7600950" y="2857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15</xdr:row>
      <xdr:rowOff>0</xdr:rowOff>
    </xdr:from>
    <xdr:to>
      <xdr:col>12</xdr:col>
      <xdr:colOff>514350</xdr:colOff>
      <xdr:row>17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3017DFD-C785-4759-BC20-D874C07D8C73}"/>
            </a:ext>
          </a:extLst>
        </xdr:cNvPr>
        <xdr:cNvSpPr/>
      </xdr:nvSpPr>
      <xdr:spPr bwMode="auto">
        <a:xfrm>
          <a:off x="9096375" y="2857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15</xdr:row>
      <xdr:rowOff>0</xdr:rowOff>
    </xdr:from>
    <xdr:to>
      <xdr:col>9</xdr:col>
      <xdr:colOff>1304925</xdr:colOff>
      <xdr:row>17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B1D4DECB-8EC8-4DA3-902A-68FC8437DD1B}"/>
            </a:ext>
          </a:extLst>
        </xdr:cNvPr>
        <xdr:cNvSpPr/>
      </xdr:nvSpPr>
      <xdr:spPr bwMode="auto">
        <a:xfrm>
          <a:off x="7600950" y="2857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15</xdr:row>
      <xdr:rowOff>0</xdr:rowOff>
    </xdr:from>
    <xdr:to>
      <xdr:col>12</xdr:col>
      <xdr:colOff>514350</xdr:colOff>
      <xdr:row>17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8F945E46-1E35-429A-ABA8-D8335207630D}"/>
            </a:ext>
          </a:extLst>
        </xdr:cNvPr>
        <xdr:cNvSpPr/>
      </xdr:nvSpPr>
      <xdr:spPr bwMode="auto">
        <a:xfrm>
          <a:off x="9096375" y="2857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15</xdr:row>
      <xdr:rowOff>0</xdr:rowOff>
    </xdr:from>
    <xdr:to>
      <xdr:col>9</xdr:col>
      <xdr:colOff>1304925</xdr:colOff>
      <xdr:row>17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C824C3D8-C4DC-4099-A3A7-9DB74B443524}"/>
            </a:ext>
          </a:extLst>
        </xdr:cNvPr>
        <xdr:cNvSpPr/>
      </xdr:nvSpPr>
      <xdr:spPr bwMode="auto">
        <a:xfrm>
          <a:off x="7600950" y="2857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15</xdr:row>
      <xdr:rowOff>0</xdr:rowOff>
    </xdr:from>
    <xdr:to>
      <xdr:col>12</xdr:col>
      <xdr:colOff>514350</xdr:colOff>
      <xdr:row>17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1668109B-CCB0-43B0-A8C4-3AF788CE324D}"/>
            </a:ext>
          </a:extLst>
        </xdr:cNvPr>
        <xdr:cNvSpPr/>
      </xdr:nvSpPr>
      <xdr:spPr bwMode="auto">
        <a:xfrm>
          <a:off x="9096375" y="2857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985C837-69A4-4BBF-B0DB-63CAA2123766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25AA0225-F903-4D8E-B2BC-275A292E1B46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F314D704-AA6D-4B36-BC3D-CBE7BBFF080B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55B1F905-6AD8-4BE8-823C-2F8AF01B5DD9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CF64177E-8C83-4095-A3FC-20791875FE59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FA9D9E87-BBB0-44B1-9251-21901BEAE08A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657389B7-4B10-433F-B2BA-DD40E965A323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99E3134B-6985-43B7-B328-465270F954E2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63948528-9E19-4F7A-8D74-2D1CAECF06E8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114F2848-F2AC-457D-B814-F669DF5EAFD7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AC544F2-4727-4308-87D3-487CDBB9931C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68BE8758-A572-43B3-A681-7C61AF165BB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35B47671-8123-4F33-8CC5-90AF477A45EF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923EA48-E20D-4A4D-8C90-87C9BD0B90C6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8FBE2144-51B7-4FBC-87D6-F754D738D247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83F9A294-689A-4AEA-B521-3AC2A605E63F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144D3B28-B8C6-454A-B1BD-A437B031D7E4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BCE7C6A9-0A44-486C-8057-968AC1DE0928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1DBB3C84-91AC-4C12-9F45-7F3E24AD8FFF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323E5FD8-FCB3-4761-B8F4-06E7F7AAB084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B37AEE9A-D53F-4E2C-AF31-B218CD8B331C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278985A-F40C-4779-935F-7CA404311063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7070939D-FB60-4E5F-BA1F-F82A08A26832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1E2C6983-1CA3-4EFD-8B25-C193C83EBBBE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62F4A6D4-05BF-4E3A-837B-FEAD8C22B424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7D32461D-FDC1-4565-B07F-E9CB70B862D9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85C07F1D-8D2F-4BA1-9544-B40CC64B8EF9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4E71E94D-BE23-420B-BA91-F166FB462BA4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A4E9539E-69A8-4F24-9CCF-FFCE5F75A7EA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BEFB30E3-5B2A-4878-B2EA-6AE7D1ADFD4B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3A9BAFC1-1D7B-4F60-8EAB-43DD4D71150F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DD03906-073F-4073-96A0-C6BFC7D69539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5273A0CB-D107-44A5-AE6C-A0E322E89223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14568446-9DA5-4E4F-BAC2-7FE5584C6FC8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A624214C-0CC5-4B74-A94E-249021B4C841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955DCACE-89EC-4D56-90EB-16759E0E506B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8E9D987F-F120-4E83-8B93-AB11E90F3D5E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6A0B7C2B-135C-4E70-BD95-B993F5348F0A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9F80EB3B-0D7C-41DB-9168-9006B82A836C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A40320F2-4A2C-4AD2-A9FD-1211602D38EB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88F87F5C-56B6-4B03-8DCA-E921052998DC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A47C3945-FCE9-4762-81F2-4AF2D44BACBA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2D553D2-B9F4-46E7-9996-0D4F89964D8A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3F54296D-876E-4ADA-BECB-2ECAD402C366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21A8387A-FAC0-46E6-8F6A-01B3A618F735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566A5AAC-A9FF-40CF-A258-C812C654287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25C9B2B7-020B-4C87-BD74-CA6EA8A439B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C1808E30-D328-479A-9AB8-474B627CE1B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187B8F90-E22F-42A1-93AB-4FB0370292D3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162BCC7D-8E8F-4ECC-9144-B2BD554EF664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48E7C47B-35C2-49E1-BDBC-321C3AAEF302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BBE6AD9-A108-4C8B-9524-F36A18740C64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A0B95A34-2D6B-493A-887A-E53B488FA11E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11A10738-B2F8-453F-82B8-1DC58FA3B6A3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355FC4B-B4F8-48E1-8469-F1AA0111C53C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C0661CAD-D5A6-4580-B87F-D4EDDDA2D4EB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39EAE147-983F-4980-B21F-68674CE523B2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1D99ED65-4CBB-422F-8A7E-F0D675A00906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3DDFA6D1-0D50-4005-AB26-E1FECE1E581C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AB1F3CCA-D958-4F38-ADFB-5D37B6D0555F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B7CFAD9F-D00E-4E33-8160-91FDFE638C14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4976AC40-2A22-43A6-B5FC-E4B76D90E184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6C60ABDC-0A04-4514-9111-9FA3C6860B8B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6500A9AB-BD1F-4AE4-B39B-7FA44FA17C0F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3194ACAB-466F-41BA-B1FD-15CDCAF1DB91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83CD634-3613-4563-B13C-2DFAA76DC10E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34092425-C5A5-439A-ABB8-CC1A7E18035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4B3392BE-545E-4C6C-9316-E8E1E634AE45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EE2212FC-83BE-462C-AEF5-104175F55C75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CB738995-13B6-4685-BBE8-2FA79DA2D3E4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3A8E3318-1E8E-4B60-8AD8-335C8587F16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4A3B526F-7B30-428C-8774-67782F8836D8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26B19559-3324-43FF-8FFD-C36C17AD5DBF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29C9603E-8073-4CC6-8BCE-EFEF352C95C7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8C52CF6D-A46D-43F2-9C0D-C18C2C57972C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A6E0D50D-6331-4B8A-B907-585F077CF0D2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EB64CF8-3C6C-4AFB-AE1D-86D978E8B607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E4332989-080E-4DDB-94CC-40CB30546CC9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7357FE-F27D-4DFC-B2DD-EF00C9BE64A3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B4D019B8-6AE1-4B4D-859F-BF9C7F2B4F1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C2A03F25-93E2-4DF3-BD3B-CD6DA01A0B0F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42A08356-5586-442C-82C4-CACFBE8A6F58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E6E52596-1E8D-4E6A-9C19-F452F028B2D1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5A8D8A55-D3F0-4A74-9EFC-2FC0F891CD35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CF8182C1-8092-48BD-8489-84F506C3BF7A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5EB79173-B8B4-42C2-B2C6-2850D434B125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72DFC239-9C0A-495B-B8D1-7BE052D1C324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55073B2-3F21-4C05-9F40-351F62B4F82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2FBFE08A-13E4-4BD7-A0E5-9BBE834C1361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4DF1B173-E6BC-45F8-80D0-835294E57B95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F02859B3-032F-4949-89BC-93A6671D1EBE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CD8889F9-D09F-45DB-84B8-79E49CAEB486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9B0B609B-45FA-40F4-B06F-83A812459644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A236798B-E619-44EA-97E2-F6E0514FF06F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94EEB458-0046-45B3-99F6-6B721BFE3741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59523902-A872-4121-93D2-663B6D156DCF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2D9BFAC-95DE-4292-9C9C-B0376EDE3E1C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99" name="Diagramm 98">
          <a:extLst>
            <a:ext uri="{FF2B5EF4-FFF2-40B4-BE49-F238E27FC236}">
              <a16:creationId xmlns:a16="http://schemas.microsoft.com/office/drawing/2014/main" id="{D92672E0-A0B0-42D6-9011-1D62541AC17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0" name="Diagramm 99">
          <a:extLst>
            <a:ext uri="{FF2B5EF4-FFF2-40B4-BE49-F238E27FC236}">
              <a16:creationId xmlns:a16="http://schemas.microsoft.com/office/drawing/2014/main" id="{B80A6516-08B6-491B-BB06-DB5493060A1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</xdr:row>
          <xdr:rowOff>57150</xdr:rowOff>
        </xdr:from>
        <xdr:to>
          <xdr:col>1</xdr:col>
          <xdr:colOff>314325</xdr:colOff>
          <xdr:row>5</xdr:row>
          <xdr:rowOff>285750</xdr:rowOff>
        </xdr:to>
        <xdr:sp macro="" textlink="">
          <xdr:nvSpPr>
            <xdr:cNvPr id="863233" name="Button 1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01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time spent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171450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2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9</xdr:row>
          <xdr:rowOff>171450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2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20</xdr:row>
          <xdr:rowOff>0</xdr:rowOff>
        </xdr:from>
        <xdr:to>
          <xdr:col>0</xdr:col>
          <xdr:colOff>1638300</xdr:colOff>
          <xdr:row>21</xdr:row>
          <xdr:rowOff>19050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2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21</xdr:row>
          <xdr:rowOff>190500</xdr:rowOff>
        </xdr:from>
        <xdr:to>
          <xdr:col>0</xdr:col>
          <xdr:colOff>1638300</xdr:colOff>
          <xdr:row>23</xdr:row>
          <xdr:rowOff>19050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2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1</xdr:col>
          <xdr:colOff>533400</xdr:colOff>
          <xdr:row>1</xdr:row>
          <xdr:rowOff>114300</xdr:rowOff>
        </xdr:to>
        <xdr:sp macro="" textlink="">
          <xdr:nvSpPr>
            <xdr:cNvPr id="869377" name="Button 1" hidden="1">
              <a:extLst>
                <a:ext uri="{63B3BB69-23CF-44E3-9099-C40C66FF867C}">
                  <a14:compatExt spid="_x0000_s869377"/>
                </a:ext>
                <a:ext uri="{FF2B5EF4-FFF2-40B4-BE49-F238E27FC236}">
                  <a16:creationId xmlns:a16="http://schemas.microsoft.com/office/drawing/2014/main" id="{00000000-0008-0000-0300-0000014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messages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15</xdr:row>
      <xdr:rowOff>0</xdr:rowOff>
    </xdr:from>
    <xdr:to>
      <xdr:col>9</xdr:col>
      <xdr:colOff>1304925</xdr:colOff>
      <xdr:row>17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15</xdr:row>
      <xdr:rowOff>0</xdr:rowOff>
    </xdr:from>
    <xdr:to>
      <xdr:col>12</xdr:col>
      <xdr:colOff>514350</xdr:colOff>
      <xdr:row>17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7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7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D5323EF-9894-43AD-894C-1270B7A7E2BB}" name="TimeEntries219" displayName="TimeEntries219" ref="A17:G18" totalsRowShown="0">
  <autoFilter ref="A17:G18" xr:uid="{C1B46F38-53CA-468C-880B-8AF50886C288}"/>
  <sortState xmlns:xlrd2="http://schemas.microsoft.com/office/spreadsheetml/2017/richdata2" ref="A18:E18">
    <sortCondition ref="A16:A17"/>
  </sortState>
  <tableColumns count="7">
    <tableColumn id="1" xr3:uid="{AEF33289-6A1B-4C2A-921F-11678DB18C23}" name="Time entry no."/>
    <tableColumn id="2" xr3:uid="{345F041B-6FB0-4A50-9DD6-06E33032476D}" name="Start time" dataDxfId="91"/>
    <tableColumn id="3" xr3:uid="{0064C978-E7CD-401B-8217-0BCD34CF3CDE}" name="End time" dataDxfId="90"/>
    <tableColumn id="4" xr3:uid="{91AEF141-E126-4FD3-9EA5-633D16B1512D}" name="Time delta in h" dataDxfId="89">
      <calculatedColumnFormula>MAX((TimeEntries219[[#This Row],[End time]]-TimeEntries219[[#This Row],[Start time]])*24,0)</calculatedColumnFormula>
    </tableColumn>
    <tableColumn id="5" xr3:uid="{EB3A6B22-8261-4A6C-9A47-5D82C4DCA27B}" name="Now?"/>
    <tableColumn id="6" xr3:uid="{8BB4C211-F4FC-4C78-9F46-DCFDCED03893}" name="Action1"/>
    <tableColumn id="7" xr3:uid="{522C0BEB-2FFA-4F31-92E0-37EAF680252A}" name="Action2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E662D94-9495-43FA-B43A-03651A3B9D28}" name="Tabelle7367520" displayName="Tabelle7367520" ref="I17:M18" insertRow="1" totalsRowShown="0">
  <autoFilter ref="I17:M18" xr:uid="{99709765-D27E-4279-A948-4522FF7E2EAF}"/>
  <tableColumns count="5">
    <tableColumn id="1" xr3:uid="{320D0AE7-C69E-4B8B-9969-4D619DC36312}" name="Comparison entry no."/>
    <tableColumn id="2" xr3:uid="{DC4BBA7C-212D-4234-8DA1-0ED3249453CF}" name="Propability Support point" dataDxfId="88"/>
    <tableColumn id="3" xr3:uid="{F2DE7DD9-CFAC-4C4F-8C17-0EE40D19CB31}" name="EBS self time" dataDxfId="87"/>
    <tableColumn id="4" xr3:uid="{D2EF57B9-36E0-407E-AF5D-1229F2B0D532}" name="Total time">
      <calculatedColumnFormula>SUM(#REF!)</calculatedColumnFormula>
    </tableColumn>
    <tableColumn id="5" xr3:uid="{FBAF9902-4C74-4F8E-A1AE-D2DEF18ACA73}" name="Total time / Your estimate" dataDxfId="86">
      <calculatedColumnFormula>Tabelle7367520[[#This Row],[EBS self time]]/Tabelle7367520[[#This Row],[Total time]]</calculatedColumnFormula>
    </tableColumn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09864DA-1C66-4C3B-B8F9-0DCA10AA16D3}" name="TimeEntries621" displayName="TimeEntries621" ref="A37:G38" totalsRowShown="0">
  <autoFilter ref="A37:G38" xr:uid="{7843B51D-ECCC-4B9A-A0AA-7E4DFDC739DB}"/>
  <sortState xmlns:xlrd2="http://schemas.microsoft.com/office/spreadsheetml/2017/richdata2" ref="A38:E38">
    <sortCondition ref="A16:A17"/>
  </sortState>
  <tableColumns count="7">
    <tableColumn id="1" xr3:uid="{D25FD1FD-824C-4012-AB1E-FD0AA9A74B7D}" name="Time entry no."/>
    <tableColumn id="2" xr3:uid="{3AF1FFEB-F9CD-4D13-BDD3-CAB1F2D00506}" name="Start time" dataDxfId="85"/>
    <tableColumn id="3" xr3:uid="{F9B0C56E-2A4E-442C-8E26-12F005547824}" name="End time" dataDxfId="84"/>
    <tableColumn id="4" xr3:uid="{5FD01BC5-E314-4B41-BE60-F4B02F05B0E4}" name="Time delta in h" dataDxfId="83">
      <calculatedColumnFormula>MAX((TimeEntries621[[#This Row],[End time]]-TimeEntries621[[#This Row],[Start time]])*24,0)</calculatedColumnFormula>
    </tableColumn>
    <tableColumn id="5" xr3:uid="{F362D1DC-9A52-4504-A4EA-5BD025005C9C}" name="Now?"/>
    <tableColumn id="6" xr3:uid="{5A21DA37-CA26-418B-8327-280E917685C8}" name="Action1" dataDxfId="82" dataCellStyle="Link"/>
    <tableColumn id="7" xr3:uid="{C12FB733-3C79-4BCD-A6E9-DDE7AAA64EED}" name="Action2" dataDxfId="81" dataCellStyle="Link"/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2061F0A-D0F6-4383-B68D-E5E089A31021}" name="Tabelle7367722" displayName="Tabelle7367722" ref="I37:M38" insertRow="1" totalsRowShown="0">
  <autoFilter ref="I37:M38" xr:uid="{B6243EAD-E42E-4563-B286-6C15E8E630FD}"/>
  <tableColumns count="5">
    <tableColumn id="1" xr3:uid="{57261BA0-8696-46CA-AA5B-C42A75B4FE7C}" name="Comparison entry no."/>
    <tableColumn id="2" xr3:uid="{FC34465C-94C0-4A79-9451-692564D5571A}" name="Propability Support point" dataDxfId="80"/>
    <tableColumn id="3" xr3:uid="{E053167C-3DAD-47AB-86CF-CABAF89F601B}" name="EBS self time" dataDxfId="79"/>
    <tableColumn id="4" xr3:uid="{482EDC5F-9F30-403B-88BE-0C5573B80C1D}" name="Total time">
      <calculatedColumnFormula>SUM(#REF!)</calculatedColumnFormula>
    </tableColumn>
    <tableColumn id="5" xr3:uid="{B94C23FA-DDF6-4F81-A2A7-2635F26A74A2}" name="Total time / Your estimate" dataDxfId="78">
      <calculatedColumnFormula>Tabelle7367722[[#This Row],[EBS self time]]/Tabelle7367722[[#This Row],[Total time]]</calculatedColumnFormula>
    </tableColumn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23804856-CFE0-4C79-A46B-0D4B5E3CECEF}" name="TimeEntries823" displayName="TimeEntries823" ref="A57:G59" totalsRowShown="0">
  <autoFilter ref="A57:G59" xr:uid="{4CB58868-4A51-4112-AF6F-0658A8CA23D0}"/>
  <sortState xmlns:xlrd2="http://schemas.microsoft.com/office/spreadsheetml/2017/richdata2" ref="A58:E58">
    <sortCondition ref="A16:A17"/>
  </sortState>
  <tableColumns count="7">
    <tableColumn id="1" xr3:uid="{15B4E7E7-5CBB-45CD-A3D4-669FB1B5B980}" name="Time entry no."/>
    <tableColumn id="2" xr3:uid="{F243FAE5-5376-4E49-8D03-34A4E986D284}" name="Start time" dataDxfId="77"/>
    <tableColumn id="3" xr3:uid="{5D7EAD93-8018-4774-9661-123B4072D0DF}" name="End time" dataDxfId="76"/>
    <tableColumn id="4" xr3:uid="{3F713F3A-E2F6-40D0-9EEA-B5A722E317B9}" name="Time delta in h" dataDxfId="75">
      <calculatedColumnFormula>MAX((TimeEntries823[[#This Row],[End time]]-TimeEntries823[[#This Row],[Start time]])*24,0)</calculatedColumnFormula>
    </tableColumn>
    <tableColumn id="5" xr3:uid="{04B416FC-EEF5-4529-8995-6187B0BEBF33}" name="Now?"/>
    <tableColumn id="6" xr3:uid="{8D22DDD3-BD5C-40F7-87B2-FC330D21CCE6}" name="Action1" dataDxfId="74" dataCellStyle="Link"/>
    <tableColumn id="7" xr3:uid="{9C608A80-F993-4EEA-AE53-3F59AFD495B2}" name="Action2" dataDxfId="73" dataCellStyle="Link"/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54858F36-80F4-446A-9960-77B4EA27133B}" name="Tabelle7367924" displayName="Tabelle7367924" ref="I57:M58" insertRow="1" totalsRowShown="0">
  <autoFilter ref="I57:M58" xr:uid="{F3BF7BE0-98F8-4FD4-B231-97D9B4FD0D42}"/>
  <tableColumns count="5">
    <tableColumn id="1" xr3:uid="{C1E6CB7C-6B0D-4D88-8C2F-F34DC7CB8AA7}" name="Comparison entry no."/>
    <tableColumn id="2" xr3:uid="{D987A190-4FAC-42D9-AF63-4E9039BA8FB4}" name="Propability Support point" dataDxfId="72"/>
    <tableColumn id="3" xr3:uid="{FA47ED81-3B11-442D-B44E-3544B8461C15}" name="EBS self time" dataDxfId="71"/>
    <tableColumn id="4" xr3:uid="{DACA3417-2FA7-4434-B78E-E03399C99E15}" name="Total time">
      <calculatedColumnFormula>SUM(#REF!)</calculatedColumnFormula>
    </tableColumn>
    <tableColumn id="5" xr3:uid="{DF601EBA-DD4B-4950-914A-B96D8A3448BA}" name="Total time / Your estimate" dataDxfId="70">
      <calculatedColumnFormula>Tabelle7367924[[#This Row],[EBS self time]]/Tabelle7367924[[#This Row],[Total time]]</calculatedColumnFormula>
    </tableColumn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2989BE6-0640-4561-9778-530125AC9A84}" name="TimeEntries1325" displayName="TimeEntries1325" ref="A78:G80" totalsRowShown="0">
  <autoFilter ref="A78:G80" xr:uid="{93606062-745D-4835-9A6C-5863D57B4E36}"/>
  <sortState xmlns:xlrd2="http://schemas.microsoft.com/office/spreadsheetml/2017/richdata2" ref="A79:E79">
    <sortCondition ref="A16:A17"/>
  </sortState>
  <tableColumns count="7">
    <tableColumn id="1" xr3:uid="{CF15810F-7C4D-460B-A8C6-B0B3EBC311BB}" name="Time entry no."/>
    <tableColumn id="2" xr3:uid="{94A125F2-298C-4E41-9279-310822F64C62}" name="Start time" dataDxfId="69"/>
    <tableColumn id="3" xr3:uid="{26CE50B6-A735-4FB2-BA9C-773427FB4D2D}" name="End time" dataDxfId="68"/>
    <tableColumn id="4" xr3:uid="{57C12C7C-957A-49E0-A92F-75680E8B6E65}" name="Time delta in h" dataDxfId="67">
      <calculatedColumnFormula>MAX((TimeEntries1325[[#This Row],[End time]]-TimeEntries1325[[#This Row],[Start time]])*24,0)</calculatedColumnFormula>
    </tableColumn>
    <tableColumn id="5" xr3:uid="{C9298906-DD32-4DF2-A284-D35B1E767FD6}" name="Now?"/>
    <tableColumn id="6" xr3:uid="{BA2C08EB-5FD4-4F29-8D5A-5A92DA9F261A}" name="Action1" dataDxfId="66" dataCellStyle="Link"/>
    <tableColumn id="7" xr3:uid="{7FB0B337-8F22-4B73-BAC4-AF01318AEB19}" name="Action2" dataDxfId="65" dataCellStyle="Link"/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EDAE9AC0-66A7-48E5-B93C-5B02C57F41F6}" name="Tabelle73671427" displayName="Tabelle73671427" ref="I78:M79" insertRow="1" totalsRowShown="0">
  <autoFilter ref="I78:M79" xr:uid="{504E0F3C-7EAB-4534-9637-4C67FDD61FC3}"/>
  <tableColumns count="5">
    <tableColumn id="1" xr3:uid="{294B5AFB-BAC6-492E-993B-CC26F6873F90}" name="Comparison entry no."/>
    <tableColumn id="2" xr3:uid="{10CEE6F0-BF19-4D98-9EF6-8616A0E6C8F8}" name="Propability Support point" dataDxfId="64"/>
    <tableColumn id="3" xr3:uid="{96C8308C-D901-4684-B672-AB9F29EEC52C}" name="EBS self time" dataDxfId="63"/>
    <tableColumn id="4" xr3:uid="{0AF38EE2-7D63-4431-BF26-BDCF494D821A}" name="Total time">
      <calculatedColumnFormula>SUM(#REF!)</calculatedColumnFormula>
    </tableColumn>
    <tableColumn id="5" xr3:uid="{27F5F01A-AFFF-40BD-8503-F914D8030E26}" name="Total time / Your estimate" dataDxfId="62">
      <calculatedColumnFormula>Tabelle73671427[[#This Row],[EBS self time]]/Tabelle73671427[[#This Row],[Total time]]</calculatedColumnFormula>
    </tableColumn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V10" totalsRowShown="0" dataDxfId="0">
  <autoFilter ref="A3:V10" xr:uid="{520F3973-795E-47E6-97CD-1C1265CA838A}"/>
  <sortState xmlns:xlrd2="http://schemas.microsoft.com/office/spreadsheetml/2017/richdata2" ref="A4:V10">
    <sortCondition ref="U3:U10"/>
  </sortState>
  <tableColumns count="22">
    <tableColumn id="1" xr3:uid="{78BB2EF9-C626-4B0D-94B3-1781BE57C67F}" name="Task no." dataDxfId="22" dataCellStyle="Standard"/>
    <tableColumn id="3" xr3:uid="{3AD21368-826B-4507-A159-BE8BE5B02C1F}" name="Now?" dataDxfId="21" dataCellStyle="Spaltenebene_1"/>
    <tableColumn id="2" xr3:uid="{C139B307-7150-4838-B1FD-482AAB7B1208}" name="Task name" dataDxfId="20" dataCellStyle="Link"/>
    <tableColumn id="13" xr3:uid="{500C3031-A1C8-4FCF-AE88-FB2DB0E81277}" name="#1" dataDxfId="19" dataCellStyle="Link"/>
    <tableColumn id="18" xr3:uid="{3B298737-E571-4F23-9C71-2BC3C2385355}" name="Comment" dataDxfId="18" dataCellStyle="Link"/>
    <tableColumn id="7" xr3:uid="{5DC94B1C-A20E-47F8-8963-B0674A9C27B4}" name="#2" dataDxfId="17" dataCellStyle="Link"/>
    <tableColumn id="4" xr3:uid="{E2EAEAF6-33EC-4D8C-B42E-C249C36E3D3C}" name="%Tag 1" dataDxfId="16" dataCellStyle="Standard"/>
    <tableColumn id="14" xr3:uid="{A6D882A1-C3C1-4F0C-8834-5B299F196767}" name="#3" dataDxfId="15"/>
    <tableColumn id="5" xr3:uid="{1E4EAD98-8B30-4F09-AA64-D7613D00651F}" name="%Tag 2" dataDxfId="14" dataCellStyle="Standard"/>
    <tableColumn id="21" xr3:uid="{91C37425-DDD8-4756-A39F-CDA868D3035B}" name="#4" dataDxfId="13"/>
    <tableColumn id="6" xr3:uid="{9E1E50BB-6DA2-47A1-BB20-8C9FAC4B0DB5}" name="%Tag 3" dataDxfId="12" dataCellStyle="Standard"/>
    <tableColumn id="22" xr3:uid="{F4250AF8-5AFE-4C03-B563-438A86E41810}" name="#5" dataDxfId="11"/>
    <tableColumn id="10" xr3:uid="{85CEF83B-6217-49AE-8974-E4D5953E2637}" name="Kanban list" dataDxfId="10" dataCellStyle="Standard"/>
    <tableColumn id="11" xr3:uid="{E542542F-D34F-488A-95AF-76A724785E5A}" name="User time estimate" dataDxfId="9" dataCellStyle="Standard"/>
    <tableColumn id="12" xr3:uid="{7DA005F8-D924-4031-B65E-6C6F60E3212D}" name="Total time" dataDxfId="8" dataCellStyle="Standard"/>
    <tableColumn id="16" xr3:uid="{209AEE68-BDAE-4E8C-BCF6-6EEA4F9A7FDE}" name="Finished on" dataDxfId="7" dataCellStyle="Standard"/>
    <tableColumn id="8" xr3:uid="{727785B7-29B9-493D-A20B-C319B38E1DF3}" name="EBS 50% time" dataDxfId="6" dataCellStyle="Standard"/>
    <tableColumn id="9" xr3:uid="{B12BA9B8-3C81-408C-AFE4-25993FD8491D}" name="EBS 80% date" dataDxfId="5" dataCellStyle="Standard"/>
    <tableColumn id="20" xr3:uid="{DAE27A09-2EB0-4A47-A9F0-48ED802D8570}" name="Due date" dataDxfId="4" dataCellStyle="Spaltenebene_1"/>
    <tableColumn id="19" xr3:uid="{7A8CB495-6AE9-4A1E-AC5B-8B6487C84135}" name="Contributor" dataDxfId="3" dataCellStyle="Standard"/>
    <tableColumn id="17" xr3:uid="{EF767A93-0B38-4A66-A27B-92321C0E655C}" name="Priority" dataDxfId="2" dataCellStyle="Standard"/>
    <tableColumn id="15" xr3:uid="{2ADBC76B-EB88-4BCD-8956-7B4B22C5A3D4}" name="tHASH" dataDxfId="1" dataCellStyle="Standard"/>
  </tableColumns>
  <tableStyleInfo name="TableStyleDark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C8B750D4-78C3-49CD-B8D9-5A6ADAD00E38}" name="TimeEntries172832" displayName="TimeEntries172832" ref="A16:G19" totalsRowShown="0">
  <autoFilter ref="A16:G19" xr:uid="{79016045-F020-4FE4-93EC-3C171B002342}"/>
  <sortState xmlns:xlrd2="http://schemas.microsoft.com/office/spreadsheetml/2017/richdata2" ref="A17:E17">
    <sortCondition ref="A16:A17"/>
  </sortState>
  <tableColumns count="7">
    <tableColumn id="1" xr3:uid="{6EE87173-960C-47E4-9DC3-66C4154E93D5}" name="Time entry no."/>
    <tableColumn id="2" xr3:uid="{DF60B5E8-39B1-41DE-94F1-3A6EE071D275}" name="Start time" dataDxfId="61"/>
    <tableColumn id="3" xr3:uid="{4A2B5B85-BB87-4030-A5C9-CD4137323E80}" name="End time" dataDxfId="60"/>
    <tableColumn id="4" xr3:uid="{6220AC3B-CD59-418F-B1E6-22E84D1E088F}" name="Time delta in h" dataDxfId="59">
      <calculatedColumnFormula>MAX((TimeEntries172832[[#This Row],[End time]]-TimeEntries172832[[#This Row],[Start time]])*24,0)</calculatedColumnFormula>
    </tableColumn>
    <tableColumn id="5" xr3:uid="{EC62AF8D-37CD-4084-BE8E-7F1B19CE79D1}" name="Now?"/>
    <tableColumn id="6" xr3:uid="{5309E172-E71F-4F79-AF55-24A2E96EE179}" name="Action1" dataDxfId="54" dataCellStyle="Link"/>
    <tableColumn id="7" xr3:uid="{B1BA65A8-881A-4913-8CFB-9FF34FC11D06}" name="Action2" dataDxfId="55" dataCellStyle="Link"/>
  </tableColumns>
  <tableStyleInfo name="TableStyleDark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BFE10044-DD41-4B36-B115-9BB0F8CD3716}" name="Tabelle7367182933" displayName="Tabelle7367182933" ref="I16:M23" totalsRowShown="0">
  <autoFilter ref="I16:M23" xr:uid="{BE0E2E8E-E850-4FEF-951D-D21F968875D4}"/>
  <tableColumns count="5">
    <tableColumn id="1" xr3:uid="{A4E3C161-94D5-4B98-917B-AAB0C97415F9}" name="Comparison entry no."/>
    <tableColumn id="2" xr3:uid="{BC2358BA-B2E6-47BA-9B71-806834E8E347}" name="Propability Support point" dataDxfId="58"/>
    <tableColumn id="3" xr3:uid="{03FC8400-DA4F-4068-B79C-25E440C06F23}" name="EBS self time" dataDxfId="57"/>
    <tableColumn id="4" xr3:uid="{7D94B012-1424-4B58-9864-0C8B46BFD855}" name="Total time">
      <calculatedColumnFormula>SUM(TimeEntries172832[Time delta in h])</calculatedColumnFormula>
    </tableColumn>
    <tableColumn id="5" xr3:uid="{4598951D-4809-4137-8366-6F92801FECB3}" name="Total time / Your estimate" dataDxfId="56">
      <calculatedColumnFormula>Tabelle7367182933[[#This Row],[EBS self time]]/Tabelle7367182933[[#This Row],[Total time]]</calculatedColumnFormula>
    </tableColumn>
  </tableColumns>
  <tableStyleInfo name="TableStyleDark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A6067509-2C2E-4BCB-8677-4704E683E5D0}" name="TimeEntries34" displayName="TimeEntries34" ref="A16:G17" totalsRowShown="0">
  <autoFilter ref="A16:G17" xr:uid="{40D13D02-1E69-496D-8B92-B7ECCFB4FAB3}"/>
  <sortState xmlns:xlrd2="http://schemas.microsoft.com/office/spreadsheetml/2017/richdata2" ref="A17:E17">
    <sortCondition ref="A16:A17"/>
  </sortState>
  <tableColumns count="7">
    <tableColumn id="1" xr3:uid="{6A663D44-694F-4329-B3C4-FEF90DA9C03D}" name="Time entry no."/>
    <tableColumn id="2" xr3:uid="{F8BB048D-635B-4FD3-A3C1-06F4BE328489}" name="Start time" dataDxfId="53"/>
    <tableColumn id="3" xr3:uid="{AD87888C-C08B-4515-BF9E-0DA2CC54E7C9}" name="End time" dataDxfId="52"/>
    <tableColumn id="4" xr3:uid="{AE8226AB-AFE9-4261-A40F-7B9B0235E229}" name="Time delta in h" dataDxfId="51">
      <calculatedColumnFormula>MAX((TimeEntries34[[#This Row],[End time]]-TimeEntries34[[#This Row],[Start time]])*24,0)</calculatedColumnFormula>
    </tableColumn>
    <tableColumn id="5" xr3:uid="{7B6703DD-59E6-45B0-A5FD-A5E41A5940A3}" name="Now?"/>
    <tableColumn id="6" xr3:uid="{D290CD08-C6CA-4062-852A-857F85934927}" name="Action1" dataDxfId="46" dataCellStyle="Link"/>
    <tableColumn id="7" xr3:uid="{1218A68B-07AD-4AF1-9226-D2FE6C62DB12}" name="Action2" dataDxfId="47" dataCellStyle="Link"/>
  </tableColumns>
  <tableStyleInfo name="TableStyleDark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1E0F1007-060D-41B0-A30D-223DE3593C4F}" name="Tabelle736735" displayName="Tabelle736735" ref="I16:M23" totalsRowShown="0">
  <autoFilter ref="I16:M23" xr:uid="{84675B4D-C39C-4C1D-95DA-B0DAB419A377}"/>
  <tableColumns count="5">
    <tableColumn id="1" xr3:uid="{57E1EC31-AD57-41F8-A8AF-B3A12B8BA0EC}" name="Comparison entry no."/>
    <tableColumn id="2" xr3:uid="{26A0F702-BE68-4203-AA0F-8FCE2BBBBA54}" name="Propability Support point" dataDxfId="50"/>
    <tableColumn id="3" xr3:uid="{8F6228A7-6055-4137-97E2-EE9C402F72B0}" name="EBS self time" dataDxfId="49"/>
    <tableColumn id="4" xr3:uid="{239902BC-7E67-44E7-8038-89EE2D619007}" name="Total time">
      <calculatedColumnFormula>SUM(TimeEntries34[Time delta in h])</calculatedColumnFormula>
    </tableColumn>
    <tableColumn id="5" xr3:uid="{93D152E9-EFCD-481F-857A-A4225A3A0A0F}" name="Total time / Your estimate" dataDxfId="48">
      <calculatedColumnFormula>Tabelle736735[[#This Row],[EBS self time]]/Tabelle736735[[#This Row],[Total time]]</calculatedColumnFormula>
    </tableColumn>
  </tableColumns>
  <tableStyleInfo name="TableStyleDark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65EC4146-717E-451B-9B67-1D2927C4B5CD}" name="TimeEntries36" displayName="TimeEntries36" ref="A16:G17" totalsRowShown="0">
  <autoFilter ref="A16:G17" xr:uid="{40D13D02-1E69-496D-8B92-B7ECCFB4FAB3}"/>
  <sortState xmlns:xlrd2="http://schemas.microsoft.com/office/spreadsheetml/2017/richdata2" ref="A17:E17">
    <sortCondition ref="A16:A17"/>
  </sortState>
  <tableColumns count="7">
    <tableColumn id="1" xr3:uid="{2A1CF314-D8F0-40D8-95BB-B31D6ED0D052}" name="Time entry no."/>
    <tableColumn id="2" xr3:uid="{54747E2A-0677-4813-A189-156ECDDCDC96}" name="Start time" dataDxfId="45"/>
    <tableColumn id="3" xr3:uid="{82561E75-68CB-49E1-9E91-D2E87F1F4C74}" name="End time" dataDxfId="44"/>
    <tableColumn id="4" xr3:uid="{123C6956-6DB8-475A-88C3-C987D5F8222B}" name="Time delta in h" dataDxfId="43">
      <calculatedColumnFormula>MAX((TimeEntries36[[#This Row],[End time]]-TimeEntries36[[#This Row],[Start time]])*24,0)</calculatedColumnFormula>
    </tableColumn>
    <tableColumn id="5" xr3:uid="{2E2A3D52-62C1-441F-87AE-621F45F4F0AC}" name="Now?"/>
    <tableColumn id="6" xr3:uid="{28980FD5-87F7-4AD0-BF94-F818B71A70CA}" name="Action1"/>
    <tableColumn id="7" xr3:uid="{D3642251-3245-4769-89F1-D21AB5E84AE9}" name="Action2"/>
  </tableColumns>
  <tableStyleInfo name="TableStyleDark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262AB712-FAC0-45F8-AB03-131B5007E731}" name="Tabelle736737" displayName="Tabelle736737" ref="I16:M23" totalsRowShown="0">
  <autoFilter ref="I16:M23" xr:uid="{84675B4D-C39C-4C1D-95DA-B0DAB419A377}"/>
  <tableColumns count="5">
    <tableColumn id="1" xr3:uid="{86934182-DAAB-4764-8769-87389241CD44}" name="Comparison entry no."/>
    <tableColumn id="2" xr3:uid="{55A1FF50-E472-4426-A063-DDFE65B59617}" name="Propability Support point" dataDxfId="42"/>
    <tableColumn id="3" xr3:uid="{E4A79A66-61AD-43D5-AE3C-682BD092035A}" name="EBS self time" dataDxfId="41"/>
    <tableColumn id="4" xr3:uid="{08F60716-70D6-4F90-9B15-A3C12AA979DD}" name="Total time">
      <calculatedColumnFormula>SUM(TimeEntries36[Time delta in h])</calculatedColumnFormula>
    </tableColumn>
    <tableColumn id="5" xr3:uid="{6B934A41-BE9C-4D50-AE8D-BB22D3647DB0}" name="Total time / Your estimate" dataDxfId="40">
      <calculatedColumnFormula>Tabelle736737[[#This Row],[EBS self time]]/Tabelle736737[[#This Row],[Total time]]</calculatedColumnFormula>
    </tableColumn>
  </tableColumns>
  <tableStyleInfo name="TableStyleDark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91C221E-3BA9-4FB7-88C0-AA48A74EC340}" name="EbsBaseData4326270415" displayName="EbsBaseData4326270415" ref="A18:H19" totalsRowShown="0">
  <autoFilter ref="A18:H19" xr:uid="{1948C160-1F52-48A7-8061-8AFF06D47134}"/>
  <tableColumns count="8">
    <tableColumn id="1" xr3:uid="{50D5FB71-4B3A-4FB7-8D9F-C9EF0990EDD0}" name="EBS entry no."/>
    <tableColumn id="4" xr3:uid="{10086FB3-CF72-4764-8681-A204C73E9113}" name="EBS run date" dataDxfId="94"/>
    <tableColumn id="8" xr3:uid="{4EC08450-5287-4590-8A2B-CBE3BE1B9369}" name="[Velocity pool]"/>
    <tableColumn id="2" xr3:uid="{E2819C4F-70DD-47B1-AE2C-EA265316194D}" name="Show pool?"/>
    <tableColumn id="3" xr3:uid="{31D6DADD-55AC-4CF3-A392-600471E0426D}" name="[Propability support points]"/>
    <tableColumn id="5" xr3:uid="{72DBC7BF-11A6-4C83-90AF-6C22E5CFAD24}" name="[Project time estimates]"/>
    <tableColumn id="6" xr3:uid="{AF4BC3DE-C878-4A65-A016-892207DBDE41}" name="[Project date estimates]"/>
    <tableColumn id="7" xr3:uid="{E40B65BB-9E73-4142-A13C-20DE928E21C8}" name="eHASH"/>
  </tableColumns>
  <tableStyleInfo name="TableStyleDark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3A92769-A43F-48B4-BE1E-543F95FA581D}" name="EbsTaskData9592711216" displayName="EbsTaskData9592711216" ref="J18:T21" totalsRowShown="0">
  <autoFilter ref="J18:T21" xr:uid="{2297DC20-55A3-4C75-B785-3C4ABEF5CB9C}"/>
  <tableColumns count="11">
    <tableColumn id="1" xr3:uid="{99EE6C3F-81D6-4F33-9FC6-FD8F9C3E480D}" name="Data entry no."/>
    <tableColumn id="10" xr3:uid="{41B898C0-5B35-497E-AD6E-A2122F77EA4F}" name="tHASH"/>
    <tableColumn id="5" xr3:uid="{2B1BC014-FE99-4C95-9FD9-BAD3914BDEFE}" name="Logged Priority"/>
    <tableColumn id="7" xr3:uid="{CD85EBCE-3A92-4D3C-A5B3-11223738AF1A}" name="Time spent so far" dataDxfId="93"/>
    <tableColumn id="4" xr3:uid="{B75317B9-7B2D-4764-BEE6-13E067FF3023}" name="User time estimate" dataDxfId="92"/>
    <tableColumn id="3" xr3:uid="{FB19C290-E346-4626-AA29-72BD73C01A0E}" name="[Monte Carlo estimate pool]"/>
    <tableColumn id="2" xr3:uid="{E0C05A3C-0597-484E-B3DE-6328E1FCA72A}" name="[Remaining time pool]"/>
    <tableColumn id="6" xr3:uid="{61643535-F9B8-47F4-A88E-D1654A9C11FE}" name="[Accumulated time pool]"/>
    <tableColumn id="8" xr3:uid="{CEBBF44C-2E40-40B1-8F99-50689E0A7BFD}" name="[Propability support points]"/>
    <tableColumn id="9" xr3:uid="{03BA7A3F-04FA-44CA-B577-C55EBA039DBE}" name="[Interpolated time estimates]"/>
    <tableColumn id="11" xr3:uid="{A2CB1D1D-2D44-48D2-8B44-627E8DC59EE9}" name="[Interpolated date estimates]"/>
  </tableColumns>
  <tableStyleInfo name="TableStyleDark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681CC-09F3-4670-A132-C5F0FB40C5BA}" name="TotalTimeAnalysesTable" displayName="TotalTimeAnalysesTable" ref="A8:D10" totalsRowShown="0" headerRowDxfId="115" dataDxfId="113" headerRowBorderDxfId="114">
  <autoFilter ref="A8:D10" xr:uid="{8E9EC0C1-7901-48B6-A59A-1CE6ABEE7A55}"/>
  <tableColumns count="4">
    <tableColumn id="1" xr3:uid="{58BB2187-C79D-4A1A-A9A3-DA2F074C476C}" name="Split entry no." dataDxfId="112"/>
    <tableColumn id="2" xr3:uid="{A755482D-FFF4-43D8-8021-1956CE3A7021}" name="Split start" dataDxfId="111"/>
    <tableColumn id="3" xr3:uid="{FE0A0B8D-1F8A-4CEC-9FB3-C945A45F99BF}" name="Split end" dataDxfId="110"/>
    <tableColumn id="4" xr3:uid="{5443222D-0CE3-4625-9EDB-D13B87B6C388}" name="Time spent" dataDxfId="109"/>
  </tableColumns>
  <tableStyleInfo name="TableStyleDark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108" dataCellStyle="Link"/>
    <tableColumn id="9" xr3:uid="{0037D127-E2BA-445A-BC63-1395BA3AC441}" name="Calendar ID" dataDxfId="107" dataCellStyle="Link"/>
    <tableColumn id="10" xr3:uid="{37CA3B7B-8FF0-4042-97C6-E23A79A74325}" name="Store ID"/>
    <tableColumn id="6" xr3:uid="{044D8005-25C5-4D31-940A-B6DE4C6B0EA5}" name="WorkingDays" dataDxfId="106" dataCellStyle="Link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105"/>
    <tableColumn id="8" xr3:uid="{1177B0FB-46B2-406D-B988-C64E0ABA6972}" name="AppointmentOffsetHours" dataDxfId="104">
      <calculatedColumnFormula>5/60</calculatedColumnFormula>
    </tableColumn>
  </tableColumns>
  <tableStyleInfo name="TableStyleDark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6" xr:uid="{750FCC88-DA1D-41A3-82A1-A2E99AEB5FE9}" name="MessageList" displayName="MessageList" ref="A3:E4" insertRow="1" totalsRowShown="0">
  <autoFilter ref="A3:E4" xr:uid="{85C184D7-6234-4508-B6F2-12837E025FED}"/>
  <tableColumns count="5">
    <tableColumn id="1" xr3:uid="{93FDB5C1-37DB-4A62-BD42-8EBF4191E1DB}" name="Message no."/>
    <tableColumn id="2" xr3:uid="{21BE37C3-7323-4BF5-BA2E-73BEF15B899B}" name="Timestamp"/>
    <tableColumn id="3" xr3:uid="{44F76451-182F-4B13-B39E-FBB43D0963E4}" name="Message"/>
    <tableColumn id="5" xr3:uid="{33B0ED84-3691-4FA2-9E93-B4BCA48488A5}" name="Caller"/>
    <tableColumn id="4" xr3:uid="{192B57F4-5A4F-4AA1-B2A4-2CDFA4E8F24B}" name="Severity"/>
  </tableColumns>
  <tableStyleInfo name="TableStyleDark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6:G17" totalsRowShown="0">
  <autoFilter ref="A16:G17" xr:uid="{40D13D02-1E69-496D-8B92-B7ECCFB4FAB3}"/>
  <sortState xmlns:xlrd2="http://schemas.microsoft.com/office/spreadsheetml/2017/richdata2" ref="A17:E17">
    <sortCondition ref="A16:A17"/>
  </sortState>
  <tableColumns count="7">
    <tableColumn id="1" xr3:uid="{79398A77-C401-45B7-A5F3-FD95241DA46D}" name="Time entry no."/>
    <tableColumn id="2" xr3:uid="{B05CE561-2857-4C79-94B9-B743D40A6B9B}" name="Start time" dataDxfId="103"/>
    <tableColumn id="3" xr3:uid="{78DABF02-3853-48FF-81AD-5801C74BED1B}" name="End time" dataDxfId="102"/>
    <tableColumn id="4" xr3:uid="{76C994F9-216A-4848-9FB6-16BAF8B0EEEA}" name="Time delta in h" dataDxfId="101">
      <calculatedColumnFormula>MAX((TimeEntries[[#This Row],[End time]]-TimeEntries[[#This Row],[Start time]])*24,0)</calculatedColumnFormula>
    </tableColumn>
    <tableColumn id="5" xr3:uid="{7A34D70F-82B8-48DB-B5DE-37BA200663BE}" name="Now?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6:M17" totalsRowShown="0">
  <autoFilter ref="I16:M17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100"/>
    <tableColumn id="3" xr3:uid="{A62B365F-400F-45A4-B789-FE7B5FDBD312}" name="EBS self time" dataDxfId="99"/>
    <tableColumn id="4" xr3:uid="{37AD97D9-9420-42BC-9EA3-73C14A0A1F72}" name="Total time">
      <calculatedColumnFormula>SUM(TimeEntries[Time delta in h])</calculatedColumnFormula>
    </tableColumn>
    <tableColumn id="5" xr3:uid="{919307D5-98B8-47B0-ABAC-374A91F6BBB0}" name="Total time / Your estimate" dataDxfId="98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9DE6F50-645A-4D51-B8AA-31E75A2F7B98}" name="ListValidationData" displayName="ListValidationData" ref="A2:E23" totalsRowShown="0">
  <autoFilter ref="A2:E23" xr:uid="{E307EFAC-9512-4EE4-9C98-E3417903333C}"/>
  <tableColumns count="5">
    <tableColumn id="13" xr3:uid="{2F93A35B-ED03-4CB1-A5EB-1D38FCFE7427}" name="%Tag 3"/>
    <tableColumn id="12" xr3:uid="{1EB5A226-30C5-4857-8DB3-F13D56E21E85}" name="Contributor"/>
    <tableColumn id="11" xr3:uid="{6CF3B899-207D-4363-80DF-0E889F5FEB91}" name="%Tag 2"/>
    <tableColumn id="10" xr3:uid="{27B1F31E-A569-465C-8973-790F3FBACA90}" name="%Tag 1"/>
    <tableColumn id="14" xr3:uid="{39E6C17A-2F6F-45C5-A3EE-0136533697EC}" name="Kanban list"/>
  </tableColumns>
  <tableStyleInfo name="TableStyleDark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97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96"/>
    <tableColumn id="4" xr3:uid="{F9EDA55E-5206-49A7-A846-6A0B14C04CAF}" name="User time estimate" dataDxfId="95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1091B406-9F52-4589-8D93-67E9BCF9C841}">
    <text>The time estimate of the remaining time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9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1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openxmlformats.org/officeDocument/2006/relationships/table" Target="../tables/table1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printerSettings" Target="../printerSettings/printerSettings5.bin"/><Relationship Id="rId7" Type="http://schemas.openxmlformats.org/officeDocument/2006/relationships/ctrlProp" Target="../ctrlProps/ctrlProp17.xml"/><Relationship Id="rId2" Type="http://schemas.openxmlformats.org/officeDocument/2006/relationships/hyperlink" Target="file:///\\my.mail@provider.com\Calendar" TargetMode="External"/><Relationship Id="rId1" Type="http://schemas.openxmlformats.org/officeDocument/2006/relationships/hyperlink" Target="file:///\\my.mail@provider.com\Calendar" TargetMode="External"/><Relationship Id="rId6" Type="http://schemas.openxmlformats.org/officeDocument/2006/relationships/ctrlProp" Target="../ctrlProps/ctrlProp16.xml"/><Relationship Id="rId5" Type="http://schemas.openxmlformats.org/officeDocument/2006/relationships/vmlDrawing" Target="../drawings/vmlDrawing4.vml"/><Relationship Id="rId10" Type="http://schemas.openxmlformats.org/officeDocument/2006/relationships/table" Target="../tables/table19.xml"/><Relationship Id="rId4" Type="http://schemas.openxmlformats.org/officeDocument/2006/relationships/drawing" Target="../drawings/drawing7.xml"/><Relationship Id="rId9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4" Type="http://schemas.openxmlformats.org/officeDocument/2006/relationships/table" Target="../tables/table2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2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0.xm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E28F4-C3AD-471D-84E4-8E50AB5C6AC4}">
  <dimension ref="A1:M81"/>
  <sheetViews>
    <sheetView workbookViewId="0">
      <selection activeCell="A84" sqref="A84:M101"/>
    </sheetView>
  </sheetViews>
  <sheetFormatPr baseColWidth="10" defaultRowHeight="15" x14ac:dyDescent="0.25"/>
  <sheetData>
    <row r="1" spans="1:10" x14ac:dyDescent="0.25">
      <c r="A1" t="s">
        <v>212</v>
      </c>
      <c r="B1" t="s">
        <v>185</v>
      </c>
      <c r="C1" t="s">
        <v>213</v>
      </c>
      <c r="D1">
        <v>18</v>
      </c>
      <c r="E1" t="s">
        <v>214</v>
      </c>
      <c r="F1">
        <v>13</v>
      </c>
    </row>
    <row r="2" spans="1:10" x14ac:dyDescent="0.25">
      <c r="A2" s="4" t="s">
        <v>24</v>
      </c>
      <c r="I2" t="s">
        <v>137</v>
      </c>
      <c r="J2" t="s">
        <v>138</v>
      </c>
    </row>
    <row r="3" spans="1:10" x14ac:dyDescent="0.25">
      <c r="A3" t="s">
        <v>3</v>
      </c>
      <c r="B3" t="s">
        <v>187</v>
      </c>
    </row>
    <row r="4" spans="1:10" x14ac:dyDescent="0.25">
      <c r="A4" t="s">
        <v>77</v>
      </c>
      <c r="B4" s="2">
        <v>6</v>
      </c>
      <c r="C4" t="s">
        <v>4</v>
      </c>
    </row>
    <row r="5" spans="1:10" x14ac:dyDescent="0.25">
      <c r="A5" t="s">
        <v>0</v>
      </c>
      <c r="B5" s="2">
        <f>SUM(TimeEntries219[Time delta in h])</f>
        <v>0</v>
      </c>
      <c r="C5" t="s">
        <v>4</v>
      </c>
    </row>
    <row r="6" spans="1:10" x14ac:dyDescent="0.25">
      <c r="A6" t="s">
        <v>13</v>
      </c>
      <c r="B6" s="5" t="s">
        <v>92</v>
      </c>
    </row>
    <row r="7" spans="1:10" x14ac:dyDescent="0.25">
      <c r="A7" t="s">
        <v>14</v>
      </c>
      <c r="B7" s="5" t="s">
        <v>18</v>
      </c>
    </row>
    <row r="8" spans="1:10" x14ac:dyDescent="0.25">
      <c r="A8" t="s">
        <v>1</v>
      </c>
      <c r="B8" t="s">
        <v>91</v>
      </c>
    </row>
    <row r="9" spans="1:10" x14ac:dyDescent="0.25">
      <c r="A9" t="s">
        <v>15</v>
      </c>
      <c r="B9" s="5" t="s">
        <v>92</v>
      </c>
    </row>
    <row r="10" spans="1:10" x14ac:dyDescent="0.25">
      <c r="A10" t="s">
        <v>2</v>
      </c>
    </row>
    <row r="11" spans="1:10" x14ac:dyDescent="0.25">
      <c r="A11" t="s">
        <v>46</v>
      </c>
      <c r="B11" t="s">
        <v>185</v>
      </c>
    </row>
    <row r="12" spans="1:10" x14ac:dyDescent="0.25">
      <c r="A12" t="s">
        <v>5</v>
      </c>
      <c r="B12" s="2" t="e">
        <f>B4/SUM(TimeEntries219[Time delta in h])</f>
        <v>#DIV/0!</v>
      </c>
      <c r="C12" t="s">
        <v>6</v>
      </c>
    </row>
    <row r="13" spans="1:10" x14ac:dyDescent="0.25">
      <c r="A13" t="s">
        <v>93</v>
      </c>
      <c r="B13" t="s">
        <v>197</v>
      </c>
    </row>
    <row r="14" spans="1:10" x14ac:dyDescent="0.25">
      <c r="A14" t="s">
        <v>94</v>
      </c>
      <c r="B14" t="s">
        <v>198</v>
      </c>
    </row>
    <row r="15" spans="1:10" x14ac:dyDescent="0.25">
      <c r="A15" t="s">
        <v>129</v>
      </c>
      <c r="B15" s="1">
        <v>44075.824305555558</v>
      </c>
    </row>
    <row r="17" spans="1:13" x14ac:dyDescent="0.25">
      <c r="A17" t="s">
        <v>10</v>
      </c>
      <c r="B17" t="s">
        <v>7</v>
      </c>
      <c r="C17" t="s">
        <v>8</v>
      </c>
      <c r="D17" t="s">
        <v>9</v>
      </c>
      <c r="E17" t="s">
        <v>136</v>
      </c>
      <c r="F17" t="s">
        <v>84</v>
      </c>
      <c r="G17" t="s">
        <v>85</v>
      </c>
      <c r="I17" t="s">
        <v>70</v>
      </c>
      <c r="J17" s="15" t="s">
        <v>68</v>
      </c>
      <c r="K17" s="2" t="s">
        <v>69</v>
      </c>
      <c r="L17" t="s">
        <v>71</v>
      </c>
      <c r="M17" t="s">
        <v>72</v>
      </c>
    </row>
    <row r="18" spans="1:13" x14ac:dyDescent="0.25">
      <c r="B18" s="1"/>
      <c r="C18" s="1"/>
      <c r="D18" s="2">
        <f>MAX((TimeEntries219[[#This Row],[End time]]-TimeEntries219[[#This Row],[Start time]])*24,0)</f>
        <v>0</v>
      </c>
      <c r="J18" s="15"/>
      <c r="K18" s="2"/>
      <c r="L18" s="2"/>
      <c r="M18" s="16"/>
    </row>
    <row r="19" spans="1:13" x14ac:dyDescent="0.25">
      <c r="B19" s="1"/>
      <c r="C19" s="1"/>
      <c r="D19" s="2"/>
    </row>
    <row r="21" spans="1:13" x14ac:dyDescent="0.25">
      <c r="A21" t="s">
        <v>212</v>
      </c>
      <c r="B21" t="s">
        <v>188</v>
      </c>
      <c r="C21" t="s">
        <v>213</v>
      </c>
      <c r="D21">
        <v>18</v>
      </c>
      <c r="E21" t="s">
        <v>214</v>
      </c>
      <c r="F21">
        <v>13</v>
      </c>
    </row>
    <row r="22" spans="1:13" x14ac:dyDescent="0.25">
      <c r="A22" s="4" t="s">
        <v>24</v>
      </c>
      <c r="I22" t="s">
        <v>137</v>
      </c>
      <c r="J22" t="s">
        <v>138</v>
      </c>
    </row>
    <row r="23" spans="1:13" x14ac:dyDescent="0.25">
      <c r="A23" t="s">
        <v>3</v>
      </c>
      <c r="B23" t="s">
        <v>189</v>
      </c>
    </row>
    <row r="24" spans="1:13" x14ac:dyDescent="0.25">
      <c r="A24" t="s">
        <v>77</v>
      </c>
      <c r="B24" s="2">
        <v>3</v>
      </c>
      <c r="C24" t="s">
        <v>4</v>
      </c>
    </row>
    <row r="25" spans="1:13" x14ac:dyDescent="0.25">
      <c r="A25" t="s">
        <v>0</v>
      </c>
      <c r="B25" s="2">
        <f>SUM(TimeEntries621[Time delta in h])</f>
        <v>0.25000000011641532</v>
      </c>
      <c r="C25" t="s">
        <v>4</v>
      </c>
    </row>
    <row r="26" spans="1:13" x14ac:dyDescent="0.25">
      <c r="A26" t="s">
        <v>13</v>
      </c>
      <c r="B26" s="5" t="s">
        <v>92</v>
      </c>
    </row>
    <row r="27" spans="1:13" x14ac:dyDescent="0.25">
      <c r="A27" t="s">
        <v>14</v>
      </c>
      <c r="B27" s="5" t="s">
        <v>18</v>
      </c>
    </row>
    <row r="28" spans="1:13" x14ac:dyDescent="0.25">
      <c r="A28" t="s">
        <v>1</v>
      </c>
      <c r="B28" t="s">
        <v>143</v>
      </c>
    </row>
    <row r="29" spans="1:13" x14ac:dyDescent="0.25">
      <c r="A29" t="s">
        <v>15</v>
      </c>
      <c r="B29" s="5" t="s">
        <v>92</v>
      </c>
    </row>
    <row r="30" spans="1:13" x14ac:dyDescent="0.25">
      <c r="A30" t="s">
        <v>2</v>
      </c>
    </row>
    <row r="31" spans="1:13" x14ac:dyDescent="0.25">
      <c r="A31" t="s">
        <v>46</v>
      </c>
      <c r="B31" t="s">
        <v>188</v>
      </c>
    </row>
    <row r="32" spans="1:13" x14ac:dyDescent="0.25">
      <c r="A32" t="s">
        <v>5</v>
      </c>
      <c r="B32" s="2">
        <f>B24/SUM(TimeEntries621[Time delta in h])</f>
        <v>11.999999994412065</v>
      </c>
      <c r="C32" t="s">
        <v>6</v>
      </c>
    </row>
    <row r="33" spans="1:13" x14ac:dyDescent="0.25">
      <c r="A33" t="s">
        <v>93</v>
      </c>
      <c r="B33" t="s">
        <v>202</v>
      </c>
    </row>
    <row r="34" spans="1:13" x14ac:dyDescent="0.25">
      <c r="A34" t="s">
        <v>94</v>
      </c>
      <c r="B34" t="s">
        <v>203</v>
      </c>
    </row>
    <row r="35" spans="1:13" x14ac:dyDescent="0.25">
      <c r="A35" t="s">
        <v>129</v>
      </c>
      <c r="B35" s="1">
        <v>44075.824456018519</v>
      </c>
    </row>
    <row r="37" spans="1:13" x14ac:dyDescent="0.25">
      <c r="A37" t="s">
        <v>10</v>
      </c>
      <c r="B37" t="s">
        <v>7</v>
      </c>
      <c r="C37" t="s">
        <v>8</v>
      </c>
      <c r="D37" t="s">
        <v>9</v>
      </c>
      <c r="E37" t="s">
        <v>136</v>
      </c>
      <c r="F37" t="s">
        <v>84</v>
      </c>
      <c r="G37" t="s">
        <v>85</v>
      </c>
      <c r="I37" t="s">
        <v>70</v>
      </c>
      <c r="J37" s="15" t="s">
        <v>68</v>
      </c>
      <c r="K37" s="2" t="s">
        <v>69</v>
      </c>
      <c r="L37" t="s">
        <v>71</v>
      </c>
      <c r="M37" t="s">
        <v>72</v>
      </c>
    </row>
    <row r="38" spans="1:13" x14ac:dyDescent="0.25">
      <c r="A38" t="s">
        <v>126</v>
      </c>
      <c r="B38" s="1">
        <v>44075.816446759258</v>
      </c>
      <c r="C38" s="1">
        <v>44075.826863425929</v>
      </c>
      <c r="D38" s="2">
        <f>MAX((TimeEntries621[[#This Row],[End time]]-TimeEntries621[[#This Row],[Start time]])*24,0)</f>
        <v>0.25000000011641532</v>
      </c>
      <c r="F38" s="57" t="s">
        <v>206</v>
      </c>
      <c r="G38" s="22" t="s">
        <v>207</v>
      </c>
      <c r="J38" s="15"/>
      <c r="K38" s="2"/>
      <c r="L38" s="2"/>
      <c r="M38" s="16"/>
    </row>
    <row r="39" spans="1:13" x14ac:dyDescent="0.25">
      <c r="B39" s="1"/>
      <c r="C39" s="1"/>
      <c r="D39" s="2"/>
    </row>
    <row r="41" spans="1:13" x14ac:dyDescent="0.25">
      <c r="A41" t="s">
        <v>212</v>
      </c>
      <c r="B41" t="s">
        <v>190</v>
      </c>
      <c r="C41" t="s">
        <v>213</v>
      </c>
      <c r="D41">
        <v>19</v>
      </c>
      <c r="E41" t="s">
        <v>214</v>
      </c>
      <c r="F41">
        <v>13</v>
      </c>
    </row>
    <row r="42" spans="1:13" x14ac:dyDescent="0.25">
      <c r="A42" s="4" t="s">
        <v>24</v>
      </c>
      <c r="I42" t="s">
        <v>137</v>
      </c>
      <c r="J42" t="s">
        <v>138</v>
      </c>
    </row>
    <row r="43" spans="1:13" x14ac:dyDescent="0.25">
      <c r="A43" t="s">
        <v>3</v>
      </c>
      <c r="B43" t="s">
        <v>192</v>
      </c>
    </row>
    <row r="44" spans="1:13" x14ac:dyDescent="0.25">
      <c r="A44" t="s">
        <v>77</v>
      </c>
      <c r="B44" s="2">
        <v>2</v>
      </c>
      <c r="C44" t="s">
        <v>4</v>
      </c>
    </row>
    <row r="45" spans="1:13" x14ac:dyDescent="0.25">
      <c r="A45" t="s">
        <v>0</v>
      </c>
      <c r="B45" s="2">
        <f>SUM(TimeEntries823[Time delta in h])</f>
        <v>0.4208333333954215</v>
      </c>
      <c r="C45" t="s">
        <v>4</v>
      </c>
    </row>
    <row r="46" spans="1:13" x14ac:dyDescent="0.25">
      <c r="A46" t="s">
        <v>13</v>
      </c>
      <c r="B46" s="5" t="s">
        <v>92</v>
      </c>
    </row>
    <row r="47" spans="1:13" x14ac:dyDescent="0.25">
      <c r="A47" t="s">
        <v>14</v>
      </c>
      <c r="B47" s="5" t="s">
        <v>18</v>
      </c>
    </row>
    <row r="48" spans="1:13" x14ac:dyDescent="0.25">
      <c r="A48" t="s">
        <v>1</v>
      </c>
      <c r="B48" t="s">
        <v>130</v>
      </c>
    </row>
    <row r="49" spans="1:13" x14ac:dyDescent="0.25">
      <c r="A49" t="s">
        <v>15</v>
      </c>
      <c r="B49" s="5" t="s">
        <v>92</v>
      </c>
    </row>
    <row r="50" spans="1:13" x14ac:dyDescent="0.25">
      <c r="A50" t="s">
        <v>2</v>
      </c>
    </row>
    <row r="51" spans="1:13" x14ac:dyDescent="0.25">
      <c r="A51" t="s">
        <v>46</v>
      </c>
      <c r="B51" t="s">
        <v>190</v>
      </c>
    </row>
    <row r="52" spans="1:13" x14ac:dyDescent="0.25">
      <c r="A52" t="s">
        <v>5</v>
      </c>
      <c r="B52" s="2">
        <f>B44/SUM(TimeEntries823[Time delta in h])</f>
        <v>4.7524752468235905</v>
      </c>
      <c r="C52" t="s">
        <v>6</v>
      </c>
    </row>
    <row r="53" spans="1:13" x14ac:dyDescent="0.25">
      <c r="A53" t="s">
        <v>93</v>
      </c>
      <c r="B53" t="s">
        <v>197</v>
      </c>
    </row>
    <row r="54" spans="1:13" x14ac:dyDescent="0.25">
      <c r="A54" t="s">
        <v>94</v>
      </c>
      <c r="B54" t="s">
        <v>200</v>
      </c>
    </row>
    <row r="55" spans="1:13" x14ac:dyDescent="0.25">
      <c r="A55" t="s">
        <v>129</v>
      </c>
      <c r="B55" s="1">
        <v>44075.824502314812</v>
      </c>
    </row>
    <row r="57" spans="1:13" x14ac:dyDescent="0.25">
      <c r="A57" t="s">
        <v>10</v>
      </c>
      <c r="B57" t="s">
        <v>7</v>
      </c>
      <c r="C57" t="s">
        <v>8</v>
      </c>
      <c r="D57" t="s">
        <v>9</v>
      </c>
      <c r="E57" t="s">
        <v>136</v>
      </c>
      <c r="F57" t="s">
        <v>84</v>
      </c>
      <c r="G57" t="s">
        <v>85</v>
      </c>
      <c r="I57" t="s">
        <v>70</v>
      </c>
      <c r="J57" s="15" t="s">
        <v>68</v>
      </c>
      <c r="K57" s="2" t="s">
        <v>69</v>
      </c>
      <c r="L57" t="s">
        <v>71</v>
      </c>
      <c r="M57" t="s">
        <v>72</v>
      </c>
    </row>
    <row r="58" spans="1:13" x14ac:dyDescent="0.25">
      <c r="A58" t="s">
        <v>126</v>
      </c>
      <c r="B58" s="1">
        <v>44075.825694444444</v>
      </c>
      <c r="C58" s="1">
        <v>44075.825775462959</v>
      </c>
      <c r="D58" s="2">
        <f>MAX((TimeEntries823[[#This Row],[End time]]-TimeEntries823[[#This Row],[Start time]])*24,0)</f>
        <v>1.9444443751126528E-3</v>
      </c>
      <c r="F58" s="57" t="s">
        <v>206</v>
      </c>
      <c r="G58" s="22" t="s">
        <v>207</v>
      </c>
      <c r="J58" s="15"/>
      <c r="K58" s="2"/>
      <c r="L58" s="2"/>
      <c r="M58" s="16"/>
    </row>
    <row r="59" spans="1:13" x14ac:dyDescent="0.25">
      <c r="A59" t="s">
        <v>127</v>
      </c>
      <c r="B59" s="1">
        <v>44075.826585648145</v>
      </c>
      <c r="C59" s="1">
        <v>44075.844039351854</v>
      </c>
      <c r="D59" s="2">
        <f>MAX((TimeEntries823[[#This Row],[End time]]-TimeEntries823[[#This Row],[Start time]])*24,0)</f>
        <v>0.41888888902030885</v>
      </c>
      <c r="F59" s="57" t="s">
        <v>206</v>
      </c>
      <c r="G59" s="22" t="s">
        <v>207</v>
      </c>
    </row>
    <row r="60" spans="1:13" x14ac:dyDescent="0.25">
      <c r="B60" s="1"/>
      <c r="C60" s="1"/>
      <c r="D60" s="2"/>
    </row>
    <row r="62" spans="1:13" x14ac:dyDescent="0.25">
      <c r="A62" t="s">
        <v>212</v>
      </c>
      <c r="B62" t="s">
        <v>193</v>
      </c>
      <c r="C62" t="s">
        <v>213</v>
      </c>
      <c r="D62">
        <v>19</v>
      </c>
      <c r="E62" t="s">
        <v>214</v>
      </c>
      <c r="F62">
        <v>13</v>
      </c>
    </row>
    <row r="63" spans="1:13" x14ac:dyDescent="0.25">
      <c r="A63" s="4" t="s">
        <v>24</v>
      </c>
      <c r="I63" t="s">
        <v>137</v>
      </c>
      <c r="J63" t="s">
        <v>138</v>
      </c>
    </row>
    <row r="64" spans="1:13" x14ac:dyDescent="0.25">
      <c r="A64" t="s">
        <v>3</v>
      </c>
      <c r="B64" t="s">
        <v>195</v>
      </c>
    </row>
    <row r="65" spans="1:13" x14ac:dyDescent="0.25">
      <c r="A65" t="s">
        <v>77</v>
      </c>
      <c r="B65" s="2">
        <v>1</v>
      </c>
      <c r="C65" t="s">
        <v>4</v>
      </c>
    </row>
    <row r="66" spans="1:13" x14ac:dyDescent="0.25">
      <c r="A66" t="s">
        <v>0</v>
      </c>
      <c r="B66" s="2">
        <f>SUM(TimeEntries1325[Time delta in h])</f>
        <v>0.50000000005820766</v>
      </c>
      <c r="C66" t="s">
        <v>4</v>
      </c>
    </row>
    <row r="67" spans="1:13" x14ac:dyDescent="0.25">
      <c r="A67" t="s">
        <v>13</v>
      </c>
      <c r="B67" s="5">
        <v>44560</v>
      </c>
    </row>
    <row r="68" spans="1:13" x14ac:dyDescent="0.25">
      <c r="A68" t="s">
        <v>14</v>
      </c>
      <c r="B68" s="5" t="s">
        <v>18</v>
      </c>
    </row>
    <row r="69" spans="1:13" x14ac:dyDescent="0.25">
      <c r="A69" t="s">
        <v>1</v>
      </c>
      <c r="B69" t="s">
        <v>131</v>
      </c>
    </row>
    <row r="70" spans="1:13" x14ac:dyDescent="0.25">
      <c r="A70" t="s">
        <v>15</v>
      </c>
      <c r="B70" s="5">
        <v>44075.825497685182</v>
      </c>
    </row>
    <row r="71" spans="1:13" x14ac:dyDescent="0.25">
      <c r="A71" t="s">
        <v>2</v>
      </c>
    </row>
    <row r="72" spans="1:13" x14ac:dyDescent="0.25">
      <c r="A72" t="s">
        <v>46</v>
      </c>
      <c r="B72" t="s">
        <v>193</v>
      </c>
    </row>
    <row r="73" spans="1:13" x14ac:dyDescent="0.25">
      <c r="A73" t="s">
        <v>5</v>
      </c>
      <c r="B73" s="2">
        <f>B65/SUM(TimeEntries1325[Time delta in h])</f>
        <v>1.9999999997671694</v>
      </c>
      <c r="C73" t="s">
        <v>6</v>
      </c>
    </row>
    <row r="74" spans="1:13" x14ac:dyDescent="0.25">
      <c r="A74" t="s">
        <v>93</v>
      </c>
      <c r="B74" t="s">
        <v>204</v>
      </c>
    </row>
    <row r="75" spans="1:13" x14ac:dyDescent="0.25">
      <c r="A75" t="s">
        <v>94</v>
      </c>
      <c r="B75" t="s">
        <v>205</v>
      </c>
    </row>
    <row r="76" spans="1:13" x14ac:dyDescent="0.25">
      <c r="A76" t="s">
        <v>129</v>
      </c>
      <c r="B76" s="1">
        <v>44075.824560185189</v>
      </c>
    </row>
    <row r="78" spans="1:13" x14ac:dyDescent="0.25">
      <c r="A78" t="s">
        <v>10</v>
      </c>
      <c r="B78" t="s">
        <v>7</v>
      </c>
      <c r="C78" t="s">
        <v>8</v>
      </c>
      <c r="D78" t="s">
        <v>9</v>
      </c>
      <c r="E78" t="s">
        <v>136</v>
      </c>
      <c r="F78" t="s">
        <v>84</v>
      </c>
      <c r="G78" t="s">
        <v>85</v>
      </c>
      <c r="I78" t="s">
        <v>70</v>
      </c>
      <c r="J78" s="15" t="s">
        <v>68</v>
      </c>
      <c r="K78" s="2" t="s">
        <v>69</v>
      </c>
      <c r="L78" t="s">
        <v>71</v>
      </c>
      <c r="M78" t="s">
        <v>72</v>
      </c>
    </row>
    <row r="79" spans="1:13" x14ac:dyDescent="0.25">
      <c r="A79" t="s">
        <v>126</v>
      </c>
      <c r="B79" s="1">
        <v>44075.815069444441</v>
      </c>
      <c r="C79" s="1">
        <v>44075.825486111113</v>
      </c>
      <c r="D79" s="2">
        <f>MAX((TimeEntries1325[[#This Row],[End time]]-TimeEntries1325[[#This Row],[Start time]])*24,0)</f>
        <v>0.25000000011641532</v>
      </c>
      <c r="F79" s="57" t="s">
        <v>206</v>
      </c>
      <c r="G79" s="22" t="s">
        <v>207</v>
      </c>
      <c r="J79" s="15"/>
      <c r="K79" s="2"/>
      <c r="L79" s="2"/>
      <c r="M79" s="16"/>
    </row>
    <row r="80" spans="1:13" x14ac:dyDescent="0.25">
      <c r="A80" t="s">
        <v>127</v>
      </c>
      <c r="B80" s="1">
        <v>44075.815081018518</v>
      </c>
      <c r="C80" s="1">
        <v>44075.825497685182</v>
      </c>
      <c r="D80" s="2">
        <f>MAX((TimeEntries1325[[#This Row],[End time]]-TimeEntries1325[[#This Row],[Start time]])*24,0)</f>
        <v>0.24999999994179234</v>
      </c>
      <c r="F80" s="57" t="s">
        <v>206</v>
      </c>
      <c r="G80" s="22" t="s">
        <v>207</v>
      </c>
    </row>
    <row r="81" spans="2:4" x14ac:dyDescent="0.25">
      <c r="B81" s="1"/>
      <c r="C81" s="1"/>
      <c r="D81" s="2"/>
    </row>
  </sheetData>
  <hyperlinks>
    <hyperlink ref="A2" location="Planning!A1" display="Go back to 'Planning' sheet" xr:uid="{CF5D1455-A338-4A5A-92AF-CDE88B6214A5}"/>
    <hyperlink ref="A22" location="Planning!A1" display="Go back to 'Planning' sheet" xr:uid="{FDE719F8-6321-475B-817C-829AB6EDCA58}"/>
    <hyperlink ref="F38" location="$F$17" display="$F$17" xr:uid="{3EA8D5CE-28C7-425A-BC01-E516A3B2B56A}"/>
    <hyperlink ref="G38" location="$G$17" display="$G$17" xr:uid="{F3D2D183-5C8F-4BA7-AF41-F209E88590D9}"/>
    <hyperlink ref="A42" location="Planning!A1" display="Go back to 'Planning' sheet" xr:uid="{77C5E26D-AC88-4D92-A58C-D2F3BA9BDED5}"/>
    <hyperlink ref="F58" location="$F$17" display="$F$17" xr:uid="{E077B2CE-1F5F-4FF6-B5D0-4570E9AE64E2}"/>
    <hyperlink ref="G58" location="$G$17" display="$G$17" xr:uid="{436852E0-470F-4B16-A59E-EFBB218FA71C}"/>
    <hyperlink ref="F59" location="$F$18" display="$F$18" xr:uid="{C8EAA3E6-C390-4FB5-A11C-F4548E714079}"/>
    <hyperlink ref="G59" location="$G$18" display="$G$18" xr:uid="{6F634A06-92C4-4595-8A2B-A5C537BA7EAA}"/>
    <hyperlink ref="A63" location="Planning!A1" display="Go back to 'Planning' sheet" xr:uid="{5523627D-BBE7-41EB-9D02-BDF2CC630AFE}"/>
    <hyperlink ref="F79" location="$F$17" display="$F$17" xr:uid="{863AB50D-5B48-4D25-8613-6E0A527319AF}"/>
    <hyperlink ref="G79" location="$G$17" display="$G$17" xr:uid="{28B4D4DE-7128-41A3-8069-1DC4D493A7FC}"/>
    <hyperlink ref="F80" location="$F$18" display="$F$18" xr:uid="{7AD7B32E-A139-47EA-B89C-EAD0E3349951}"/>
    <hyperlink ref="G80" location="$G$18" display="$G$18" xr:uid="{141FF73F-85B4-45CB-93BE-C779575ACDD9}"/>
  </hyperlinks>
  <pageMargins left="0.7" right="0.7" top="0.78740157499999996" bottom="0.78740157499999996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Z17"/>
  <sheetViews>
    <sheetView tabSelected="1" topLeftCell="B1" zoomScaleNormal="100" workbookViewId="0">
      <selection activeCell="S10" sqref="S10"/>
    </sheetView>
  </sheetViews>
  <sheetFormatPr baseColWidth="10" defaultColWidth="11.42578125" defaultRowHeight="15" outlineLevelCol="1" x14ac:dyDescent="0.25"/>
  <cols>
    <col min="1" max="1" width="10.42578125" style="6" hidden="1" customWidth="1" outlineLevel="1"/>
    <col min="2" max="2" width="8.42578125" style="37" bestFit="1" customWidth="1" collapsed="1"/>
    <col min="3" max="3" width="32.140625" style="9" customWidth="1"/>
    <col min="4" max="4" width="4" style="9" customWidth="1"/>
    <col min="5" max="5" width="23.42578125" style="9" bestFit="1" customWidth="1"/>
    <col min="6" max="6" width="4" style="9" customWidth="1"/>
    <col min="7" max="7" width="15.140625" customWidth="1"/>
    <col min="8" max="8" width="4" customWidth="1"/>
    <col min="9" max="9" width="10.7109375" style="7" customWidth="1"/>
    <col min="10" max="10" width="4" style="7" customWidth="1"/>
    <col min="11" max="11" width="10.85546875" style="7" customWidth="1"/>
    <col min="12" max="12" width="4" style="7" customWidth="1"/>
    <col min="13" max="13" width="16.28515625" style="7" bestFit="1" customWidth="1"/>
    <col min="14" max="14" width="20.42578125" style="10" bestFit="1" customWidth="1"/>
    <col min="15" max="15" width="12.28515625" style="10" bestFit="1" customWidth="1"/>
    <col min="16" max="16" width="17.140625" style="6" hidden="1" customWidth="1" outlineLevel="1"/>
    <col min="17" max="17" width="15" style="10" hidden="1" customWidth="1" outlineLevel="1"/>
    <col min="18" max="18" width="17.140625" style="10" hidden="1" customWidth="1" outlineLevel="1"/>
    <col min="19" max="19" width="15.7109375" style="37" customWidth="1" collapsed="1"/>
    <col min="20" max="20" width="13.5703125" hidden="1" customWidth="1" outlineLevel="1"/>
    <col min="21" max="21" width="11.42578125" hidden="1" customWidth="1" outlineLevel="1"/>
    <col min="22" max="22" width="20.28515625" style="6" hidden="1" customWidth="1" outlineLevel="1"/>
    <col min="23" max="23" width="15.7109375" style="37" customWidth="1" collapsed="1"/>
    <col min="24" max="24" width="9.85546875" customWidth="1"/>
    <col min="25" max="25" width="15.85546875" customWidth="1"/>
    <col min="26" max="26" width="3.7109375" style="3" customWidth="1"/>
  </cols>
  <sheetData>
    <row r="1" spans="1:26" ht="65.25" customHeight="1" x14ac:dyDescent="0.25">
      <c r="A1" s="3"/>
      <c r="C1" s="8"/>
      <c r="D1" s="8"/>
      <c r="E1" s="8"/>
      <c r="F1" s="8"/>
      <c r="G1" s="18"/>
      <c r="H1" s="18"/>
      <c r="I1" s="18"/>
      <c r="J1" s="18"/>
      <c r="K1" s="18"/>
      <c r="L1" s="18"/>
      <c r="M1" s="10"/>
      <c r="P1" s="3"/>
      <c r="T1" s="3"/>
      <c r="U1" s="3"/>
      <c r="V1"/>
      <c r="Z1"/>
    </row>
    <row r="2" spans="1:26" x14ac:dyDescent="0.25">
      <c r="A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36" t="s">
        <v>76</v>
      </c>
      <c r="R2" s="36" t="s">
        <v>76</v>
      </c>
      <c r="T2" s="8"/>
      <c r="U2" s="8"/>
      <c r="V2" s="8"/>
      <c r="Z2"/>
    </row>
    <row r="3" spans="1:26" s="42" customFormat="1" x14ac:dyDescent="0.25">
      <c r="A3" s="43" t="s">
        <v>11</v>
      </c>
      <c r="B3" s="41" t="s">
        <v>136</v>
      </c>
      <c r="C3" s="44" t="s">
        <v>3</v>
      </c>
      <c r="D3" s="44" t="s">
        <v>144</v>
      </c>
      <c r="E3" s="44" t="s">
        <v>2</v>
      </c>
      <c r="F3" s="44" t="s">
        <v>145</v>
      </c>
      <c r="G3" s="45" t="s">
        <v>21</v>
      </c>
      <c r="H3" s="45" t="s">
        <v>166</v>
      </c>
      <c r="I3" s="45" t="s">
        <v>22</v>
      </c>
      <c r="J3" s="45" t="s">
        <v>167</v>
      </c>
      <c r="K3" s="45" t="s">
        <v>23</v>
      </c>
      <c r="L3" s="45" t="s">
        <v>168</v>
      </c>
      <c r="M3" s="46" t="s">
        <v>1</v>
      </c>
      <c r="N3" s="46" t="s">
        <v>77</v>
      </c>
      <c r="O3" s="47" t="s">
        <v>71</v>
      </c>
      <c r="P3" t="s">
        <v>15</v>
      </c>
      <c r="Q3" s="7" t="s">
        <v>81</v>
      </c>
      <c r="R3" s="7" t="s">
        <v>165</v>
      </c>
      <c r="S3" s="41" t="s">
        <v>13</v>
      </c>
      <c r="T3" s="6" t="s">
        <v>14</v>
      </c>
      <c r="U3" t="s">
        <v>12</v>
      </c>
      <c r="V3" t="s">
        <v>46</v>
      </c>
      <c r="W3" s="41"/>
    </row>
    <row r="4" spans="1:26" s="51" customFormat="1" ht="21" customHeight="1" x14ac:dyDescent="0.25">
      <c r="A4" s="49" t="s">
        <v>127</v>
      </c>
      <c r="B4" s="52"/>
      <c r="C4" s="48" t="s">
        <v>189</v>
      </c>
      <c r="D4" s="48" t="s">
        <v>186</v>
      </c>
      <c r="E4" s="48"/>
      <c r="F4" s="48" t="s">
        <v>186</v>
      </c>
      <c r="G4" s="49" t="s">
        <v>196</v>
      </c>
      <c r="H4" s="49" t="s">
        <v>186</v>
      </c>
      <c r="I4" s="49" t="s">
        <v>201</v>
      </c>
      <c r="J4" s="49" t="s">
        <v>186</v>
      </c>
      <c r="K4" s="49"/>
      <c r="L4" s="49" t="s">
        <v>186</v>
      </c>
      <c r="M4" s="49" t="s">
        <v>143</v>
      </c>
      <c r="N4" s="53">
        <v>3</v>
      </c>
      <c r="O4" s="53">
        <v>0.25000000011641499</v>
      </c>
      <c r="P4" s="49" t="s">
        <v>92</v>
      </c>
      <c r="Q4" s="53">
        <v>3.9855</v>
      </c>
      <c r="R4" s="58">
        <v>44076.649131944447</v>
      </c>
      <c r="S4" s="54"/>
      <c r="T4" s="49" t="s">
        <v>18</v>
      </c>
      <c r="U4" s="49">
        <v>1</v>
      </c>
      <c r="V4" s="49" t="s">
        <v>188</v>
      </c>
      <c r="W4" s="50"/>
    </row>
    <row r="5" spans="1:26" ht="21" customHeight="1" x14ac:dyDescent="0.25">
      <c r="A5" s="49" t="s">
        <v>191</v>
      </c>
      <c r="B5" s="52"/>
      <c r="C5" s="48" t="s">
        <v>192</v>
      </c>
      <c r="D5" s="48" t="s">
        <v>186</v>
      </c>
      <c r="E5" s="48"/>
      <c r="F5" s="48" t="s">
        <v>186</v>
      </c>
      <c r="G5" s="49" t="s">
        <v>199</v>
      </c>
      <c r="H5" s="49" t="s">
        <v>186</v>
      </c>
      <c r="I5" s="49"/>
      <c r="J5" s="49" t="s">
        <v>186</v>
      </c>
      <c r="K5" s="49"/>
      <c r="L5" s="49" t="s">
        <v>186</v>
      </c>
      <c r="M5" s="49" t="s">
        <v>130</v>
      </c>
      <c r="N5" s="53">
        <v>2</v>
      </c>
      <c r="O5" s="53">
        <v>0.420833333395422</v>
      </c>
      <c r="P5" s="49" t="s">
        <v>92</v>
      </c>
      <c r="Q5" s="53">
        <v>0.57899999999999996</v>
      </c>
      <c r="R5" s="58">
        <v>44076.417361111111</v>
      </c>
      <c r="S5" s="54"/>
      <c r="T5" s="49" t="s">
        <v>18</v>
      </c>
      <c r="U5" s="49">
        <v>2</v>
      </c>
      <c r="V5" s="49" t="s">
        <v>190</v>
      </c>
    </row>
    <row r="6" spans="1:26" ht="21" customHeight="1" x14ac:dyDescent="0.25">
      <c r="A6" s="49" t="s">
        <v>126</v>
      </c>
      <c r="B6" s="52"/>
      <c r="C6" s="48" t="s">
        <v>187</v>
      </c>
      <c r="D6" s="48" t="s">
        <v>186</v>
      </c>
      <c r="E6" s="48"/>
      <c r="F6" s="48" t="s">
        <v>186</v>
      </c>
      <c r="G6" s="49" t="s">
        <v>196</v>
      </c>
      <c r="H6" s="49" t="s">
        <v>186</v>
      </c>
      <c r="I6" s="49"/>
      <c r="J6" s="49" t="s">
        <v>186</v>
      </c>
      <c r="K6" s="49"/>
      <c r="L6" s="49" t="s">
        <v>186</v>
      </c>
      <c r="M6" s="49" t="s">
        <v>91</v>
      </c>
      <c r="N6" s="53">
        <v>6</v>
      </c>
      <c r="O6" s="53">
        <v>0</v>
      </c>
      <c r="P6" s="49" t="s">
        <v>92</v>
      </c>
      <c r="Q6" s="53">
        <v>11.298</v>
      </c>
      <c r="R6" s="58">
        <v>44077.562743055554</v>
      </c>
      <c r="S6" s="54"/>
      <c r="T6" s="49" t="s">
        <v>18</v>
      </c>
      <c r="U6" s="49">
        <v>3</v>
      </c>
      <c r="V6" s="49" t="s">
        <v>185</v>
      </c>
    </row>
    <row r="7" spans="1:26" ht="21" customHeight="1" x14ac:dyDescent="0.25">
      <c r="A7" s="49" t="s">
        <v>216</v>
      </c>
      <c r="B7" s="52"/>
      <c r="C7" s="48" t="s">
        <v>235</v>
      </c>
      <c r="D7" s="48" t="s">
        <v>186</v>
      </c>
      <c r="E7" s="48" t="s">
        <v>236</v>
      </c>
      <c r="F7" s="48" t="s">
        <v>186</v>
      </c>
      <c r="G7" s="49"/>
      <c r="H7" s="49" t="s">
        <v>186</v>
      </c>
      <c r="I7" s="49"/>
      <c r="J7" s="49" t="s">
        <v>186</v>
      </c>
      <c r="K7" s="49"/>
      <c r="L7" s="49" t="s">
        <v>186</v>
      </c>
      <c r="M7" s="49" t="s">
        <v>91</v>
      </c>
      <c r="N7" s="53">
        <v>0.25</v>
      </c>
      <c r="O7" s="53">
        <v>0</v>
      </c>
      <c r="P7" s="49" t="s">
        <v>92</v>
      </c>
      <c r="Q7" s="49"/>
      <c r="R7" s="49"/>
      <c r="S7" s="54">
        <v>44075</v>
      </c>
      <c r="T7" s="49" t="s">
        <v>18</v>
      </c>
      <c r="U7" s="49">
        <v>4</v>
      </c>
      <c r="V7" s="49" t="s">
        <v>234</v>
      </c>
    </row>
    <row r="8" spans="1:26" ht="21" customHeight="1" x14ac:dyDescent="0.25">
      <c r="A8" s="49" t="s">
        <v>215</v>
      </c>
      <c r="B8" s="52"/>
      <c r="C8" s="48" t="s">
        <v>218</v>
      </c>
      <c r="D8" s="48" t="s">
        <v>186</v>
      </c>
      <c r="E8" s="48"/>
      <c r="F8" s="48" t="s">
        <v>186</v>
      </c>
      <c r="G8" s="49"/>
      <c r="H8" s="49" t="s">
        <v>186</v>
      </c>
      <c r="I8" s="49"/>
      <c r="J8" s="49" t="s">
        <v>186</v>
      </c>
      <c r="K8" s="49"/>
      <c r="L8" s="49" t="s">
        <v>186</v>
      </c>
      <c r="M8" s="49" t="s">
        <v>131</v>
      </c>
      <c r="N8" s="53">
        <v>2</v>
      </c>
      <c r="O8" s="53">
        <v>1.00000000011642</v>
      </c>
      <c r="P8" s="58">
        <v>44075.693333333336</v>
      </c>
      <c r="Q8" s="49" t="s">
        <v>92</v>
      </c>
      <c r="R8" s="49" t="s">
        <v>92</v>
      </c>
      <c r="S8" s="54"/>
      <c r="T8" s="49" t="s">
        <v>18</v>
      </c>
      <c r="U8" s="49" t="s">
        <v>92</v>
      </c>
      <c r="V8" s="49" t="s">
        <v>217</v>
      </c>
    </row>
    <row r="9" spans="1:26" ht="21" customHeight="1" x14ac:dyDescent="0.25">
      <c r="A9" s="49" t="s">
        <v>210</v>
      </c>
      <c r="B9" s="52"/>
      <c r="C9" s="48" t="s">
        <v>211</v>
      </c>
      <c r="D9" s="48" t="s">
        <v>186</v>
      </c>
      <c r="E9" s="48"/>
      <c r="F9" s="48" t="s">
        <v>186</v>
      </c>
      <c r="G9" s="49"/>
      <c r="H9" s="49" t="s">
        <v>186</v>
      </c>
      <c r="I9" s="49"/>
      <c r="J9" s="49" t="s">
        <v>186</v>
      </c>
      <c r="K9" s="49"/>
      <c r="L9" s="49" t="s">
        <v>186</v>
      </c>
      <c r="M9" s="49" t="s">
        <v>131</v>
      </c>
      <c r="N9" s="53">
        <v>4</v>
      </c>
      <c r="O9" s="53">
        <v>7.7499999999417897</v>
      </c>
      <c r="P9" s="58">
        <v>44075.827719907407</v>
      </c>
      <c r="Q9" s="49" t="s">
        <v>92</v>
      </c>
      <c r="R9" s="49" t="s">
        <v>92</v>
      </c>
      <c r="S9" s="54"/>
      <c r="T9" s="49" t="s">
        <v>18</v>
      </c>
      <c r="U9" s="49" t="s">
        <v>92</v>
      </c>
      <c r="V9" s="49" t="s">
        <v>209</v>
      </c>
    </row>
    <row r="10" spans="1:26" ht="21" customHeight="1" x14ac:dyDescent="0.25">
      <c r="A10" s="49" t="s">
        <v>194</v>
      </c>
      <c r="B10" s="52"/>
      <c r="C10" s="48" t="s">
        <v>195</v>
      </c>
      <c r="D10" s="48" t="s">
        <v>186</v>
      </c>
      <c r="E10" s="48"/>
      <c r="F10" s="48" t="s">
        <v>186</v>
      </c>
      <c r="G10" s="49"/>
      <c r="H10" s="49" t="s">
        <v>186</v>
      </c>
      <c r="I10" s="49" t="s">
        <v>201</v>
      </c>
      <c r="J10" s="49" t="s">
        <v>186</v>
      </c>
      <c r="K10" s="49"/>
      <c r="L10" s="49" t="s">
        <v>186</v>
      </c>
      <c r="M10" s="49" t="s">
        <v>131</v>
      </c>
      <c r="N10" s="53">
        <v>1</v>
      </c>
      <c r="O10" s="53">
        <v>0.50000000005820799</v>
      </c>
      <c r="P10" s="58">
        <v>44075.825497685182</v>
      </c>
      <c r="Q10" s="49" t="s">
        <v>92</v>
      </c>
      <c r="R10" s="49" t="s">
        <v>92</v>
      </c>
      <c r="S10" s="54">
        <v>44560</v>
      </c>
      <c r="T10" s="49" t="s">
        <v>18</v>
      </c>
      <c r="U10" s="49" t="s">
        <v>92</v>
      </c>
      <c r="V10" s="49" t="s">
        <v>193</v>
      </c>
    </row>
    <row r="11" spans="1:26" x14ac:dyDescent="0.25">
      <c r="A11" s="38"/>
      <c r="B11" s="34"/>
      <c r="C11" s="22"/>
      <c r="D11" s="22"/>
      <c r="E11" s="22"/>
      <c r="F11" s="22"/>
      <c r="G11" s="23"/>
      <c r="H11" s="23"/>
      <c r="I11" s="38"/>
      <c r="J11" s="38"/>
      <c r="K11" s="38"/>
      <c r="L11" s="38"/>
      <c r="M11" s="38"/>
      <c r="N11" s="39"/>
      <c r="O11" s="38"/>
      <c r="P11" s="38"/>
      <c r="Q11" s="38"/>
      <c r="R11" s="38"/>
      <c r="S11" s="35"/>
      <c r="T11" s="38"/>
      <c r="U11" s="38"/>
      <c r="V11" s="38"/>
    </row>
    <row r="12" spans="1:26" x14ac:dyDescent="0.25">
      <c r="A12" s="23"/>
      <c r="B12" s="34"/>
      <c r="C12" s="22"/>
      <c r="D12" s="22"/>
      <c r="E12" s="22" t="s">
        <v>111</v>
      </c>
      <c r="F12" s="22"/>
      <c r="I12" s="23"/>
      <c r="J12" s="23"/>
      <c r="K12" s="23"/>
      <c r="L12" s="23"/>
      <c r="M12" s="23"/>
      <c r="N12" s="23"/>
      <c r="O12" s="24"/>
      <c r="P12" s="23"/>
      <c r="Q12" s="24"/>
      <c r="R12" s="24"/>
      <c r="S12" s="35"/>
      <c r="V12" s="23"/>
    </row>
    <row r="17" spans="3:4" x14ac:dyDescent="0.25">
      <c r="C17" s="11"/>
      <c r="D17" s="11"/>
    </row>
  </sheetData>
  <dataConsolidate/>
  <phoneticPr fontId="15" type="noConversion"/>
  <conditionalFormatting sqref="B4:B10">
    <cfRule type="containsText" dxfId="39" priority="10" operator="containsText" text="&lt;now&gt;">
      <formula>NOT(ISERROR(SEARCH("&lt;now&gt;",B4)))</formula>
    </cfRule>
  </conditionalFormatting>
  <conditionalFormatting sqref="M4:M10">
    <cfRule type="containsText" dxfId="38" priority="1" operator="containsText" text="Continuous">
      <formula>NOT(ISERROR(SEARCH("Continuous",M4)))</formula>
    </cfRule>
    <cfRule type="containsText" dxfId="37" priority="2" operator="containsText" text="Meta">
      <formula>NOT(ISERROR(SEARCH("Meta",M4)))</formula>
    </cfRule>
    <cfRule type="containsText" dxfId="36" priority="3" operator="containsText" text="Testing/Review">
      <formula>NOT(ISERROR(SEARCH("Testing/Review",M4)))</formula>
    </cfRule>
    <cfRule type="containsText" dxfId="35" priority="5" operator="containsText" text="Note">
      <formula>NOT(ISERROR(SEARCH("Note",M4)))</formula>
    </cfRule>
    <cfRule type="containsText" dxfId="34" priority="11" operator="containsText" text="Done">
      <formula>NOT(ISERROR(SEARCH("Done",M4)))</formula>
    </cfRule>
    <cfRule type="containsText" dxfId="33" priority="12" operator="containsText" text="In progress">
      <formula>NOT(ISERROR(SEARCH("In progress",M4)))</formula>
    </cfRule>
    <cfRule type="containsText" dxfId="32" priority="13" operator="containsText" text="To do">
      <formula>NOT(ISERROR(SEARCH("To do",M4)))</formula>
    </cfRule>
  </conditionalFormatting>
  <conditionalFormatting sqref="S4:S10">
    <cfRule type="cellIs" dxfId="31" priority="4" operator="lessThan">
      <formula>TODAY()</formula>
    </cfRule>
  </conditionalFormatting>
  <conditionalFormatting sqref="U4:U10">
    <cfRule type="colorScale" priority="4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6">
    <dataValidation type="list" allowBlank="1" showInputMessage="1" showErrorMessage="1" sqref="Q2" xr:uid="{97887939-3BEB-4208-B392-81AF3EE745BF}">
      <formula1>"cumulative, single"</formula1>
    </dataValidation>
    <dataValidation type="list" allowBlank="1" showInputMessage="1" showErrorMessage="1" sqref="R2" xr:uid="{AE25932B-CEE6-4C5E-83FE-7FE3F6CE570D}">
      <formula1>"cumulative,single"</formula1>
    </dataValidation>
    <dataValidation type="list" allowBlank="1" showInputMessage="1" showErrorMessage="1" sqref="M4:M10" xr:uid="{6C3476F0-112C-4267-BE3C-B2374FE0AF43}">
      <formula1>Kanban_listVdata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T4:T10" xr:uid="{6FE46194-D0E6-4E7B-9A7A-A8E9535B33F5}">
      <formula1>ContributorVdata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:G10" xr:uid="{D8D2B3ED-E3E1-4B38-A73E-71E69598F7D1}">
      <formula1>_Tag_1Vdata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I4:I10" xr:uid="{5C85CD4E-916D-4115-A52B-73FB0A234522}">
      <formula1>_Tag_2Vdata</formula1>
    </dataValidation>
  </dataValidations>
  <hyperlinks>
    <hyperlink ref="C6" location="Planning!A1" display="Planning!A1" xr:uid="{00C8E7A7-2E80-4183-933F-3975E4FA5151}"/>
    <hyperlink ref="C4" location="Planning!A1" display="Planning!A1" xr:uid="{1321BC84-BB76-4D91-A9DF-B0A1FDFB085B}"/>
    <hyperlink ref="C5" location="Planning!A1" display="Planning!A1" xr:uid="{95584734-70F3-4D5B-9D2F-FDA405B7C3E8}"/>
    <hyperlink ref="C10" location="Planning!A1" display="Planning!A1" xr:uid="{7794ADAB-AD48-45BA-90B3-144D9C081A06}"/>
    <hyperlink ref="C9" location="Planning!A1" display="Planning!A1" xr:uid="{7BCE2589-0E17-4BC2-A553-95C660550F2E}"/>
    <hyperlink ref="C8" location="Planning!A1" display="Planning!A1" xr:uid="{389C5B0D-D293-4F06-AD91-03A096E7C894}"/>
    <hyperlink ref="C7" location="Planning!A1" display="Planning!A1" xr:uid="{EAA399FC-38CB-4C14-98DC-800C8CFC838D}"/>
  </hyperlink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1</xdr:col>
                    <xdr:colOff>76200</xdr:colOff>
                    <xdr:row>0</xdr:row>
                    <xdr:rowOff>85725</xdr:rowOff>
                  </from>
                  <to>
                    <xdr:col>2</xdr:col>
                    <xdr:colOff>952500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6</xdr:col>
                    <xdr:colOff>66675</xdr:colOff>
                    <xdr:row>0</xdr:row>
                    <xdr:rowOff>85725</xdr:rowOff>
                  </from>
                  <to>
                    <xdr:col>8</xdr:col>
                    <xdr:colOff>228600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4</xdr:col>
                    <xdr:colOff>409575</xdr:colOff>
                    <xdr:row>0</xdr:row>
                    <xdr:rowOff>352425</xdr:rowOff>
                  </from>
                  <to>
                    <xdr:col>6</xdr:col>
                    <xdr:colOff>19050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4</xdr:col>
                    <xdr:colOff>409575</xdr:colOff>
                    <xdr:row>0</xdr:row>
                    <xdr:rowOff>85725</xdr:rowOff>
                  </from>
                  <to>
                    <xdr:col>6</xdr:col>
                    <xdr:colOff>19050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2</xdr:col>
                    <xdr:colOff>1038225</xdr:colOff>
                    <xdr:row>0</xdr:row>
                    <xdr:rowOff>561975</xdr:rowOff>
                  </from>
                  <to>
                    <xdr:col>4</xdr:col>
                    <xdr:colOff>66675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2</xdr:col>
                    <xdr:colOff>1047750</xdr:colOff>
                    <xdr:row>0</xdr:row>
                    <xdr:rowOff>85725</xdr:rowOff>
                  </from>
                  <to>
                    <xdr:col>4</xdr:col>
                    <xdr:colOff>76200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8</xdr:col>
                    <xdr:colOff>266700</xdr:colOff>
                    <xdr:row>0</xdr:row>
                    <xdr:rowOff>76200</xdr:rowOff>
                  </from>
                  <to>
                    <xdr:col>11</xdr:col>
                    <xdr:colOff>0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8</xdr:col>
                    <xdr:colOff>266700</xdr:colOff>
                    <xdr:row>0</xdr:row>
                    <xdr:rowOff>333375</xdr:rowOff>
                  </from>
                  <to>
                    <xdr:col>11</xdr:col>
                    <xdr:colOff>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11</xdr:col>
                    <xdr:colOff>57150</xdr:colOff>
                    <xdr:row>0</xdr:row>
                    <xdr:rowOff>66675</xdr:rowOff>
                  </from>
                  <to>
                    <xdr:col>13</xdr:col>
                    <xdr:colOff>781050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11</xdr:col>
                    <xdr:colOff>57150</xdr:colOff>
                    <xdr:row>0</xdr:row>
                    <xdr:rowOff>333375</xdr:rowOff>
                  </from>
                  <to>
                    <xdr:col>13</xdr:col>
                    <xdr:colOff>781050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6</xdr:col>
                    <xdr:colOff>66675</xdr:colOff>
                    <xdr:row>0</xdr:row>
                    <xdr:rowOff>352425</xdr:rowOff>
                  </from>
                  <to>
                    <xdr:col>8</xdr:col>
                    <xdr:colOff>228600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8</xdr:col>
                    <xdr:colOff>266700</xdr:colOff>
                    <xdr:row>0</xdr:row>
                    <xdr:rowOff>590550</xdr:rowOff>
                  </from>
                  <to>
                    <xdr:col>11</xdr:col>
                    <xdr:colOff>0</xdr:colOff>
                    <xdr:row>0</xdr:row>
                    <xdr:rowOff>809625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16" name="Button 966">
              <controlPr defaultSize="0" print="0" autoFill="0" autoPict="0" macro="[0]!Planning.UI_ResetListFormat">
                <anchor>
                  <from>
                    <xdr:col>11</xdr:col>
                    <xdr:colOff>66675</xdr:colOff>
                    <xdr:row>0</xdr:row>
                    <xdr:rowOff>590550</xdr:rowOff>
                  </from>
                  <to>
                    <xdr:col>13</xdr:col>
                    <xdr:colOff>790575</xdr:colOff>
                    <xdr:row>0</xdr:row>
                    <xdr:rowOff>809625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17" name="Button 968">
              <controlPr defaultSize="0" print="0" autoFill="0" autoPict="0" macro="[0]!Planning.UI_ShareMetaTaskTime">
                <anchor>
                  <from>
                    <xdr:col>6</xdr:col>
                    <xdr:colOff>57150</xdr:colOff>
                    <xdr:row>0</xdr:row>
                    <xdr:rowOff>609600</xdr:rowOff>
                  </from>
                  <to>
                    <xdr:col>8</xdr:col>
                    <xdr:colOff>219075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4D312-F2CB-4E49-98FF-F07FAECC30F3}">
  <sheetPr codeName="TaskSheetTemplate1"/>
  <dimension ref="A1:M23"/>
  <sheetViews>
    <sheetView workbookViewId="0"/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24</v>
      </c>
      <c r="I1" t="s">
        <v>137</v>
      </c>
      <c r="J1" t="s">
        <v>138</v>
      </c>
    </row>
    <row r="2" spans="1:13" x14ac:dyDescent="0.25">
      <c r="A2" t="s">
        <v>3</v>
      </c>
      <c r="B2" t="s">
        <v>211</v>
      </c>
    </row>
    <row r="3" spans="1:13" x14ac:dyDescent="0.25">
      <c r="A3" t="s">
        <v>77</v>
      </c>
      <c r="B3" s="2">
        <v>4</v>
      </c>
      <c r="C3" t="s">
        <v>4</v>
      </c>
    </row>
    <row r="4" spans="1:13" x14ac:dyDescent="0.25">
      <c r="A4" t="s">
        <v>0</v>
      </c>
      <c r="B4" s="2">
        <f>SUM(TimeEntries172832[Time delta in h])</f>
        <v>7.7499999999417923</v>
      </c>
      <c r="C4" t="s">
        <v>4</v>
      </c>
    </row>
    <row r="5" spans="1:13" x14ac:dyDescent="0.25">
      <c r="A5" t="s">
        <v>13</v>
      </c>
      <c r="B5" s="5" t="s">
        <v>92</v>
      </c>
    </row>
    <row r="6" spans="1:13" x14ac:dyDescent="0.25">
      <c r="A6" t="s">
        <v>14</v>
      </c>
      <c r="B6" s="5" t="s">
        <v>18</v>
      </c>
    </row>
    <row r="7" spans="1:13" x14ac:dyDescent="0.25">
      <c r="A7" t="s">
        <v>1</v>
      </c>
      <c r="B7" t="s">
        <v>131</v>
      </c>
    </row>
    <row r="8" spans="1:13" x14ac:dyDescent="0.25">
      <c r="A8" t="s">
        <v>15</v>
      </c>
      <c r="B8" s="5">
        <v>44075.827719907407</v>
      </c>
    </row>
    <row r="9" spans="1:13" x14ac:dyDescent="0.25">
      <c r="A9" t="s">
        <v>2</v>
      </c>
    </row>
    <row r="10" spans="1:13" x14ac:dyDescent="0.25">
      <c r="A10" t="s">
        <v>46</v>
      </c>
      <c r="B10" t="s">
        <v>209</v>
      </c>
    </row>
    <row r="11" spans="1:13" x14ac:dyDescent="0.25">
      <c r="A11" t="s">
        <v>5</v>
      </c>
      <c r="B11" s="2">
        <f>B3/SUM(TimeEntries172832[Time delta in h])</f>
        <v>0.51612903226194096</v>
      </c>
      <c r="C11" t="s">
        <v>6</v>
      </c>
    </row>
    <row r="12" spans="1:13" x14ac:dyDescent="0.25">
      <c r="A12" t="s">
        <v>93</v>
      </c>
    </row>
    <row r="13" spans="1:13" x14ac:dyDescent="0.25">
      <c r="A13" t="s">
        <v>94</v>
      </c>
    </row>
    <row r="14" spans="1:13" x14ac:dyDescent="0.25">
      <c r="A14" t="s">
        <v>129</v>
      </c>
      <c r="B14" s="1">
        <v>44075.827488425923</v>
      </c>
    </row>
    <row r="16" spans="1:13" x14ac:dyDescent="0.25">
      <c r="A16" t="s">
        <v>10</v>
      </c>
      <c r="B16" t="s">
        <v>7</v>
      </c>
      <c r="C16" t="s">
        <v>8</v>
      </c>
      <c r="D16" t="s">
        <v>9</v>
      </c>
      <c r="E16" t="s">
        <v>136</v>
      </c>
      <c r="F16" t="s">
        <v>84</v>
      </c>
      <c r="G16" t="s">
        <v>85</v>
      </c>
      <c r="I16" t="s">
        <v>70</v>
      </c>
      <c r="J16" s="15" t="s">
        <v>68</v>
      </c>
      <c r="K16" s="2" t="s">
        <v>69</v>
      </c>
      <c r="L16" t="s">
        <v>71</v>
      </c>
      <c r="M16" t="s">
        <v>72</v>
      </c>
    </row>
    <row r="17" spans="1:13" x14ac:dyDescent="0.25">
      <c r="A17" t="s">
        <v>126</v>
      </c>
      <c r="B17" s="1">
        <v>44075.733958333331</v>
      </c>
      <c r="C17" s="1">
        <v>44075.827708333331</v>
      </c>
      <c r="D17" s="2">
        <f>MAX((TimeEntries172832[[#This Row],[End time]]-TimeEntries172832[[#This Row],[Start time]])*24,0)</f>
        <v>2.25</v>
      </c>
      <c r="F17" s="57" t="s">
        <v>206</v>
      </c>
      <c r="G17" s="22" t="s">
        <v>207</v>
      </c>
      <c r="I17" t="s">
        <v>126</v>
      </c>
      <c r="J17" s="15">
        <v>0.05</v>
      </c>
      <c r="K17" s="2">
        <v>2</v>
      </c>
      <c r="L17" s="2">
        <f>SUM(TimeEntries172832[Time delta in h])</f>
        <v>7.7499999999417923</v>
      </c>
      <c r="M17" s="16">
        <f>Tabelle7367182933[[#This Row],[EBS self time]]/Tabelle7367182933[[#This Row],[Total time]]</f>
        <v>0.25806451613097048</v>
      </c>
    </row>
    <row r="18" spans="1:13" x14ac:dyDescent="0.25">
      <c r="A18" t="s">
        <v>127</v>
      </c>
      <c r="B18" s="1">
        <v>44075.608969907407</v>
      </c>
      <c r="C18" s="1">
        <v>44075.827719907407</v>
      </c>
      <c r="D18" s="2">
        <f>MAX((TimeEntries172832[[#This Row],[End time]]-TimeEntries172832[[#This Row],[Start time]])*24,0)</f>
        <v>5.25</v>
      </c>
      <c r="F18" s="57" t="s">
        <v>206</v>
      </c>
      <c r="G18" s="22" t="s">
        <v>207</v>
      </c>
      <c r="I18" t="s">
        <v>127</v>
      </c>
      <c r="J18" s="15">
        <v>0.2</v>
      </c>
      <c r="K18" s="2">
        <v>2</v>
      </c>
      <c r="L18" s="2">
        <f>SUM(TimeEntries172832[Time delta in h])</f>
        <v>7.7499999999417923</v>
      </c>
      <c r="M18" s="16">
        <f>Tabelle7367182933[[#This Row],[EBS self time]]/Tabelle7367182933[[#This Row],[Total time]]</f>
        <v>0.25806451613097048</v>
      </c>
    </row>
    <row r="19" spans="1:13" x14ac:dyDescent="0.25">
      <c r="A19" t="s">
        <v>191</v>
      </c>
      <c r="B19" s="1">
        <v>44075.817303240743</v>
      </c>
      <c r="C19" s="1">
        <v>44075.827719907407</v>
      </c>
      <c r="D19" s="2">
        <f>MAX((TimeEntries172832[[#This Row],[End time]]-TimeEntries172832[[#This Row],[Start time]])*24,0)</f>
        <v>0.24999999994179234</v>
      </c>
      <c r="F19" s="57" t="s">
        <v>206</v>
      </c>
      <c r="G19" s="22" t="s">
        <v>207</v>
      </c>
      <c r="I19" t="s">
        <v>191</v>
      </c>
      <c r="J19" s="15">
        <v>0.35</v>
      </c>
      <c r="K19" s="2">
        <v>2</v>
      </c>
      <c r="L19" s="2">
        <f>SUM(TimeEntries172832[Time delta in h])</f>
        <v>7.7499999999417923</v>
      </c>
      <c r="M19" s="16">
        <f>Tabelle7367182933[[#This Row],[EBS self time]]/Tabelle7367182933[[#This Row],[Total time]]</f>
        <v>0.25806451613097048</v>
      </c>
    </row>
    <row r="20" spans="1:13" x14ac:dyDescent="0.25">
      <c r="B20" s="1"/>
      <c r="C20" s="1"/>
      <c r="D20" s="2"/>
      <c r="I20" t="s">
        <v>194</v>
      </c>
      <c r="J20" s="15">
        <v>0.5</v>
      </c>
      <c r="K20" s="2">
        <v>2</v>
      </c>
      <c r="L20" s="2">
        <f>SUM(TimeEntries172832[Time delta in h])</f>
        <v>7.7499999999417923</v>
      </c>
      <c r="M20" s="16">
        <f>Tabelle7367182933[[#This Row],[EBS self time]]/Tabelle7367182933[[#This Row],[Total time]]</f>
        <v>0.25806451613097048</v>
      </c>
    </row>
    <row r="21" spans="1:13" x14ac:dyDescent="0.25">
      <c r="I21" t="s">
        <v>210</v>
      </c>
      <c r="J21" s="15">
        <v>0.65</v>
      </c>
      <c r="K21" s="2">
        <v>2</v>
      </c>
      <c r="L21" s="2">
        <f>SUM(TimeEntries172832[Time delta in h])</f>
        <v>7.7499999999417923</v>
      </c>
      <c r="M21" s="16">
        <f>Tabelle7367182933[[#This Row],[EBS self time]]/Tabelle7367182933[[#This Row],[Total time]]</f>
        <v>0.25806451613097048</v>
      </c>
    </row>
    <row r="22" spans="1:13" x14ac:dyDescent="0.25">
      <c r="I22" t="s">
        <v>215</v>
      </c>
      <c r="J22" s="15">
        <v>0.8</v>
      </c>
      <c r="K22" s="2">
        <v>2</v>
      </c>
      <c r="L22" s="2">
        <f>SUM(TimeEntries172832[Time delta in h])</f>
        <v>7.7499999999417923</v>
      </c>
      <c r="M22" s="16">
        <f>Tabelle7367182933[[#This Row],[EBS self time]]/Tabelle7367182933[[#This Row],[Total time]]</f>
        <v>0.25806451613097048</v>
      </c>
    </row>
    <row r="23" spans="1:13" x14ac:dyDescent="0.25">
      <c r="I23" t="s">
        <v>216</v>
      </c>
      <c r="J23" s="15">
        <v>0.95</v>
      </c>
      <c r="K23" s="2">
        <v>2</v>
      </c>
      <c r="L23" s="2">
        <f>SUM(TimeEntries172832[Time delta in h])</f>
        <v>7.7499999999417923</v>
      </c>
      <c r="M23" s="16">
        <f>Tabelle7367182933[[#This Row],[EBS self time]]/Tabelle7367182933[[#This Row],[Total time]]</f>
        <v>0.25806451613097048</v>
      </c>
    </row>
  </sheetData>
  <dataConsolidate/>
  <hyperlinks>
    <hyperlink ref="A1" location="Planning!A1" display="Go back to 'Planning' sheet" xr:uid="{12013511-B530-4D24-96A8-15E2615E10F3}"/>
    <hyperlink ref="F17" location="$F$17" display="$F$17" xr:uid="{46BCD791-D127-45BC-92BA-BFAEDBD44674}"/>
    <hyperlink ref="G17" location="$G$17" display="$G$17" xr:uid="{7A6FB3BD-8CFC-41AC-8B34-1E7EB56D405F}"/>
    <hyperlink ref="F18" location="$F$18" display="$F$18" xr:uid="{C06C2B47-2037-415A-BD04-3B81A06378B1}"/>
    <hyperlink ref="G18" location="$G$18" display="$G$18" xr:uid="{4392D497-3EE7-466E-A002-A6C2230BFC58}"/>
    <hyperlink ref="F19" location="$F$19" display="$F$19" xr:uid="{BB52C691-938C-4E5A-92C5-22F211CC9EE4}"/>
    <hyperlink ref="G19" location="$G$19" display="$G$19" xr:uid="{5B4AD5A1-24E0-4C65-BEA7-29DFC8F8F512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69E89-90DA-42CF-8D11-1E8C4C671FD1}">
  <sheetPr codeName="TaskSheetTemplate2"/>
  <dimension ref="A1:M23"/>
  <sheetViews>
    <sheetView workbookViewId="0"/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24</v>
      </c>
      <c r="I1" t="s">
        <v>137</v>
      </c>
      <c r="J1" t="s">
        <v>138</v>
      </c>
    </row>
    <row r="2" spans="1:13" x14ac:dyDescent="0.25">
      <c r="A2" t="s">
        <v>3</v>
      </c>
      <c r="B2" t="s">
        <v>218</v>
      </c>
    </row>
    <row r="3" spans="1:13" x14ac:dyDescent="0.25">
      <c r="A3" t="s">
        <v>77</v>
      </c>
      <c r="B3" s="2">
        <v>2</v>
      </c>
      <c r="C3" t="s">
        <v>4</v>
      </c>
    </row>
    <row r="4" spans="1:13" x14ac:dyDescent="0.25">
      <c r="A4" t="s">
        <v>0</v>
      </c>
      <c r="B4" s="2">
        <f>SUM(TimeEntries34[Time delta in h])</f>
        <v>1.0000000001164153</v>
      </c>
      <c r="C4" t="s">
        <v>4</v>
      </c>
    </row>
    <row r="5" spans="1:13" x14ac:dyDescent="0.25">
      <c r="A5" t="s">
        <v>13</v>
      </c>
      <c r="B5" s="5" t="s">
        <v>92</v>
      </c>
    </row>
    <row r="6" spans="1:13" x14ac:dyDescent="0.25">
      <c r="A6" t="s">
        <v>14</v>
      </c>
      <c r="B6" s="5" t="s">
        <v>18</v>
      </c>
    </row>
    <row r="7" spans="1:13" x14ac:dyDescent="0.25">
      <c r="A7" t="s">
        <v>1</v>
      </c>
      <c r="B7" t="s">
        <v>131</v>
      </c>
    </row>
    <row r="8" spans="1:13" x14ac:dyDescent="0.25">
      <c r="A8" t="s">
        <v>15</v>
      </c>
      <c r="B8" s="5">
        <v>44075.693333333336</v>
      </c>
    </row>
    <row r="9" spans="1:13" x14ac:dyDescent="0.25">
      <c r="A9" t="s">
        <v>2</v>
      </c>
    </row>
    <row r="10" spans="1:13" x14ac:dyDescent="0.25">
      <c r="A10" t="s">
        <v>46</v>
      </c>
      <c r="B10" t="s">
        <v>217</v>
      </c>
    </row>
    <row r="11" spans="1:13" x14ac:dyDescent="0.25">
      <c r="A11" t="s">
        <v>5</v>
      </c>
      <c r="B11" s="2">
        <f>B3/SUM(TimeEntries34[Time delta in h])</f>
        <v>1.9999999997671694</v>
      </c>
      <c r="C11" t="s">
        <v>6</v>
      </c>
    </row>
    <row r="12" spans="1:13" x14ac:dyDescent="0.25">
      <c r="A12" t="s">
        <v>93</v>
      </c>
    </row>
    <row r="13" spans="1:13" x14ac:dyDescent="0.25">
      <c r="A13" t="s">
        <v>94</v>
      </c>
    </row>
    <row r="14" spans="1:13" x14ac:dyDescent="0.25">
      <c r="A14" t="s">
        <v>129</v>
      </c>
      <c r="B14" s="1">
        <v>44075.828576388885</v>
      </c>
    </row>
    <row r="16" spans="1:13" x14ac:dyDescent="0.25">
      <c r="A16" t="s">
        <v>10</v>
      </c>
      <c r="B16" t="s">
        <v>7</v>
      </c>
      <c r="C16" t="s">
        <v>8</v>
      </c>
      <c r="D16" t="s">
        <v>9</v>
      </c>
      <c r="E16" t="s">
        <v>136</v>
      </c>
      <c r="F16" t="s">
        <v>84</v>
      </c>
      <c r="G16" t="s">
        <v>85</v>
      </c>
      <c r="I16" t="s">
        <v>70</v>
      </c>
      <c r="J16" s="15" t="s">
        <v>68</v>
      </c>
      <c r="K16" s="2" t="s">
        <v>69</v>
      </c>
      <c r="L16" t="s">
        <v>71</v>
      </c>
      <c r="M16" t="s">
        <v>72</v>
      </c>
    </row>
    <row r="17" spans="1:13" x14ac:dyDescent="0.25">
      <c r="A17" t="s">
        <v>126</v>
      </c>
      <c r="B17" s="1">
        <v>44075.651666666665</v>
      </c>
      <c r="C17" s="1">
        <v>44075.693333333336</v>
      </c>
      <c r="D17" s="2">
        <f>MAX((TimeEntries34[[#This Row],[End time]]-TimeEntries34[[#This Row],[Start time]])*24,0)</f>
        <v>1.0000000001164153</v>
      </c>
      <c r="F17" s="57" t="s">
        <v>206</v>
      </c>
      <c r="G17" s="22" t="s">
        <v>207</v>
      </c>
      <c r="I17" t="s">
        <v>126</v>
      </c>
      <c r="J17" s="15">
        <v>0.05</v>
      </c>
      <c r="K17" s="2">
        <v>1</v>
      </c>
      <c r="L17" s="2">
        <f>SUM(TimeEntries34[Time delta in h])</f>
        <v>1.0000000001164153</v>
      </c>
      <c r="M17" s="16">
        <f>Tabelle736735[[#This Row],[EBS self time]]/Tabelle736735[[#This Row],[Total time]]</f>
        <v>0.99999999988358468</v>
      </c>
    </row>
    <row r="18" spans="1:13" x14ac:dyDescent="0.25">
      <c r="B18" s="1"/>
      <c r="C18" s="1"/>
      <c r="D18" s="2"/>
      <c r="I18" t="s">
        <v>127</v>
      </c>
      <c r="J18" s="15">
        <v>0.2</v>
      </c>
      <c r="K18" s="2">
        <v>1</v>
      </c>
      <c r="L18" s="2">
        <f>SUM(TimeEntries34[Time delta in h])</f>
        <v>1.0000000001164153</v>
      </c>
      <c r="M18" s="16">
        <f>Tabelle736735[[#This Row],[EBS self time]]/Tabelle736735[[#This Row],[Total time]]</f>
        <v>0.99999999988358468</v>
      </c>
    </row>
    <row r="19" spans="1:13" x14ac:dyDescent="0.25">
      <c r="I19" t="s">
        <v>191</v>
      </c>
      <c r="J19" s="15">
        <v>0.35</v>
      </c>
      <c r="K19" s="2">
        <v>1</v>
      </c>
      <c r="L19" s="2">
        <f>SUM(TimeEntries34[Time delta in h])</f>
        <v>1.0000000001164153</v>
      </c>
      <c r="M19" s="16">
        <f>Tabelle736735[[#This Row],[EBS self time]]/Tabelle736735[[#This Row],[Total time]]</f>
        <v>0.99999999988358468</v>
      </c>
    </row>
    <row r="20" spans="1:13" x14ac:dyDescent="0.25">
      <c r="I20" t="s">
        <v>194</v>
      </c>
      <c r="J20" s="15">
        <v>0.5</v>
      </c>
      <c r="K20" s="2">
        <v>1.7189922480620154</v>
      </c>
      <c r="L20" s="2">
        <f>SUM(TimeEntries34[Time delta in h])</f>
        <v>1.0000000001164153</v>
      </c>
      <c r="M20" s="16">
        <f>Tabelle736735[[#This Row],[EBS self time]]/Tabelle736735[[#This Row],[Total time]]</f>
        <v>1.7189922478618984</v>
      </c>
    </row>
    <row r="21" spans="1:13" x14ac:dyDescent="0.25">
      <c r="I21" t="s">
        <v>210</v>
      </c>
      <c r="J21" s="15">
        <v>0.65</v>
      </c>
      <c r="K21" s="2">
        <v>3.8759689922480618</v>
      </c>
      <c r="L21" s="2">
        <f>SUM(TimeEntries34[Time delta in h])</f>
        <v>1.0000000001164153</v>
      </c>
      <c r="M21" s="16">
        <f>Tabelle736735[[#This Row],[EBS self time]]/Tabelle736735[[#This Row],[Total time]]</f>
        <v>3.8759689917968396</v>
      </c>
    </row>
    <row r="22" spans="1:13" x14ac:dyDescent="0.25">
      <c r="I22" t="s">
        <v>215</v>
      </c>
      <c r="J22" s="15">
        <v>0.8</v>
      </c>
      <c r="K22" s="2">
        <v>3.8759689922480618</v>
      </c>
      <c r="L22" s="2">
        <f>SUM(TimeEntries34[Time delta in h])</f>
        <v>1.0000000001164153</v>
      </c>
      <c r="M22" s="16">
        <f>Tabelle736735[[#This Row],[EBS self time]]/Tabelle736735[[#This Row],[Total time]]</f>
        <v>3.8759689917968396</v>
      </c>
    </row>
    <row r="23" spans="1:13" x14ac:dyDescent="0.25">
      <c r="I23" t="s">
        <v>216</v>
      </c>
      <c r="J23" s="15">
        <v>0.95</v>
      </c>
      <c r="K23" s="2">
        <v>3.8759689922480618</v>
      </c>
      <c r="L23" s="2">
        <f>SUM(TimeEntries34[Time delta in h])</f>
        <v>1.0000000001164153</v>
      </c>
      <c r="M23" s="16">
        <f>Tabelle736735[[#This Row],[EBS self time]]/Tabelle736735[[#This Row],[Total time]]</f>
        <v>3.8759689917968396</v>
      </c>
    </row>
  </sheetData>
  <dataConsolidate/>
  <hyperlinks>
    <hyperlink ref="A1" location="Planning!A1" display="Go back to 'Planning' sheet" xr:uid="{408DBD75-8807-4EB8-82DD-CABFCA641E64}"/>
    <hyperlink ref="F17" location="$F$17" display="$F$17" xr:uid="{22C869D4-159D-4B04-A13C-DDEEB37D1BC2}"/>
    <hyperlink ref="G17" location="$G$17" display="$G$17" xr:uid="{248FB940-50E4-402A-88E5-7E6005D5AE05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F7620-6908-4F80-9D69-D508BC8E50DA}">
  <sheetPr codeName="TaskSheetTemplate3"/>
  <dimension ref="A1:M23"/>
  <sheetViews>
    <sheetView workbookViewId="0"/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24</v>
      </c>
      <c r="I1" t="s">
        <v>137</v>
      </c>
      <c r="J1" t="s">
        <v>138</v>
      </c>
    </row>
    <row r="2" spans="1:13" x14ac:dyDescent="0.25">
      <c r="A2" t="s">
        <v>3</v>
      </c>
      <c r="B2" t="s">
        <v>235</v>
      </c>
    </row>
    <row r="3" spans="1:13" x14ac:dyDescent="0.25">
      <c r="A3" t="s">
        <v>77</v>
      </c>
      <c r="B3" s="2">
        <v>0.25</v>
      </c>
      <c r="C3" t="s">
        <v>4</v>
      </c>
    </row>
    <row r="4" spans="1:13" x14ac:dyDescent="0.25">
      <c r="A4" t="s">
        <v>0</v>
      </c>
      <c r="B4" s="2">
        <f>SUM(TimeEntries36[Time delta in h])</f>
        <v>0</v>
      </c>
      <c r="C4" t="s">
        <v>4</v>
      </c>
    </row>
    <row r="5" spans="1:13" x14ac:dyDescent="0.25">
      <c r="A5" t="s">
        <v>13</v>
      </c>
      <c r="B5" s="5">
        <v>44075</v>
      </c>
    </row>
    <row r="6" spans="1:13" x14ac:dyDescent="0.25">
      <c r="A6" t="s">
        <v>14</v>
      </c>
      <c r="B6" s="5" t="s">
        <v>18</v>
      </c>
    </row>
    <row r="7" spans="1:13" x14ac:dyDescent="0.25">
      <c r="A7" t="s">
        <v>1</v>
      </c>
      <c r="B7" t="s">
        <v>91</v>
      </c>
    </row>
    <row r="8" spans="1:13" x14ac:dyDescent="0.25">
      <c r="A8" t="s">
        <v>15</v>
      </c>
      <c r="B8" s="5" t="s">
        <v>92</v>
      </c>
    </row>
    <row r="9" spans="1:13" x14ac:dyDescent="0.25">
      <c r="A9" t="s">
        <v>2</v>
      </c>
      <c r="B9" t="s">
        <v>236</v>
      </c>
    </row>
    <row r="10" spans="1:13" x14ac:dyDescent="0.25">
      <c r="A10" t="s">
        <v>46</v>
      </c>
      <c r="B10" t="s">
        <v>234</v>
      </c>
    </row>
    <row r="11" spans="1:13" x14ac:dyDescent="0.25">
      <c r="A11" t="s">
        <v>5</v>
      </c>
      <c r="B11" s="2" t="e">
        <f>B3/SUM(TimeEntries36[Time delta in h])</f>
        <v>#DIV/0!</v>
      </c>
      <c r="C11" t="s">
        <v>6</v>
      </c>
    </row>
    <row r="12" spans="1:13" x14ac:dyDescent="0.25">
      <c r="A12" t="s">
        <v>93</v>
      </c>
    </row>
    <row r="13" spans="1:13" x14ac:dyDescent="0.25">
      <c r="A13" t="s">
        <v>94</v>
      </c>
    </row>
    <row r="14" spans="1:13" x14ac:dyDescent="0.25">
      <c r="A14" t="s">
        <v>129</v>
      </c>
      <c r="B14" s="1">
        <v>44075.829756944448</v>
      </c>
    </row>
    <row r="16" spans="1:13" x14ac:dyDescent="0.25">
      <c r="A16" t="s">
        <v>10</v>
      </c>
      <c r="B16" t="s">
        <v>7</v>
      </c>
      <c r="C16" t="s">
        <v>8</v>
      </c>
      <c r="D16" t="s">
        <v>9</v>
      </c>
      <c r="E16" t="s">
        <v>136</v>
      </c>
      <c r="F16" t="s">
        <v>84</v>
      </c>
      <c r="G16" t="s">
        <v>85</v>
      </c>
      <c r="I16" t="s">
        <v>70</v>
      </c>
      <c r="J16" s="15" t="s">
        <v>68</v>
      </c>
      <c r="K16" s="2" t="s">
        <v>69</v>
      </c>
      <c r="L16" t="s">
        <v>71</v>
      </c>
      <c r="M16" t="s">
        <v>72</v>
      </c>
    </row>
    <row r="17" spans="2:13" x14ac:dyDescent="0.25">
      <c r="B17" s="1"/>
      <c r="C17" s="1"/>
      <c r="D17" s="2">
        <f>MAX((TimeEntries36[[#This Row],[End time]]-TimeEntries36[[#This Row],[Start time]])*24,0)</f>
        <v>0</v>
      </c>
      <c r="I17" t="s">
        <v>126</v>
      </c>
      <c r="J17" s="15">
        <v>0.05</v>
      </c>
      <c r="K17" s="2">
        <v>0.125</v>
      </c>
      <c r="L17" s="2">
        <f>SUM(TimeEntries36[Time delta in h])</f>
        <v>0</v>
      </c>
      <c r="M17" s="16" t="e">
        <f>Tabelle736737[[#This Row],[EBS self time]]/Tabelle736737[[#This Row],[Total time]]</f>
        <v>#DIV/0!</v>
      </c>
    </row>
    <row r="18" spans="2:13" x14ac:dyDescent="0.25">
      <c r="B18" s="1"/>
      <c r="C18" s="1"/>
      <c r="D18" s="2"/>
      <c r="I18" t="s">
        <v>127</v>
      </c>
      <c r="J18" s="15">
        <v>0.2</v>
      </c>
      <c r="K18" s="2">
        <v>0.125</v>
      </c>
      <c r="L18" s="2">
        <f>SUM(TimeEntries36[Time delta in h])</f>
        <v>0</v>
      </c>
      <c r="M18" s="16" t="e">
        <f>Tabelle736737[[#This Row],[EBS self time]]/Tabelle736737[[#This Row],[Total time]]</f>
        <v>#DIV/0!</v>
      </c>
    </row>
    <row r="19" spans="2:13" x14ac:dyDescent="0.25">
      <c r="I19" t="s">
        <v>191</v>
      </c>
      <c r="J19" s="15">
        <v>0.35</v>
      </c>
      <c r="K19" s="2">
        <v>0.125</v>
      </c>
      <c r="L19" s="2">
        <f>SUM(TimeEntries36[Time delta in h])</f>
        <v>0</v>
      </c>
      <c r="M19" s="16" t="e">
        <f>Tabelle736737[[#This Row],[EBS self time]]/Tabelle736737[[#This Row],[Total time]]</f>
        <v>#DIV/0!</v>
      </c>
    </row>
    <row r="20" spans="2:13" x14ac:dyDescent="0.25">
      <c r="I20" t="s">
        <v>194</v>
      </c>
      <c r="J20" s="15">
        <v>0.5</v>
      </c>
      <c r="K20" s="2">
        <v>0.125</v>
      </c>
      <c r="L20" s="2">
        <f>SUM(TimeEntries36[Time delta in h])</f>
        <v>0</v>
      </c>
      <c r="M20" s="16" t="e">
        <f>Tabelle736737[[#This Row],[EBS self time]]/Tabelle736737[[#This Row],[Total time]]</f>
        <v>#DIV/0!</v>
      </c>
    </row>
    <row r="21" spans="2:13" x14ac:dyDescent="0.25">
      <c r="I21" t="s">
        <v>210</v>
      </c>
      <c r="J21" s="15">
        <v>0.65</v>
      </c>
      <c r="K21" s="2">
        <v>0.48449612403100772</v>
      </c>
      <c r="L21" s="2">
        <f>SUM(TimeEntries36[Time delta in h])</f>
        <v>0</v>
      </c>
      <c r="M21" s="16" t="e">
        <f>Tabelle736737[[#This Row],[EBS self time]]/Tabelle736737[[#This Row],[Total time]]</f>
        <v>#DIV/0!</v>
      </c>
    </row>
    <row r="22" spans="2:13" x14ac:dyDescent="0.25">
      <c r="I22" t="s">
        <v>215</v>
      </c>
      <c r="J22" s="15">
        <v>0.8</v>
      </c>
      <c r="K22" s="2">
        <v>0.48449612403100772</v>
      </c>
      <c r="L22" s="2">
        <f>SUM(TimeEntries36[Time delta in h])</f>
        <v>0</v>
      </c>
      <c r="M22" s="16" t="e">
        <f>Tabelle736737[[#This Row],[EBS self time]]/Tabelle736737[[#This Row],[Total time]]</f>
        <v>#DIV/0!</v>
      </c>
    </row>
    <row r="23" spans="2:13" x14ac:dyDescent="0.25">
      <c r="I23" t="s">
        <v>216</v>
      </c>
      <c r="J23" s="15">
        <v>0.95</v>
      </c>
      <c r="K23" s="2">
        <v>0.48449612403100772</v>
      </c>
      <c r="L23" s="2">
        <f>SUM(TimeEntries36[Time delta in h])</f>
        <v>0</v>
      </c>
      <c r="M23" s="16" t="e">
        <f>Tabelle736737[[#This Row],[EBS self time]]/Tabelle736737[[#This Row],[Total time]]</f>
        <v>#DIV/0!</v>
      </c>
    </row>
  </sheetData>
  <dataConsolidate/>
  <hyperlinks>
    <hyperlink ref="A1" location="Planning!A1" display="Go back to 'Planning' sheet" xr:uid="{B6604A79-87D6-4183-BAE1-338E2180A3D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44F79-1EC7-40FF-A08A-6925F46B1038}">
  <sheetPr codeName="EbsSheetTemplate1"/>
  <dimension ref="A15:T48"/>
  <sheetViews>
    <sheetView workbookViewId="0">
      <selection activeCell="C26" sqref="C26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4" t="s">
        <v>74</v>
      </c>
      <c r="F15" s="55" t="s">
        <v>75</v>
      </c>
      <c r="G15" s="56"/>
      <c r="H15" s="56"/>
    </row>
    <row r="16" spans="5:8" x14ac:dyDescent="0.25">
      <c r="E16" s="14" t="s">
        <v>73</v>
      </c>
      <c r="F16" s="55" t="s">
        <v>36</v>
      </c>
      <c r="G16" s="56"/>
      <c r="H16" s="56"/>
    </row>
    <row r="17" spans="1:20" x14ac:dyDescent="0.25">
      <c r="J17" s="10" t="s">
        <v>43</v>
      </c>
      <c r="K17" s="10"/>
    </row>
    <row r="18" spans="1:20" x14ac:dyDescent="0.25">
      <c r="A18" t="s">
        <v>16</v>
      </c>
      <c r="B18" t="s">
        <v>49</v>
      </c>
      <c r="C18" t="s">
        <v>34</v>
      </c>
      <c r="D18" t="s">
        <v>25</v>
      </c>
      <c r="E18" t="s">
        <v>39</v>
      </c>
      <c r="F18" t="s">
        <v>35</v>
      </c>
      <c r="G18" t="s">
        <v>37</v>
      </c>
      <c r="H18" t="s">
        <v>47</v>
      </c>
      <c r="J18" t="s">
        <v>48</v>
      </c>
      <c r="K18" t="s">
        <v>46</v>
      </c>
      <c r="L18" t="s">
        <v>17</v>
      </c>
      <c r="M18" s="2" t="s">
        <v>38</v>
      </c>
      <c r="N18" s="2" t="s">
        <v>77</v>
      </c>
      <c r="O18" t="s">
        <v>40</v>
      </c>
      <c r="P18" t="s">
        <v>42</v>
      </c>
      <c r="Q18" t="s">
        <v>41</v>
      </c>
      <c r="R18" t="s">
        <v>39</v>
      </c>
      <c r="S18" t="s">
        <v>59</v>
      </c>
      <c r="T18" t="s">
        <v>58</v>
      </c>
    </row>
    <row r="19" spans="1:20" x14ac:dyDescent="0.25">
      <c r="A19" t="s">
        <v>126</v>
      </c>
      <c r="B19" s="17">
        <v>44075.829351851855</v>
      </c>
      <c r="C19" t="s">
        <v>233</v>
      </c>
      <c r="D19" t="s">
        <v>26</v>
      </c>
      <c r="E19" t="s">
        <v>208</v>
      </c>
      <c r="F19" t="s">
        <v>230</v>
      </c>
      <c r="G19" t="s">
        <v>231</v>
      </c>
      <c r="H19" t="s">
        <v>232</v>
      </c>
      <c r="J19" t="s">
        <v>126</v>
      </c>
      <c r="K19" t="s">
        <v>190</v>
      </c>
      <c r="L19">
        <v>1</v>
      </c>
      <c r="M19" s="2">
        <v>0.420833333395422</v>
      </c>
      <c r="N19" s="2">
        <v>2</v>
      </c>
      <c r="O19" t="s">
        <v>219</v>
      </c>
      <c r="P19" t="s">
        <v>220</v>
      </c>
      <c r="Q19" t="s">
        <v>220</v>
      </c>
      <c r="R19" t="s">
        <v>208</v>
      </c>
      <c r="S19" t="s">
        <v>221</v>
      </c>
      <c r="T19" t="s">
        <v>222</v>
      </c>
    </row>
    <row r="20" spans="1:20" x14ac:dyDescent="0.25">
      <c r="B20" s="17"/>
      <c r="J20" t="s">
        <v>127</v>
      </c>
      <c r="K20" t="s">
        <v>188</v>
      </c>
      <c r="L20">
        <v>2</v>
      </c>
      <c r="M20" s="2">
        <v>0.25000000011641499</v>
      </c>
      <c r="N20" s="2">
        <v>3</v>
      </c>
      <c r="O20" t="s">
        <v>223</v>
      </c>
      <c r="P20" t="s">
        <v>224</v>
      </c>
      <c r="Q20" t="s">
        <v>225</v>
      </c>
      <c r="R20" t="s">
        <v>208</v>
      </c>
      <c r="S20" t="s">
        <v>226</v>
      </c>
      <c r="T20" t="s">
        <v>227</v>
      </c>
    </row>
    <row r="21" spans="1:20" x14ac:dyDescent="0.25">
      <c r="B21" s="17"/>
      <c r="J21" t="s">
        <v>191</v>
      </c>
      <c r="K21" t="s">
        <v>185</v>
      </c>
      <c r="L21">
        <v>3</v>
      </c>
      <c r="M21" s="2">
        <v>0</v>
      </c>
      <c r="N21" s="2">
        <v>6</v>
      </c>
      <c r="O21" t="s">
        <v>228</v>
      </c>
      <c r="P21" t="s">
        <v>228</v>
      </c>
      <c r="Q21" t="s">
        <v>229</v>
      </c>
      <c r="R21" t="s">
        <v>208</v>
      </c>
      <c r="S21" t="s">
        <v>230</v>
      </c>
      <c r="T21" t="s">
        <v>231</v>
      </c>
    </row>
    <row r="22" spans="1:20" x14ac:dyDescent="0.25">
      <c r="B22" s="17"/>
      <c r="M22" s="2"/>
      <c r="N22" s="2"/>
    </row>
    <row r="23" spans="1:20" x14ac:dyDescent="0.25">
      <c r="B23" s="17"/>
      <c r="M23" s="2"/>
      <c r="N23" s="2"/>
    </row>
    <row r="24" spans="1:20" x14ac:dyDescent="0.25">
      <c r="B24" s="17"/>
      <c r="M24" s="2"/>
      <c r="N24" s="2"/>
    </row>
    <row r="25" spans="1:20" x14ac:dyDescent="0.25">
      <c r="B25" s="17"/>
      <c r="M25" s="2"/>
      <c r="N25" s="2"/>
    </row>
    <row r="26" spans="1:20" x14ac:dyDescent="0.25">
      <c r="B26" s="17"/>
    </row>
    <row r="27" spans="1:20" x14ac:dyDescent="0.25">
      <c r="B27" s="17"/>
    </row>
    <row r="28" spans="1:20" x14ac:dyDescent="0.25">
      <c r="B28" s="17"/>
    </row>
    <row r="29" spans="1:20" x14ac:dyDescent="0.25">
      <c r="B29" s="17"/>
    </row>
    <row r="30" spans="1:20" x14ac:dyDescent="0.25">
      <c r="B30" s="17"/>
    </row>
    <row r="31" spans="1:20" x14ac:dyDescent="0.25">
      <c r="B31" s="17"/>
    </row>
    <row r="32" spans="1:20" x14ac:dyDescent="0.25">
      <c r="B32" s="17"/>
    </row>
    <row r="33" spans="2:2" x14ac:dyDescent="0.25">
      <c r="B33" s="17"/>
    </row>
    <row r="34" spans="2:2" x14ac:dyDescent="0.25">
      <c r="B34" s="17"/>
    </row>
    <row r="35" spans="2:2" x14ac:dyDescent="0.25">
      <c r="B35" s="17"/>
    </row>
    <row r="36" spans="2:2" x14ac:dyDescent="0.25">
      <c r="B36" s="17"/>
    </row>
    <row r="37" spans="2:2" x14ac:dyDescent="0.25">
      <c r="B37" s="17"/>
    </row>
    <row r="38" spans="2:2" x14ac:dyDescent="0.25">
      <c r="B38" s="17"/>
    </row>
    <row r="39" spans="2:2" x14ac:dyDescent="0.25">
      <c r="B39" s="17"/>
    </row>
    <row r="40" spans="2:2" x14ac:dyDescent="0.25">
      <c r="B40" s="17"/>
    </row>
    <row r="41" spans="2:2" x14ac:dyDescent="0.25">
      <c r="B41" s="17"/>
    </row>
    <row r="42" spans="2:2" x14ac:dyDescent="0.25">
      <c r="B42" s="17"/>
    </row>
    <row r="43" spans="2:2" x14ac:dyDescent="0.25">
      <c r="B43" s="17"/>
    </row>
    <row r="46" spans="2:2" x14ac:dyDescent="0.25">
      <c r="B46" s="17"/>
    </row>
    <row r="47" spans="2:2" x14ac:dyDescent="0.25">
      <c r="B47" s="17"/>
    </row>
    <row r="48" spans="2:2" x14ac:dyDescent="0.25">
      <c r="B48" s="17"/>
    </row>
  </sheetData>
  <mergeCells count="2">
    <mergeCell ref="F15:H15"/>
    <mergeCell ref="F16:H16"/>
  </mergeCells>
  <conditionalFormatting sqref="D1:D1048576">
    <cfRule type="containsText" dxfId="30" priority="1" operator="containsText" text="No">
      <formula>NOT(ISERROR(SEARCH("No",D1)))</formula>
    </cfRule>
    <cfRule type="containsText" dxfId="29" priority="2" operator="containsText" text="Yes">
      <formula>NOT(ISERROR(SEARCH("Yes",D1)))</formula>
    </cfRule>
  </conditionalFormatting>
  <dataValidations count="3">
    <dataValidation type="list" allowBlank="1" showInputMessage="1" showErrorMessage="1" sqref="D19" xr:uid="{503D7EF0-BD68-4F1B-A08C-1DC78EBBFB1D}">
      <formula1>"Yes,No"</formula1>
    </dataValidation>
    <dataValidation type="list" allowBlank="1" showInputMessage="1" showErrorMessage="1" sqref="F16" xr:uid="{EE947B28-D3C6-4A37-A818-455F3BE76CCF}">
      <formula1>"Time,Date"</formula1>
    </dataValidation>
    <dataValidation type="list" allowBlank="1" showInputMessage="1" showErrorMessage="1" sqref="F15:H15" xr:uid="{8321FCB0-644F-4631-8E04-3C5EC294D44A}">
      <formula1>"Last, Last 100 days, All"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BEE8-49DD-4D4C-9AD7-CA9FF14FF18C}">
  <sheetPr codeName="Analysis"/>
  <dimension ref="A1:D10"/>
  <sheetViews>
    <sheetView workbookViewId="0">
      <selection activeCell="F21" sqref="F21"/>
    </sheetView>
  </sheetViews>
  <sheetFormatPr baseColWidth="10" defaultRowHeight="15" x14ac:dyDescent="0.25"/>
  <cols>
    <col min="1" max="1" width="17" customWidth="1"/>
    <col min="2" max="3" width="15.7109375" bestFit="1" customWidth="1"/>
    <col min="4" max="4" width="13.140625" bestFit="1" customWidth="1"/>
  </cols>
  <sheetData>
    <row r="1" spans="1:4" x14ac:dyDescent="0.25">
      <c r="A1" s="10" t="s">
        <v>103</v>
      </c>
    </row>
    <row r="2" spans="1:4" x14ac:dyDescent="0.25">
      <c r="A2" s="10"/>
    </row>
    <row r="3" spans="1:4" x14ac:dyDescent="0.25">
      <c r="A3" t="s">
        <v>104</v>
      </c>
      <c r="B3" s="29">
        <v>44072</v>
      </c>
      <c r="C3" s="27"/>
      <c r="D3" s="27"/>
    </row>
    <row r="4" spans="1:4" x14ac:dyDescent="0.25">
      <c r="A4" t="s">
        <v>105</v>
      </c>
      <c r="B4" s="29">
        <v>44073</v>
      </c>
      <c r="C4" s="27"/>
      <c r="D4" s="27"/>
    </row>
    <row r="5" spans="1:4" x14ac:dyDescent="0.25">
      <c r="A5" t="s">
        <v>106</v>
      </c>
      <c r="B5" s="26" t="s">
        <v>128</v>
      </c>
      <c r="C5" s="27"/>
      <c r="D5" s="27"/>
    </row>
    <row r="6" spans="1:4" ht="27" customHeight="1" x14ac:dyDescent="0.25"/>
    <row r="8" spans="1:4" ht="15.75" thickBot="1" x14ac:dyDescent="0.3">
      <c r="A8" s="28" t="s">
        <v>108</v>
      </c>
      <c r="B8" s="28" t="s">
        <v>102</v>
      </c>
      <c r="C8" s="33" t="s">
        <v>101</v>
      </c>
      <c r="D8" s="28" t="s">
        <v>107</v>
      </c>
    </row>
    <row r="9" spans="1:4" x14ac:dyDescent="0.25">
      <c r="A9" s="30" t="s">
        <v>126</v>
      </c>
      <c r="B9" s="31">
        <v>44072</v>
      </c>
      <c r="C9" s="31">
        <v>44073</v>
      </c>
      <c r="D9" s="32">
        <v>5.5555568542331501E-4</v>
      </c>
    </row>
    <row r="10" spans="1:4" x14ac:dyDescent="0.25">
      <c r="A10" s="30" t="s">
        <v>127</v>
      </c>
      <c r="B10" s="31">
        <v>44073</v>
      </c>
      <c r="C10" s="31">
        <v>44073</v>
      </c>
      <c r="D10" s="32">
        <v>0</v>
      </c>
    </row>
  </sheetData>
  <dataValidations count="1">
    <dataValidation type="list" allowBlank="1" showInputMessage="1" showErrorMessage="1" sqref="B5" xr:uid="{0E6BF5D7-2DEE-4A97-9168-EC0F3CE19C6A}">
      <formula1>"Hour,Day,Week,Month,Year,No split"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233" r:id="rId3" name="Button 1">
              <controlPr locked="0" defaultSize="0" print="0" autoFill="0" autoPict="0" macro="[0]!Analysis.UI_BuildStl">
                <anchor moveWithCells="1">
                  <from>
                    <xdr:col>0</xdr:col>
                    <xdr:colOff>28575</xdr:colOff>
                    <xdr:row>5</xdr:row>
                    <xdr:rowOff>57150</xdr:rowOff>
                  </from>
                  <to>
                    <xdr:col>1</xdr:col>
                    <xdr:colOff>314325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5"/>
  <sheetViews>
    <sheetView topLeftCell="A2" workbookViewId="0">
      <selection activeCell="B25" sqref="B25"/>
    </sheetView>
  </sheetViews>
  <sheetFormatPr baseColWidth="10" defaultRowHeight="15" x14ac:dyDescent="0.25"/>
  <cols>
    <col min="1" max="1" width="24.85546875" bestFit="1" customWidth="1"/>
    <col min="2" max="2" width="25.140625" bestFit="1" customWidth="1"/>
    <col min="3" max="4" width="25.140625" customWidth="1"/>
    <col min="5" max="5" width="23.7109375" bestFit="1" customWidth="1"/>
    <col min="6" max="6" width="20.28515625" bestFit="1" customWidth="1"/>
    <col min="7" max="7" width="19.42578125" bestFit="1" customWidth="1"/>
    <col min="8" max="8" width="19.7109375" bestFit="1" customWidth="1"/>
    <col min="9" max="9" width="25.85546875" bestFit="1" customWidth="1"/>
    <col min="10" max="10" width="26.140625" bestFit="1" customWidth="1"/>
  </cols>
  <sheetData>
    <row r="1" spans="1:10" x14ac:dyDescent="0.25">
      <c r="A1" s="4" t="s">
        <v>24</v>
      </c>
    </row>
    <row r="2" spans="1:10" x14ac:dyDescent="0.25">
      <c r="H2" s="25" t="s">
        <v>100</v>
      </c>
    </row>
    <row r="3" spans="1:10" x14ac:dyDescent="0.25">
      <c r="A3" t="s">
        <v>14</v>
      </c>
      <c r="B3" s="2" t="s">
        <v>60</v>
      </c>
      <c r="C3" s="2" t="s">
        <v>86</v>
      </c>
      <c r="D3" s="2" t="s">
        <v>87</v>
      </c>
      <c r="E3" s="2" t="s">
        <v>65</v>
      </c>
      <c r="F3" t="s">
        <v>62</v>
      </c>
      <c r="G3" t="s">
        <v>63</v>
      </c>
      <c r="H3" t="s">
        <v>61</v>
      </c>
      <c r="I3" t="s">
        <v>67</v>
      </c>
      <c r="J3" t="s">
        <v>66</v>
      </c>
    </row>
    <row r="4" spans="1:10" x14ac:dyDescent="0.25">
      <c r="A4" t="s">
        <v>18</v>
      </c>
      <c r="B4" s="12" t="s">
        <v>171</v>
      </c>
      <c r="C4" t="s">
        <v>173</v>
      </c>
      <c r="D4" t="s">
        <v>172</v>
      </c>
      <c r="E4" s="13" t="s">
        <v>82</v>
      </c>
      <c r="F4" s="13">
        <v>0.33333333333333331</v>
      </c>
      <c r="G4" s="13">
        <v>0.77083333333333337</v>
      </c>
      <c r="H4" t="s">
        <v>64</v>
      </c>
      <c r="I4" s="2">
        <v>0.25</v>
      </c>
      <c r="J4" s="2">
        <f>5/60</f>
        <v>8.3333333333333329E-2</v>
      </c>
    </row>
    <row r="5" spans="1:10" x14ac:dyDescent="0.25">
      <c r="B5" s="12"/>
      <c r="E5" s="13"/>
      <c r="F5" s="13"/>
      <c r="G5" s="13"/>
      <c r="I5" s="2"/>
      <c r="J5" s="2"/>
    </row>
    <row r="6" spans="1:10" x14ac:dyDescent="0.25">
      <c r="A6" t="s">
        <v>110</v>
      </c>
      <c r="B6" s="19" t="s">
        <v>109</v>
      </c>
      <c r="E6" s="13"/>
      <c r="F6" s="13"/>
      <c r="G6" s="13"/>
      <c r="I6" s="2"/>
      <c r="J6" s="2"/>
    </row>
    <row r="7" spans="1:10" x14ac:dyDescent="0.25">
      <c r="B7" s="5"/>
      <c r="C7" s="5"/>
      <c r="D7" s="5"/>
      <c r="E7" s="5"/>
    </row>
    <row r="8" spans="1:10" x14ac:dyDescent="0.25">
      <c r="A8" t="s">
        <v>78</v>
      </c>
      <c r="B8" s="19"/>
      <c r="C8" s="5"/>
      <c r="D8" s="5"/>
      <c r="E8" s="5"/>
    </row>
    <row r="9" spans="1:10" x14ac:dyDescent="0.25">
      <c r="A9" t="s">
        <v>79</v>
      </c>
      <c r="B9" s="21"/>
      <c r="C9" s="5"/>
      <c r="D9" s="5"/>
    </row>
    <row r="10" spans="1:10" x14ac:dyDescent="0.25">
      <c r="A10" t="s">
        <v>80</v>
      </c>
      <c r="B10" s="20"/>
      <c r="C10" s="5"/>
      <c r="D10" s="5"/>
      <c r="E10" s="5"/>
    </row>
    <row r="12" spans="1:10" x14ac:dyDescent="0.25">
      <c r="B12" t="s">
        <v>89</v>
      </c>
      <c r="C12" t="s">
        <v>173</v>
      </c>
    </row>
    <row r="13" spans="1:10" x14ac:dyDescent="0.25">
      <c r="B13" t="s">
        <v>88</v>
      </c>
      <c r="C13" t="s">
        <v>172</v>
      </c>
      <c r="D13" s="2"/>
      <c r="E13" s="2"/>
    </row>
    <row r="14" spans="1:10" x14ac:dyDescent="0.25">
      <c r="B14" s="2" t="s">
        <v>90</v>
      </c>
      <c r="C14" s="12" t="s">
        <v>171</v>
      </c>
    </row>
    <row r="17" spans="1:2" x14ac:dyDescent="0.25">
      <c r="A17" t="s">
        <v>83</v>
      </c>
    </row>
    <row r="19" spans="1:2" x14ac:dyDescent="0.25">
      <c r="A19" s="10" t="s">
        <v>141</v>
      </c>
    </row>
    <row r="20" spans="1:2" x14ac:dyDescent="0.25">
      <c r="A20" s="10"/>
    </row>
    <row r="21" spans="1:2" x14ac:dyDescent="0.25">
      <c r="B21" t="s">
        <v>139</v>
      </c>
    </row>
    <row r="23" spans="1:2" x14ac:dyDescent="0.25">
      <c r="B23" t="s">
        <v>140</v>
      </c>
    </row>
    <row r="25" spans="1:2" x14ac:dyDescent="0.25">
      <c r="A25" t="s">
        <v>112</v>
      </c>
      <c r="B25" s="19" t="s">
        <v>142</v>
      </c>
    </row>
  </sheetData>
  <hyperlinks>
    <hyperlink ref="A1" location="Planning!A1" display="Go back to 'Planning' sheet" xr:uid="{D2DA156D-5AF1-4194-A684-BD3896B6772A}"/>
    <hyperlink ref="C14" r:id="rId1" xr:uid="{23D9C93D-2FA6-4A2B-9982-8DA77BB5DA44}"/>
    <hyperlink ref="B4" r:id="rId2" xr:uid="{EEB82F1A-065C-4155-89AB-AF4F0B272850}"/>
  </hyperlinks>
  <pageMargins left="0.7" right="0.7" top="0.78740157499999996" bottom="0.78740157499999996" header="0.3" footer="0.3"/>
  <pageSetup paperSize="9" orientation="portrait" horizontalDpi="300" verticalDpi="0" copies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6" name="Button 1">
              <controlPr defaultSize="0" print="0" autoFill="0" autoPict="0" macro="[0]!Settings.UI_EnableEvents">
                <anchor>
                  <from>
                    <xdr:col>0</xdr:col>
                    <xdr:colOff>9525</xdr:colOff>
                    <xdr:row>15</xdr:row>
                    <xdr:rowOff>171450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7" name="Button 2">
              <controlPr defaultSize="0" print="0" autoFill="0" autoPict="0" macro="[0]!Settings.UI_StoreSelectedCalendarId">
                <anchor>
                  <from>
                    <xdr:col>0</xdr:col>
                    <xdr:colOff>28575</xdr:colOff>
                    <xdr:row>9</xdr:row>
                    <xdr:rowOff>171450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8" name="Button 3">
              <controlPr defaultSize="0" print="0" autoFill="0" autoPict="0" macro="[0]!Settings.UI_ExportTasks">
                <anchor>
                  <from>
                    <xdr:col>0</xdr:col>
                    <xdr:colOff>9525</xdr:colOff>
                    <xdr:row>20</xdr:row>
                    <xdr:rowOff>0</xdr:rowOff>
                  </from>
                  <to>
                    <xdr:col>0</xdr:col>
                    <xdr:colOff>1638300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9" name="Button 4">
              <controlPr defaultSize="0" print="0" autoFill="0" autoPict="0" macro="[0]!Settings.UI_ImportTasks">
                <anchor>
                  <from>
                    <xdr:col>0</xdr:col>
                    <xdr:colOff>9525</xdr:colOff>
                    <xdr:row>21</xdr:row>
                    <xdr:rowOff>190500</xdr:rowOff>
                  </from>
                  <to>
                    <xdr:col>0</xdr:col>
                    <xdr:colOff>1638300</xdr:colOff>
                    <xdr:row>23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3330-3037-42AD-BA8C-09CDC3BF6EFD}">
  <sheetPr codeName="Messages"/>
  <dimension ref="A3:E4"/>
  <sheetViews>
    <sheetView workbookViewId="0">
      <selection activeCell="B30" sqref="B30"/>
    </sheetView>
  </sheetViews>
  <sheetFormatPr baseColWidth="10" defaultRowHeight="15" x14ac:dyDescent="0.25"/>
  <cols>
    <col min="1" max="1" width="14.42578125" bestFit="1" customWidth="1"/>
    <col min="2" max="2" width="15.7109375" bestFit="1" customWidth="1"/>
    <col min="3" max="3" width="60.7109375" customWidth="1"/>
    <col min="4" max="4" width="28.7109375" customWidth="1"/>
    <col min="5" max="5" width="10.5703125" bestFit="1" customWidth="1"/>
  </cols>
  <sheetData>
    <row r="3" spans="1:5" x14ac:dyDescent="0.25">
      <c r="A3" t="s">
        <v>113</v>
      </c>
      <c r="B3" t="s">
        <v>116</v>
      </c>
      <c r="C3" t="s">
        <v>114</v>
      </c>
      <c r="D3" t="s">
        <v>117</v>
      </c>
      <c r="E3" t="s">
        <v>115</v>
      </c>
    </row>
    <row r="4" spans="1:5" x14ac:dyDescent="0.25">
      <c r="B4" s="1"/>
    </row>
  </sheetData>
  <conditionalFormatting sqref="E4">
    <cfRule type="containsText" dxfId="28" priority="1" operator="containsText" text="Verbose">
      <formula>NOT(ISERROR(SEARCH("Verbose",E4)))</formula>
    </cfRule>
    <cfRule type="containsText" dxfId="27" priority="2" operator="containsText" text="Info">
      <formula>NOT(ISERROR(SEARCH("Info",E4)))</formula>
    </cfRule>
    <cfRule type="containsText" dxfId="26" priority="3" operator="containsText" text="Warning">
      <formula>NOT(ISERROR(SEARCH("Warning",E4)))</formula>
    </cfRule>
    <cfRule type="containsText" dxfId="25" priority="4" operator="containsText" text="Error">
      <formula>NOT(ISERROR(SEARCH("Error",E4)))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9377" r:id="rId3" name="Button 1">
              <controlPr locked="0" defaultSize="0" print="0" autoFill="0" autoPict="0" macro="[0]!Messages.UI_ClearMessages">
                <anchor mov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533400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8"/>
  <sheetViews>
    <sheetView workbookViewId="0">
      <selection activeCell="A14" sqref="A14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24</v>
      </c>
      <c r="I1" t="s">
        <v>137</v>
      </c>
      <c r="J1" t="s">
        <v>138</v>
      </c>
    </row>
    <row r="2" spans="1:13" x14ac:dyDescent="0.25">
      <c r="A2" t="s">
        <v>3</v>
      </c>
      <c r="B2" t="s">
        <v>92</v>
      </c>
    </row>
    <row r="3" spans="1:13" x14ac:dyDescent="0.25">
      <c r="A3" t="s">
        <v>77</v>
      </c>
      <c r="B3" s="2" t="s">
        <v>92</v>
      </c>
      <c r="C3" t="s">
        <v>4</v>
      </c>
    </row>
    <row r="4" spans="1:13" x14ac:dyDescent="0.25">
      <c r="A4" t="s">
        <v>0</v>
      </c>
      <c r="B4" s="2">
        <f>SUM(TimeEntries[Time delta in h])</f>
        <v>0</v>
      </c>
      <c r="C4" t="s">
        <v>4</v>
      </c>
    </row>
    <row r="5" spans="1:13" x14ac:dyDescent="0.25">
      <c r="A5" t="s">
        <v>13</v>
      </c>
      <c r="B5" s="5" t="s">
        <v>92</v>
      </c>
    </row>
    <row r="6" spans="1:13" x14ac:dyDescent="0.25">
      <c r="A6" t="s">
        <v>14</v>
      </c>
      <c r="B6" s="5" t="s">
        <v>18</v>
      </c>
    </row>
    <row r="7" spans="1:13" x14ac:dyDescent="0.25">
      <c r="A7" t="s">
        <v>1</v>
      </c>
      <c r="B7" t="s">
        <v>91</v>
      </c>
    </row>
    <row r="8" spans="1:13" x14ac:dyDescent="0.25">
      <c r="A8" t="s">
        <v>15</v>
      </c>
      <c r="B8" s="5" t="s">
        <v>92</v>
      </c>
    </row>
    <row r="9" spans="1:13" x14ac:dyDescent="0.25">
      <c r="A9" t="s">
        <v>2</v>
      </c>
    </row>
    <row r="10" spans="1:13" x14ac:dyDescent="0.25">
      <c r="A10" t="s">
        <v>46</v>
      </c>
      <c r="B10" t="s">
        <v>92</v>
      </c>
    </row>
    <row r="11" spans="1:13" x14ac:dyDescent="0.25">
      <c r="A11" t="s">
        <v>5</v>
      </c>
      <c r="B11" s="2" t="e">
        <f>B3/SUM(TimeEntries[Time delta in h])</f>
        <v>#VALUE!</v>
      </c>
      <c r="C11" t="s">
        <v>6</v>
      </c>
    </row>
    <row r="12" spans="1:13" x14ac:dyDescent="0.25">
      <c r="A12" t="s">
        <v>93</v>
      </c>
    </row>
    <row r="13" spans="1:13" x14ac:dyDescent="0.25">
      <c r="A13" t="s">
        <v>94</v>
      </c>
    </row>
    <row r="14" spans="1:13" x14ac:dyDescent="0.25">
      <c r="A14" t="s">
        <v>129</v>
      </c>
      <c r="B14" t="s">
        <v>92</v>
      </c>
    </row>
    <row r="16" spans="1:13" x14ac:dyDescent="0.25">
      <c r="A16" t="s">
        <v>10</v>
      </c>
      <c r="B16" t="s">
        <v>7</v>
      </c>
      <c r="C16" t="s">
        <v>8</v>
      </c>
      <c r="D16" t="s">
        <v>9</v>
      </c>
      <c r="E16" t="s">
        <v>136</v>
      </c>
      <c r="F16" t="s">
        <v>84</v>
      </c>
      <c r="G16" t="s">
        <v>85</v>
      </c>
      <c r="I16" t="s">
        <v>70</v>
      </c>
      <c r="J16" s="15" t="s">
        <v>68</v>
      </c>
      <c r="K16" s="2" t="s">
        <v>69</v>
      </c>
      <c r="L16" t="s">
        <v>71</v>
      </c>
      <c r="M16" t="s">
        <v>72</v>
      </c>
    </row>
    <row r="17" spans="2:13" x14ac:dyDescent="0.25">
      <c r="B17" s="1"/>
      <c r="C17" s="1"/>
      <c r="D17" s="2">
        <f>MAX((TimeEntries[[#This Row],[End time]]-TimeEntries[[#This Row],[Start time]])*24,0)</f>
        <v>0</v>
      </c>
      <c r="J17" s="15"/>
      <c r="K17" s="2"/>
      <c r="L17" s="2">
        <f>SUM(TimeEntries[Time delta in h])</f>
        <v>0</v>
      </c>
      <c r="M17" s="16" t="e">
        <f>Tabelle7367[[#This Row],[EBS self time]]/Tabelle7367[[#This Row],[Total time]]</f>
        <v>#DIV/0!</v>
      </c>
    </row>
    <row r="18" spans="2:13" x14ac:dyDescent="0.25">
      <c r="B18" s="1"/>
      <c r="C18" s="1"/>
      <c r="D18" s="2"/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53"/>
  <sheetViews>
    <sheetView topLeftCell="A8" workbookViewId="0">
      <selection activeCell="E16" sqref="E16"/>
    </sheetView>
  </sheetViews>
  <sheetFormatPr baseColWidth="10" defaultColWidth="11.42578125" defaultRowHeight="15" x14ac:dyDescent="0.25"/>
  <sheetData>
    <row r="1" spans="1:2" x14ac:dyDescent="0.25">
      <c r="A1" s="10" t="s">
        <v>33</v>
      </c>
    </row>
    <row r="2" spans="1:2" x14ac:dyDescent="0.25">
      <c r="A2" t="s">
        <v>19</v>
      </c>
    </row>
    <row r="3" spans="1:2" x14ac:dyDescent="0.25">
      <c r="A3" t="s">
        <v>20</v>
      </c>
    </row>
    <row r="8" spans="1:2" x14ac:dyDescent="0.25">
      <c r="A8" s="10" t="s">
        <v>170</v>
      </c>
    </row>
    <row r="9" spans="1:2" x14ac:dyDescent="0.25">
      <c r="A9" t="s">
        <v>28</v>
      </c>
    </row>
    <row r="10" spans="1:2" x14ac:dyDescent="0.25">
      <c r="B10" t="s">
        <v>175</v>
      </c>
    </row>
    <row r="11" spans="1:2" x14ac:dyDescent="0.25">
      <c r="B11" t="s">
        <v>182</v>
      </c>
    </row>
    <row r="12" spans="1:2" x14ac:dyDescent="0.25">
      <c r="B12" t="s">
        <v>178</v>
      </c>
    </row>
    <row r="13" spans="1:2" x14ac:dyDescent="0.25">
      <c r="B13" t="s">
        <v>181</v>
      </c>
    </row>
    <row r="14" spans="1:2" x14ac:dyDescent="0.25">
      <c r="B14" t="s">
        <v>179</v>
      </c>
    </row>
    <row r="15" spans="1:2" x14ac:dyDescent="0.25">
      <c r="B15" t="s">
        <v>180</v>
      </c>
    </row>
    <row r="16" spans="1:2" x14ac:dyDescent="0.25">
      <c r="B16" t="s">
        <v>184</v>
      </c>
    </row>
    <row r="17" spans="1:2" x14ac:dyDescent="0.25">
      <c r="A17" t="s">
        <v>31</v>
      </c>
    </row>
    <row r="18" spans="1:2" x14ac:dyDescent="0.25">
      <c r="B18" t="s">
        <v>174</v>
      </c>
    </row>
    <row r="19" spans="1:2" x14ac:dyDescent="0.25">
      <c r="B19" t="s">
        <v>176</v>
      </c>
    </row>
    <row r="20" spans="1:2" x14ac:dyDescent="0.25">
      <c r="B20" t="s">
        <v>177</v>
      </c>
    </row>
    <row r="21" spans="1:2" x14ac:dyDescent="0.25">
      <c r="B21" t="s">
        <v>183</v>
      </c>
    </row>
    <row r="22" spans="1:2" x14ac:dyDescent="0.25">
      <c r="A22" s="10" t="s">
        <v>118</v>
      </c>
    </row>
    <row r="23" spans="1:2" x14ac:dyDescent="0.25">
      <c r="A23" s="6" t="s">
        <v>28</v>
      </c>
    </row>
    <row r="24" spans="1:2" x14ac:dyDescent="0.25">
      <c r="B24" t="s">
        <v>119</v>
      </c>
    </row>
    <row r="25" spans="1:2" x14ac:dyDescent="0.25">
      <c r="B25" t="s">
        <v>120</v>
      </c>
    </row>
    <row r="26" spans="1:2" x14ac:dyDescent="0.25">
      <c r="B26" t="s">
        <v>123</v>
      </c>
    </row>
    <row r="27" spans="1:2" x14ac:dyDescent="0.25">
      <c r="B27" t="s">
        <v>125</v>
      </c>
    </row>
    <row r="28" spans="1:2" x14ac:dyDescent="0.25">
      <c r="A28" t="s">
        <v>31</v>
      </c>
    </row>
    <row r="29" spans="1:2" x14ac:dyDescent="0.25">
      <c r="B29" t="s">
        <v>124</v>
      </c>
    </row>
    <row r="30" spans="1:2" x14ac:dyDescent="0.25">
      <c r="A30" s="10" t="s">
        <v>121</v>
      </c>
    </row>
    <row r="31" spans="1:2" x14ac:dyDescent="0.25">
      <c r="B31" t="s">
        <v>122</v>
      </c>
    </row>
    <row r="32" spans="1:2" x14ac:dyDescent="0.25">
      <c r="A32" s="10" t="s">
        <v>95</v>
      </c>
      <c r="B32" s="10"/>
    </row>
    <row r="33" spans="1:3" x14ac:dyDescent="0.25">
      <c r="B33" t="s">
        <v>99</v>
      </c>
    </row>
    <row r="34" spans="1:3" x14ac:dyDescent="0.25">
      <c r="B34" t="s">
        <v>96</v>
      </c>
    </row>
    <row r="35" spans="1:3" x14ac:dyDescent="0.25">
      <c r="B35" t="s">
        <v>97</v>
      </c>
    </row>
    <row r="36" spans="1:3" x14ac:dyDescent="0.25">
      <c r="B36" t="s">
        <v>98</v>
      </c>
    </row>
    <row r="37" spans="1:3" x14ac:dyDescent="0.25">
      <c r="A37" s="10" t="s">
        <v>56</v>
      </c>
    </row>
    <row r="38" spans="1:3" x14ac:dyDescent="0.25">
      <c r="B38" t="s">
        <v>57</v>
      </c>
    </row>
    <row r="39" spans="1:3" x14ac:dyDescent="0.25">
      <c r="A39" s="10" t="s">
        <v>50</v>
      </c>
    </row>
    <row r="40" spans="1:3" x14ac:dyDescent="0.25">
      <c r="B40" t="s">
        <v>51</v>
      </c>
    </row>
    <row r="41" spans="1:3" x14ac:dyDescent="0.25">
      <c r="C41" t="s">
        <v>52</v>
      </c>
    </row>
    <row r="42" spans="1:3" x14ac:dyDescent="0.25">
      <c r="C42" t="s">
        <v>54</v>
      </c>
    </row>
    <row r="43" spans="1:3" x14ac:dyDescent="0.25">
      <c r="B43" t="s">
        <v>55</v>
      </c>
    </row>
    <row r="44" spans="1:3" x14ac:dyDescent="0.25">
      <c r="B44" t="s">
        <v>53</v>
      </c>
    </row>
    <row r="45" spans="1:3" x14ac:dyDescent="0.25">
      <c r="A45" s="10" t="s">
        <v>45</v>
      </c>
    </row>
    <row r="46" spans="1:3" x14ac:dyDescent="0.25">
      <c r="A46" t="s">
        <v>28</v>
      </c>
    </row>
    <row r="47" spans="1:3" x14ac:dyDescent="0.25">
      <c r="B47" t="s">
        <v>44</v>
      </c>
    </row>
    <row r="48" spans="1:3" x14ac:dyDescent="0.25">
      <c r="A48" s="10" t="s">
        <v>27</v>
      </c>
    </row>
    <row r="49" spans="1:2" x14ac:dyDescent="0.25">
      <c r="A49" t="s">
        <v>28</v>
      </c>
    </row>
    <row r="50" spans="1:2" x14ac:dyDescent="0.25">
      <c r="B50" t="s">
        <v>29</v>
      </c>
    </row>
    <row r="51" spans="1:2" x14ac:dyDescent="0.25">
      <c r="B51" t="s">
        <v>30</v>
      </c>
    </row>
    <row r="52" spans="1:2" x14ac:dyDescent="0.25">
      <c r="A52" t="s">
        <v>31</v>
      </c>
    </row>
    <row r="53" spans="1:2" x14ac:dyDescent="0.25">
      <c r="B53" t="s">
        <v>32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31491-6CA8-4FBC-AF81-E4F60A86083F}">
  <sheetPr codeName="ListValidationData"/>
  <dimension ref="A1:E23"/>
  <sheetViews>
    <sheetView workbookViewId="0">
      <selection activeCell="B13" sqref="B13"/>
    </sheetView>
  </sheetViews>
  <sheetFormatPr baseColWidth="10" defaultRowHeight="15" x14ac:dyDescent="0.25"/>
  <sheetData>
    <row r="1" spans="1:5" x14ac:dyDescent="0.25">
      <c r="E1" s="40" t="s">
        <v>135</v>
      </c>
    </row>
    <row r="2" spans="1:5" x14ac:dyDescent="0.25">
      <c r="A2" t="s">
        <v>23</v>
      </c>
      <c r="B2" t="s">
        <v>14</v>
      </c>
      <c r="C2" t="s">
        <v>22</v>
      </c>
      <c r="D2" t="s">
        <v>21</v>
      </c>
      <c r="E2" t="s">
        <v>1</v>
      </c>
    </row>
    <row r="3" spans="1:5" x14ac:dyDescent="0.25">
      <c r="A3" t="s">
        <v>169</v>
      </c>
      <c r="B3" t="s">
        <v>18</v>
      </c>
      <c r="C3" t="s">
        <v>201</v>
      </c>
      <c r="D3" t="s">
        <v>199</v>
      </c>
      <c r="E3" t="s">
        <v>132</v>
      </c>
    </row>
    <row r="4" spans="1:5" x14ac:dyDescent="0.25">
      <c r="A4" t="s">
        <v>134</v>
      </c>
      <c r="D4" t="s">
        <v>196</v>
      </c>
      <c r="E4" t="s">
        <v>91</v>
      </c>
    </row>
    <row r="5" spans="1:5" x14ac:dyDescent="0.25">
      <c r="A5" t="s">
        <v>163</v>
      </c>
      <c r="E5" t="s">
        <v>130</v>
      </c>
    </row>
    <row r="6" spans="1:5" x14ac:dyDescent="0.25">
      <c r="A6" t="s">
        <v>164</v>
      </c>
      <c r="E6" t="s">
        <v>143</v>
      </c>
    </row>
    <row r="7" spans="1:5" x14ac:dyDescent="0.25">
      <c r="A7" t="s">
        <v>148</v>
      </c>
      <c r="E7" t="s">
        <v>131</v>
      </c>
    </row>
    <row r="8" spans="1:5" x14ac:dyDescent="0.25">
      <c r="A8" t="s">
        <v>162</v>
      </c>
      <c r="E8" t="s">
        <v>134</v>
      </c>
    </row>
    <row r="9" spans="1:5" x14ac:dyDescent="0.25">
      <c r="A9" t="s">
        <v>160</v>
      </c>
      <c r="E9" t="s">
        <v>133</v>
      </c>
    </row>
    <row r="10" spans="1:5" x14ac:dyDescent="0.25">
      <c r="A10" t="s">
        <v>161</v>
      </c>
    </row>
    <row r="11" spans="1:5" x14ac:dyDescent="0.25">
      <c r="A11" t="s">
        <v>159</v>
      </c>
    </row>
    <row r="12" spans="1:5" x14ac:dyDescent="0.25">
      <c r="A12" t="s">
        <v>158</v>
      </c>
    </row>
    <row r="13" spans="1:5" x14ac:dyDescent="0.25">
      <c r="A13" t="s">
        <v>157</v>
      </c>
    </row>
    <row r="14" spans="1:5" x14ac:dyDescent="0.25">
      <c r="A14" t="s">
        <v>156</v>
      </c>
    </row>
    <row r="15" spans="1:5" x14ac:dyDescent="0.25">
      <c r="A15" t="s">
        <v>155</v>
      </c>
    </row>
    <row r="16" spans="1:5" x14ac:dyDescent="0.25">
      <c r="A16" t="s">
        <v>154</v>
      </c>
    </row>
    <row r="17" spans="1:1" x14ac:dyDescent="0.25">
      <c r="A17" t="s">
        <v>149</v>
      </c>
    </row>
    <row r="18" spans="1:1" x14ac:dyDescent="0.25">
      <c r="A18" t="s">
        <v>152</v>
      </c>
    </row>
    <row r="19" spans="1:1" x14ac:dyDescent="0.25">
      <c r="A19" t="s">
        <v>153</v>
      </c>
    </row>
    <row r="20" spans="1:1" x14ac:dyDescent="0.25">
      <c r="A20" t="s">
        <v>151</v>
      </c>
    </row>
    <row r="21" spans="1:1" x14ac:dyDescent="0.25">
      <c r="A21" t="s">
        <v>150</v>
      </c>
    </row>
    <row r="22" spans="1:1" x14ac:dyDescent="0.25">
      <c r="A22" t="s">
        <v>146</v>
      </c>
    </row>
    <row r="23" spans="1:1" x14ac:dyDescent="0.25">
      <c r="A23" t="s">
        <v>147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4" t="s">
        <v>74</v>
      </c>
      <c r="F15" s="55" t="s">
        <v>75</v>
      </c>
      <c r="G15" s="56"/>
      <c r="H15" s="56"/>
    </row>
    <row r="16" spans="5:8" x14ac:dyDescent="0.25">
      <c r="E16" s="14" t="s">
        <v>73</v>
      </c>
      <c r="F16" s="55" t="s">
        <v>36</v>
      </c>
      <c r="G16" s="56"/>
      <c r="H16" s="56"/>
    </row>
    <row r="17" spans="1:20" x14ac:dyDescent="0.25">
      <c r="J17" s="10" t="s">
        <v>43</v>
      </c>
      <c r="K17" s="10"/>
    </row>
    <row r="18" spans="1:20" x14ac:dyDescent="0.25">
      <c r="A18" t="s">
        <v>16</v>
      </c>
      <c r="B18" t="s">
        <v>49</v>
      </c>
      <c r="C18" t="s">
        <v>34</v>
      </c>
      <c r="D18" t="s">
        <v>25</v>
      </c>
      <c r="E18" t="s">
        <v>39</v>
      </c>
      <c r="F18" t="s">
        <v>35</v>
      </c>
      <c r="G18" t="s">
        <v>37</v>
      </c>
      <c r="H18" t="s">
        <v>47</v>
      </c>
      <c r="J18" t="s">
        <v>48</v>
      </c>
      <c r="K18" t="s">
        <v>46</v>
      </c>
      <c r="L18" t="s">
        <v>17</v>
      </c>
      <c r="M18" s="2" t="s">
        <v>38</v>
      </c>
      <c r="N18" s="2" t="s">
        <v>77</v>
      </c>
      <c r="O18" t="s">
        <v>40</v>
      </c>
      <c r="P18" t="s">
        <v>42</v>
      </c>
      <c r="Q18" t="s">
        <v>41</v>
      </c>
      <c r="R18" t="s">
        <v>39</v>
      </c>
      <c r="S18" t="s">
        <v>59</v>
      </c>
      <c r="T18" t="s">
        <v>58</v>
      </c>
    </row>
    <row r="19" spans="1:20" x14ac:dyDescent="0.25">
      <c r="B19" s="17"/>
      <c r="D19" t="s">
        <v>26</v>
      </c>
      <c r="M19" s="2"/>
      <c r="N19" s="2"/>
    </row>
    <row r="20" spans="1:20" x14ac:dyDescent="0.25">
      <c r="B20" s="17"/>
      <c r="M20" s="2"/>
      <c r="N20" s="2"/>
    </row>
    <row r="21" spans="1:20" x14ac:dyDescent="0.25">
      <c r="B21" s="17"/>
      <c r="M21" s="2"/>
      <c r="N21" s="2"/>
    </row>
    <row r="22" spans="1:20" x14ac:dyDescent="0.25">
      <c r="B22" s="17"/>
      <c r="M22" s="2"/>
      <c r="N22" s="2"/>
    </row>
    <row r="23" spans="1:20" x14ac:dyDescent="0.25">
      <c r="B23" s="17"/>
      <c r="M23" s="2"/>
      <c r="N23" s="2"/>
    </row>
    <row r="24" spans="1:20" x14ac:dyDescent="0.25">
      <c r="B24" s="17"/>
    </row>
    <row r="25" spans="1:20" x14ac:dyDescent="0.25">
      <c r="B25" s="17"/>
    </row>
    <row r="26" spans="1:20" x14ac:dyDescent="0.25">
      <c r="B26" s="17"/>
    </row>
    <row r="27" spans="1:20" x14ac:dyDescent="0.25">
      <c r="B27" s="17"/>
    </row>
    <row r="28" spans="1:20" x14ac:dyDescent="0.25">
      <c r="B28" s="17"/>
    </row>
    <row r="29" spans="1:20" x14ac:dyDescent="0.25">
      <c r="B29" s="17"/>
    </row>
    <row r="30" spans="1:20" x14ac:dyDescent="0.25">
      <c r="B30" s="17"/>
    </row>
    <row r="31" spans="1:20" x14ac:dyDescent="0.25">
      <c r="B31" s="17"/>
    </row>
    <row r="32" spans="1:20" x14ac:dyDescent="0.25">
      <c r="B32" s="17"/>
    </row>
    <row r="33" spans="2:2" x14ac:dyDescent="0.25">
      <c r="B33" s="17"/>
    </row>
    <row r="34" spans="2:2" x14ac:dyDescent="0.25">
      <c r="B34" s="17"/>
    </row>
    <row r="35" spans="2:2" x14ac:dyDescent="0.25">
      <c r="B35" s="17"/>
    </row>
    <row r="36" spans="2:2" x14ac:dyDescent="0.25">
      <c r="B36" s="17"/>
    </row>
    <row r="37" spans="2:2" x14ac:dyDescent="0.25">
      <c r="B37" s="17"/>
    </row>
    <row r="38" spans="2:2" x14ac:dyDescent="0.25">
      <c r="B38" s="17"/>
    </row>
    <row r="39" spans="2:2" x14ac:dyDescent="0.25">
      <c r="B39" s="17"/>
    </row>
    <row r="40" spans="2:2" x14ac:dyDescent="0.25">
      <c r="B40" s="17"/>
    </row>
    <row r="41" spans="2:2" x14ac:dyDescent="0.25">
      <c r="B41" s="17"/>
    </row>
    <row r="42" spans="2:2" x14ac:dyDescent="0.25">
      <c r="B42" s="17"/>
    </row>
    <row r="43" spans="2:2" x14ac:dyDescent="0.25">
      <c r="B43" s="17"/>
    </row>
    <row r="46" spans="2:2" x14ac:dyDescent="0.25">
      <c r="B46" s="17"/>
    </row>
    <row r="47" spans="2:2" x14ac:dyDescent="0.25">
      <c r="B47" s="17"/>
    </row>
    <row r="48" spans="2:2" x14ac:dyDescent="0.25">
      <c r="B48" s="17"/>
    </row>
  </sheetData>
  <mergeCells count="2">
    <mergeCell ref="F15:H15"/>
    <mergeCell ref="F16:H16"/>
  </mergeCells>
  <conditionalFormatting sqref="D1:D1048576">
    <cfRule type="containsText" dxfId="24" priority="1" operator="containsText" text="No">
      <formula>NOT(ISERROR(SEARCH("No",D1)))</formula>
    </cfRule>
    <cfRule type="containsText" dxfId="23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5</vt:i4>
      </vt:variant>
    </vt:vector>
  </HeadingPairs>
  <TitlesOfParts>
    <vt:vector size="18" baseType="lpstr">
      <vt:lpstr>VSHEET_STOR_7E980E</vt:lpstr>
      <vt:lpstr>Planning</vt:lpstr>
      <vt:lpstr>tEB5070FA0A50A1350</vt:lpstr>
      <vt:lpstr>t27A0206F6E4FA6801</vt:lpstr>
      <vt:lpstr>t75D774E7EE48EF5A9</vt:lpstr>
      <vt:lpstr>EbsSheet (Me)</vt:lpstr>
      <vt:lpstr>Analysis</vt:lpstr>
      <vt:lpstr>Settings</vt:lpstr>
      <vt:lpstr>Messages</vt:lpstr>
      <vt:lpstr>Task sheet template</vt:lpstr>
      <vt:lpstr>Version info</vt:lpstr>
      <vt:lpstr>List validation data</vt:lpstr>
      <vt:lpstr>EbsSheet template</vt:lpstr>
      <vt:lpstr>_Tag_1Vdata</vt:lpstr>
      <vt:lpstr>_Tag_2Vdata</vt:lpstr>
      <vt:lpstr>_Tag_3Vdata</vt:lpstr>
      <vt:lpstr>ContributorVdata</vt:lpstr>
      <vt:lpstr>Kanban_listVdata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</cp:lastModifiedBy>
  <cp:revision/>
  <cp:lastPrinted>2019-05-10T22:09:49Z</cp:lastPrinted>
  <dcterms:created xsi:type="dcterms:W3CDTF">2019-04-11T19:18:12Z</dcterms:created>
  <dcterms:modified xsi:type="dcterms:W3CDTF">2020-09-01T17:57:58Z</dcterms:modified>
  <cp:category/>
  <cp:contentStatus/>
</cp:coreProperties>
</file>