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CDD92AD6-C2EB-46D7-95EE-75CCDF7C5FCA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D05698" sheetId="1134" state="hidden" r:id="rId1"/>
    <sheet name="Planning" sheetId="1" r:id="rId2"/>
    <sheet name="t347B5B6A9B6D2C3D4" sheetId="1135" state="hidden" r:id="rId3"/>
    <sheet name="Analysis" sheetId="1004" r:id="rId4"/>
    <sheet name="EbsSheet (Me)" sheetId="978" r:id="rId5"/>
    <sheet name="Settings" sheetId="418" r:id="rId6"/>
    <sheet name="Task sheet template" sheetId="5" state="hidden" r:id="rId7"/>
    <sheet name="Version info" sheetId="3" r:id="rId8"/>
    <sheet name="EbsSheet template" sheetId="440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135" l="1"/>
  <c r="L21" i="1135"/>
  <c r="M21" i="1135" s="1"/>
  <c r="M20" i="1135"/>
  <c r="L20" i="1135"/>
  <c r="M19" i="1135"/>
  <c r="L19" i="1135"/>
  <c r="M18" i="1135"/>
  <c r="L18" i="1135"/>
  <c r="M17" i="1135"/>
  <c r="L17" i="1135"/>
  <c r="M16" i="1135"/>
  <c r="L16" i="1135"/>
  <c r="D16" i="1135"/>
  <c r="L15" i="1135"/>
  <c r="M15" i="1135" s="1"/>
  <c r="D15" i="1135"/>
  <c r="B4" i="1135" s="1"/>
  <c r="B11" i="1135" s="1"/>
  <c r="D70" i="1134"/>
  <c r="D69" i="1134"/>
  <c r="D68" i="1134"/>
  <c r="D67" i="1134"/>
  <c r="D66" i="1134"/>
  <c r="D65" i="1134"/>
  <c r="D64" i="1134"/>
  <c r="D63" i="1134"/>
  <c r="D62" i="1134"/>
  <c r="D61" i="1134"/>
  <c r="D60" i="1134"/>
  <c r="D59" i="1134"/>
  <c r="D58" i="1134"/>
  <c r="L41" i="1134"/>
  <c r="M41" i="1134" s="1"/>
  <c r="M40" i="1134"/>
  <c r="L40" i="1134"/>
  <c r="L39" i="1134"/>
  <c r="M39" i="1134" s="1"/>
  <c r="M38" i="1134"/>
  <c r="L38" i="1134"/>
  <c r="D38" i="1134"/>
  <c r="L37" i="1134"/>
  <c r="M37" i="1134" s="1"/>
  <c r="D37" i="1134"/>
  <c r="L36" i="1134"/>
  <c r="M36" i="1134" s="1"/>
  <c r="D36" i="1134"/>
  <c r="L35" i="1134"/>
  <c r="M35" i="1134" s="1"/>
  <c r="D35" i="1134"/>
  <c r="D18" i="1134"/>
  <c r="D17" i="1134"/>
  <c r="D16" i="1134"/>
  <c r="B24" i="1134" s="1"/>
  <c r="B31" i="1134" s="1"/>
  <c r="B47" i="1134" l="1"/>
  <c r="B54" i="1134" s="1"/>
  <c r="B5" i="1134"/>
  <c r="B12" i="1134" s="1"/>
  <c r="C42" i="3"/>
  <c r="L15" i="5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tc={5BECE97B-DB74-4CCD-A56E-287AB29264F1}</author>
  </authors>
  <commentList>
    <comment ref="P18" authorId="0" shapeId="0" xr:uid="{5BECE97B-DB74-4CCD-A56E-287AB29264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<sst xmlns="http://schemas.openxmlformats.org/spreadsheetml/2006/main" count="491" uniqueCount="192">
  <si>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</si>
  <si>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</si>
  <si>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</si>
  <si>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</si>
  <si>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</si>
  <si>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</si>
  <si>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</si>
  <si>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</si>
  <si>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</si>
  <si>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</si>
  <si>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</si>
  <si>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</si>
  <si>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</si>
  <si>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</si>
  <si>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</si>
  <si>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</si>
  <si>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</si>
  <si>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</si>
  <si>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</si>
  <si>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</si>
  <si>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</si>
  <si>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</si>
  <si>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</si>
  <si>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</si>
  <si>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</si>
  <si>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</si>
  <si>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</si>
  <si>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</si>
  <si>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</si>
  <si>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</si>
  <si>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</si>
  <si>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</si>
  <si>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</si>
  <si>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</si>
  <si>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</si>
  <si>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</si>
  <si>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</si>
  <si>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</si>
  <si>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</si>
  <si>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</si>
  <si>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</si>
  <si>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</si>
  <si>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</si>
  <si>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</si>
  <si>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</si>
  <si>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</si>
  <si>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</si>
  <si>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</si>
  <si>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</si>
  <si>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</si>
  <si>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</si>
  <si>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</si>
  <si>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</si>
  <si>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</si>
  <si>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</si>
  <si>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</si>
  <si>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</si>
  <si>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</si>
  <si>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</si>
  <si>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</si>
  <si>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</si>
  <si>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</si>
  <si>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</si>
  <si>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</si>
  <si>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</si>
  <si>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</si>
  <si>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</si>
  <si>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</si>
  <si>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</si>
  <si>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</si>
  <si>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</si>
  <si>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</si>
  <si>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</si>
  <si>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</si>
  <si>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</si>
  <si>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</si>
  <si>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</si>
  <si>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</si>
  <si>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</si>
  <si>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</si>
  <si>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</si>
  <si>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</si>
  <si>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</si>
  <si>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</si>
  <si>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</si>
  <si>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</si>
  <si>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</si>
  <si>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</si>
  <si>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Lines of code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</si>
  <si>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</si>
  <si>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</si>
  <si>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</si>
  <si>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</si>
  <si>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</si>
  <si>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</si>
  <si>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</si>
  <si>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</si>
  <si>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</si>
  <si>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</si>
  <si>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</si>
  <si>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</si>
  <si>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</si>
  <si>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</si>
  <si>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</si>
  <si>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</si>
  <si>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</si>
  <si>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</si>
  <si>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</si>
  <si>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</si>
  <si>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</si>
  <si>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</si>
  <si>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</si>
  <si>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</si>
  <si>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</si>
  <si>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</si>
  <si>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</si>
  <si>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</si>
  <si>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</si>
  <si>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</si>
  <si>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</si>
  <si>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</si>
  <si>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</si>
  <si>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</si>
  <si>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</si>
  <si>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</si>
  <si>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</si>
  <si>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sheet.xlsm</t>
  </si>
  <si>
    <t>SetPlainDelta()</t>
  </si>
  <si>
    <t>SetCalendarDelta()</t>
  </si>
  <si>
    <t>Done</t>
  </si>
  <si>
    <t>{0,750;0,667}</t>
  </si>
  <si>
    <t>v1.093</t>
  </si>
  <si>
    <t>Base.bas</t>
  </si>
  <si>
    <t>EbsUtils.bas</t>
  </si>
  <si>
    <t>SettingUtils.bas</t>
  </si>
  <si>
    <t>CalendarUtils.bas</t>
  </si>
  <si>
    <t>ExportImportUtils.bas</t>
  </si>
  <si>
    <t>TaskSheetTemplate.cls</t>
  </si>
  <si>
    <t>clsSHA256.cls</t>
  </si>
  <si>
    <t>Planning.cls</t>
  </si>
  <si>
    <t>TaskUtils.bas</t>
  </si>
  <si>
    <t>CodeUtils.bas</t>
  </si>
  <si>
    <t>PlanningUtils.bas</t>
  </si>
  <si>
    <t>ThisWorkbook.cls</t>
  </si>
  <si>
    <t>Constants.bas</t>
  </si>
  <si>
    <t>SanityChecks.bas</t>
  </si>
  <si>
    <t>Utils.bas</t>
  </si>
  <si>
    <t>EbsSheetTemplate.cls</t>
  </si>
  <si>
    <t>Settings.cls</t>
  </si>
  <si>
    <t>VirtualSheetUtils.bas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</si>
  <si>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</si>
  <si>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</si>
  <si>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</si>
  <si>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</si>
  <si>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</si>
  <si>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</si>
  <si>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</si>
  <si>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{4,083;4,125;4,292;4,417;4,458;4,625;4,625}</t>
  </si>
  <si>
    <t>{15/01/2020 12:05:00;15/01/2020 12:07:30;15/01/2020 12:17:30;15/01/2020 12:25:00;15/01/2020 12:27:30;15/01/2020 12:37:30;15/01/2020 12:37:30}</t>
  </si>
  <si>
    <t>e02CC749D33AEB9883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</si>
  <si>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</si>
  <si>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</si>
  <si>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</si>
  <si>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</si>
  <si>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</si>
  <si>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</si>
  <si>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</si>
  <si>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</si>
  <si>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#000009</t>
  </si>
  <si>
    <t>Mon</t>
  </si>
  <si>
    <t>#000010</t>
  </si>
  <si>
    <t>t347B5B6A9B6D2C3D4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</si>
  <si>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</si>
  <si>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{0,000;0,000;0,000;0,000;0,000;0,000;0,000}</t>
  </si>
  <si>
    <t>{10/02/2020 08:00:00;10/02/2020 08:00:00;10/02/2020 08:00:00;10/02/2020 08:00:00;10/02/2020 08:00:00;10/02/2020 08:00:00;10/02/2020 08:00:00}</t>
  </si>
  <si>
    <t>e61828CC4673454E2B</t>
  </si>
  <si>
    <t>{0,667}</t>
  </si>
  <si>
    <t>{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}</t>
  </si>
  <si>
    <t>{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}</t>
  </si>
  <si>
    <t>{2,999;2,999;2,999;2,999;2,999;2,999;2,999}</t>
  </si>
  <si>
    <t>{10/02/2020 10:59:55;10/02/2020 10:59:55;10/02/2020 10:59:55;10/02/2020 10:59:55;10/02/2020 10:59:55;10/02/2020 10:59:55;10/02/2020 10:59:55}</t>
  </si>
  <si>
    <t>#000011</t>
  </si>
  <si>
    <t>#000012</t>
  </si>
  <si>
    <t>FirstDayOfWeek</t>
  </si>
  <si>
    <t>Week</t>
  </si>
  <si>
    <t>#000008</t>
  </si>
  <si>
    <t>#000013</t>
  </si>
  <si>
    <t>In progress</t>
  </si>
  <si>
    <t>VIRTUAL_SHEET_NAME</t>
  </si>
  <si>
    <t>VIRTUAL_SHEET_RANGE_ROWS</t>
  </si>
  <si>
    <t>VIRTUAL_SHEET_RANGE_COLS</t>
  </si>
  <si>
    <t>Buy chia seeds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</si>
</sst>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4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7" fillId="0" borderId="0" xfId="2" applyFont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7" fillId="10" borderId="0" xfId="2" applyFont="1" applyFill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83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theme="0"/>
      </font>
      <fill>
        <patternFill>
          <fgColor auto="1"/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14/01/2020 23:56:26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3A7-4C3A-904D-6FD55AC0697B}"/>
            </c:ext>
          </c:extLst>
        </c:ser>
        <c:ser>
          <c:idx val="1"/>
          <c:order val="1"/>
          <c:tx>
            <c:v>Velo pool on: 09/02/2020 20:05:21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3A7-4C3A-904D-6FD55AC06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15%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43844.997523148151</c:v>
              </c:pt>
              <c:pt idx="1">
                <c:v>43870.837048611109</c:v>
              </c:pt>
            </c:numLit>
          </c:xVal>
          <c:yVal>
            <c:numLit>
              <c:formatCode>General</c:formatCode>
              <c:ptCount val="2"/>
              <c:pt idx="0">
                <c:v>4.1526666666666667</c:v>
              </c:pt>
              <c:pt idx="1">
                <c:v>2.9990000000000001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6C7-4BD4-A917-50AA97BCE4E8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43844.997523148151</c:v>
              </c:pt>
              <c:pt idx="1">
                <c:v>43870.837048611109</c:v>
              </c:pt>
            </c:numLit>
          </c:xVal>
          <c:yVal>
            <c:numLit>
              <c:formatCode>General</c:formatCode>
              <c:ptCount val="2"/>
              <c:pt idx="0">
                <c:v>4.375</c:v>
              </c:pt>
              <c:pt idx="1">
                <c:v>2.9990000000000001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6C7-4BD4-A917-50AA97BCE4E8}"/>
            </c:ext>
          </c:extLst>
        </c:ser>
        <c:ser>
          <c:idx val="2"/>
          <c:order val="2"/>
          <c:tx>
            <c:v>85%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43844.997523148151</c:v>
              </c:pt>
              <c:pt idx="1">
                <c:v>43870.837048611109</c:v>
              </c:pt>
            </c:numLit>
          </c:xVal>
          <c:yVal>
            <c:numLit>
              <c:formatCode>General</c:formatCode>
              <c:ptCount val="2"/>
              <c:pt idx="0">
                <c:v>4.6806666666666663</c:v>
              </c:pt>
              <c:pt idx="1">
                <c:v>2.9990000000000001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6C7-4BD4-A917-50AA97BCE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7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5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5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5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5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8C6409D-D8BE-4745-A5FE-934703FA1B95}" name="TimeEntries14263659626521436526586102122192560739710913314516918120521724125327728962162177951151331471671872052391731516487" displayName="TimeEntries14263659626521436526586102122192560739710913314516918120521724125327728962162177951151331471671872052391731516487" ref="A15:G18" totalsRowShown="0">
  <autoFilter ref="A15:G18" xr:uid="{C9780373-B77E-4CD2-A72B-0E1126D8D835}"/>
  <tableColumns count="7">
    <tableColumn id="1" xr3:uid="{8ACF8D1D-795F-44DF-AC7B-822189661401}" name="Time entry no."/>
    <tableColumn id="2" xr3:uid="{14399E48-E99F-4FBA-B704-E0DDD2C19439}" name="Start time" dataDxfId="82"/>
    <tableColumn id="3" xr3:uid="{E0685B94-54E4-4F31-B9F4-068BE0E7215D}" name="End time" dataDxfId="81"/>
    <tableColumn id="4" xr3:uid="{2CF9AB41-D00D-4BBD-AA4A-36385A196C4C}" name="Time delta in h" dataDxfId="80">
      <calculatedColumnFormula>MAX((C16-B16)*24,0)</calculatedColumnFormula>
    </tableColumn>
    <tableColumn id="5" xr3:uid="{91A8A736-1167-49D2-A1A3-BF9341A81A50}" name="Indicator"/>
    <tableColumn id="6" xr3:uid="{E6E12EA2-67A3-4EA3-9300-4697782BC5C6}" name="Action1" dataDxfId="79" dataCellStyle="Link"/>
    <tableColumn id="7" xr3:uid="{0E23E95C-B84A-478E-A8FB-449F2A5D0070}" name="Action2" dataDxfId="78" dataCellStyle="Link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3CCC95EC-96AB-421F-8F8F-284C850C2439}" name="Tabelle736715273760727531537536687103123202861749811013414617018220621824225427829072272278961161341481681882062401832526588" displayName="Tabelle736715273760727531537536687103123202861749811013414617018220621824225427829072272278961161341481681882062401832526588" ref="I15:M16" insertRow="1" totalsRowShown="0">
  <autoFilter ref="I15:M16" xr:uid="{6816FC69-7291-4E27-B62E-57A111E58F89}"/>
  <tableColumns count="5">
    <tableColumn id="1" xr3:uid="{01F40618-B73C-4E35-AC97-0F4787C6E0DC}" name="Comparison entry no."/>
    <tableColumn id="2" xr3:uid="{DD48533E-40F5-468F-B068-302C19716289}" name="Propability Support point" dataDxfId="77"/>
    <tableColumn id="3" xr3:uid="{0F5F1E20-D42B-4289-8CAE-040B013FC27F}" name="EBS self time" dataDxfId="76"/>
    <tableColumn id="4" xr3:uid="{1FE8668A-9623-4274-B171-04E443844A7F}" name="Total time">
      <calculatedColumnFormula>#REF!</calculatedColumnFormula>
    </tableColumn>
    <tableColumn id="5" xr3:uid="{10DFBCB6-F805-4DF6-8B79-2A19BC539AB2}" name="Total time / Your estimate" dataDxfId="75">
      <calculatedColumnFormula>Tabelle736715273760727531537536687103123202861749811013414617018220621824225427829072272278961161341481681882062401832526588[[#This Row],[EBS self time]]/Tabelle736715273760727531537536687103123202861749811013414617018220621824225427829072272278961161341481681882062401832526588[[#This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1C2AC517-F868-496E-8E67-8386E78DA836}" name="TimeEntries2185268802444818468294118130142211731567193107129143165179197213237251273287309193917395385991271391792012191343588195" displayName="TimeEntries2185268802444818468294118130142211731567193107129143165179197213237251273287309193917395385991271391792012191343588195" ref="A34:G38" totalsRowShown="0">
  <autoFilter ref="A34:G38" xr:uid="{B9837776-63FE-4F49-A943-4B05F331B804}"/>
  <tableColumns count="7">
    <tableColumn id="1" xr3:uid="{4CD313DE-037B-4972-8C95-CE2B1513B9C9}" name="Time entry no."/>
    <tableColumn id="2" xr3:uid="{D114B81E-6D1F-4B35-BBE7-DCE4CD2BF85C}" name="Start time" dataDxfId="74"/>
    <tableColumn id="3" xr3:uid="{05D59E20-AD7C-4AFC-BC70-D52DA70FE41C}" name="End time" dataDxfId="73"/>
    <tableColumn id="4" xr3:uid="{51400CF0-4252-44A3-93C3-0650358EC76C}" name="Time delta in h" dataDxfId="72">
      <calculatedColumnFormula>MAX((TimeEntries2185268802444818468294118130142211731567193107129143165179197213237251273287309193917395385991271391792012191343588195[[#This Row],[End time]]-TimeEntries2185268802444818468294118130142211731567193107129143165179197213237251273287309193917395385991271391792012191343588195[[#This Row],[Start time]])*24,0)</calculatedColumnFormula>
    </tableColumn>
    <tableColumn id="5" xr3:uid="{224B69D1-21FC-47E0-8E14-A70DFFBC88EA}" name="Indicator"/>
    <tableColumn id="6" xr3:uid="{B1CC89FD-3C70-4554-A5C0-50EC87B9C24F}" name="Action1" dataDxfId="71" dataCellStyle="Link"/>
    <tableColumn id="7" xr3:uid="{94F72B5D-5DBB-4A19-9138-D6B0E996A794}" name="Action2" dataDxfId="70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FCB4852-FAB2-4018-91A3-A969D7BAFCC6}" name="Tabelle736751953698125459194783951191311432218325772941081301441661801982142382522742883102040184054861001281401802022201444598296" displayName="Tabelle736751953698125459194783951191311432218325772941081301441661801982142382522742883102040184054861001281401802022201444598296" ref="I34:M41" totalsRowShown="0">
  <autoFilter ref="I34:M41" xr:uid="{0AAB70FC-2D95-41E2-B331-8DA74A27AD54}"/>
  <tableColumns count="5">
    <tableColumn id="1" xr3:uid="{3735BBCB-7BCF-461D-8DD2-653F9DB90144}" name="Comparison entry no."/>
    <tableColumn id="2" xr3:uid="{DD4041DF-0DE8-4303-A0B7-861256FD9527}" name="Propability Support point" dataDxfId="69"/>
    <tableColumn id="3" xr3:uid="{D0CD7754-7846-45F7-88F9-BCA85A354413}" name="EBS self time" dataDxfId="68"/>
    <tableColumn id="4" xr3:uid="{C394F0D3-3289-4048-9E8D-65A5447D3F11}" name="Total time">
      <calculatedColumnFormula>#REF!</calculatedColumnFormula>
    </tableColumn>
    <tableColumn id="5" xr3:uid="{CAC0026A-E068-4D71-A99B-3AA31D5EAEC7}" name="Total time / Your estimate" dataDxfId="67">
      <calculatedColumnFormula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EB8182C2-8F85-44FE-BF42-A1A32ADBB732}" name="TimeEntries112440612032481144576184981201341923334766851031211391571752012152292472652833011543194356891011431651832032231547608597" displayName="TimeEntries112440612032481144576184981201341923334766851031211391571752012152292472652833011543194356891011431651832032231547608597" ref="A57:G70" totalsRowShown="0">
  <autoFilter ref="A57:G70" xr:uid="{7575A2DD-B363-4DAE-9CFD-37CAB4711128}"/>
  <tableColumns count="7">
    <tableColumn id="1" xr3:uid="{532A4D70-E952-48B5-89B1-37B45097447E}" name="Time entry no."/>
    <tableColumn id="2" xr3:uid="{1F6CFD61-BB78-4067-8913-5604EDEC6BEB}" name="Start time" dataDxfId="66"/>
    <tableColumn id="3" xr3:uid="{BC6F8445-07F0-434E-9716-CC599EAAA6A6}" name="End time" dataDxfId="65"/>
    <tableColumn id="4" xr3:uid="{D3884A90-7CC5-41B7-9245-C0AF2E35D178}" name="Time delta in h" dataDxfId="64">
      <calculatedColumnFormula>MAX((C58-B58)*24,0)</calculatedColumnFormula>
    </tableColumn>
    <tableColumn id="5" xr3:uid="{12A0297D-2473-42EE-95A1-933A5B5F018A}" name="Indicator"/>
    <tableColumn id="6" xr3:uid="{870C42B7-B728-47E7-8F21-C1D9CBC78E18}" name="Action1" dataDxfId="63" dataCellStyle="Link"/>
    <tableColumn id="7" xr3:uid="{BF0CCA80-0774-4B66-8448-06D751A12142}" name="Action2" dataDxfId="62" dataCellStyle="Link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7862CC7-5D75-4D18-84D3-EA7ABB74A9B4}" name="Tabelle7367132541622133491345586285991211352024344868861041221401581762022162302482662843021644204457901021441661842042241648618698" displayName="Tabelle7367132541622133491345586285991211352024344868861041221401581762022162302482662843021644204457901021441661842042241648618698" ref="I57:M58" insertRow="1" totalsRowShown="0">
  <autoFilter ref="I57:M58" xr:uid="{B7C8225B-A8B1-4C71-A362-F04ED3C82D6D}"/>
  <tableColumns count="5">
    <tableColumn id="1" xr3:uid="{5D0894BC-49DA-4E60-B62D-397A94474B75}" name="Comparison entry no."/>
    <tableColumn id="2" xr3:uid="{D81FBDA0-8A15-4798-8E55-EA9736C02974}" name="Propability Support point" dataDxfId="61"/>
    <tableColumn id="3" xr3:uid="{4522A328-B426-48EE-AB22-CB09898D1CE8}" name="EBS self time" dataDxfId="60"/>
    <tableColumn id="4" xr3:uid="{97AC1705-D389-4FD8-AA88-CCEE46C14C29}" name="Total time">
      <calculatedColumnFormula>#REF!</calculatedColumnFormula>
    </tableColumn>
    <tableColumn id="5" xr3:uid="{55C1B4EE-26BD-457E-AB3C-32A52DCD7517}" name="Total time / Your estimate" dataDxfId="59">
      <calculatedColumnFormula>Tabelle7367132541622133491345586285991211352024344868861041221401581762022162302482662843021644204457901021441661842042241648618698[[#This Row],[EBS self time]]/Tabelle7367132541622133491345586285991211352024344868861041221401581762022162302482662843021644204457901021441661842042241648618698[[#This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7" totalsRowShown="0" dataDxfId="0">
  <autoFilter ref="A3:Q7" xr:uid="{520F3973-795E-47E6-97CD-1C1265CA838A}"/>
  <sortState xmlns:xlrd2="http://schemas.microsoft.com/office/spreadsheetml/2017/richdata2" ref="A4:Q7">
    <sortCondition descending="1" ref="P3:P7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5FA45E4F-1C2D-4E52-967A-F5D96C69B898}" name="TimeEntries8295169891051251411611771852072332492692853051725825478197123137163175215835536989101" displayName="TimeEntries8295169891051251411611771852072332492692853051725825478197123137163175215835536989101" ref="A14:G17" totalsRowShown="0">
  <autoFilter ref="A14:G17" xr:uid="{16426D59-4DA6-412C-8F6C-CF4183641607}"/>
  <tableColumns count="7">
    <tableColumn id="1" xr3:uid="{F79CA250-6D5E-4619-8F65-18D72BB70219}" name="Time entry no."/>
    <tableColumn id="2" xr3:uid="{C0989836-B345-471A-9ADC-3ED3D91E48BC}" name="Start time" dataDxfId="53"/>
    <tableColumn id="3" xr3:uid="{ACDFE395-06A7-4B2F-A9BB-4D5527CC4DD3}" name="End time" dataDxfId="52"/>
    <tableColumn id="4" xr3:uid="{CFAB32E9-8F17-4593-A6E4-17FC42D4045B}" name="Time delta in h" dataDxfId="51">
      <calculatedColumnFormula>MAX((C15-B15)*24,0)</calculatedColumnFormula>
    </tableColumn>
    <tableColumn id="5" xr3:uid="{56CF2050-4A9E-4DB8-9B5B-02775C4A8B7B}" name="Indicator"/>
    <tableColumn id="6" xr3:uid="{28ECD069-C4B9-411C-8E63-822DD820212A}" name="Action1" dataDxfId="50" dataCellStyle="Link"/>
    <tableColumn id="7" xr3:uid="{F6AB1F6A-BD8C-4939-9E04-15C2B2226826}" name="Action2" dataDxfId="49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7D80E79F-CAB4-4120-B133-FD175FFA49B7}" name="Tabelle73679305270901061261421621781862082342502702863061828928488298124138164176216936547090102" displayName="Tabelle73679305270901061261421621781862082342502702863061828928488298124138164176216936547090102" ref="I14:M21" totalsRowShown="0">
  <autoFilter ref="I14:M21" xr:uid="{E9F1710C-DA6C-4CCC-9C5E-01F9C8B6FB05}"/>
  <tableColumns count="5">
    <tableColumn id="1" xr3:uid="{D3CD22F0-8F1A-432B-9FD0-48E0F67D87F8}" name="Comparison entry no."/>
    <tableColumn id="2" xr3:uid="{63BFA312-508E-4174-A204-17B0B1E74FC3}" name="Propability Support point" dataDxfId="48"/>
    <tableColumn id="3" xr3:uid="{A14391E7-F0CF-4C40-A658-469FB201301F}" name="EBS self time" dataDxfId="47"/>
    <tableColumn id="4" xr3:uid="{4579A1F3-04DD-463B-802E-A546F8D6600D}" name="Total time">
      <calculatedColumnFormula>#REF!</calculatedColumnFormula>
    </tableColumn>
    <tableColumn id="5" xr3:uid="{E9D03F59-E933-4560-A497-398EEF207544}" name="Total time / Your estimate" dataDxfId="46">
      <calculatedColumnFormula>Tabelle73679305270901061261421621781862082342502702863061828928488298124138164176216936547090102[[#This Row],[EBS self time]]/Tabelle73679305270901061261421621781862082342502702863061828928488298124138164176216936547090102[[#This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5" totalsRowShown="0" headerRowDxfId="45" dataDxfId="43" headerRowBorderDxfId="44">
  <autoFilter ref="A8:D15" xr:uid="{8E9EC0C1-7901-48B6-A59A-1CE6ABEE7A55}"/>
  <tableColumns count="4">
    <tableColumn id="1" xr3:uid="{58BB2187-C79D-4A1A-A9A3-DA2F074C476C}" name="Split entry no." dataDxfId="42"/>
    <tableColumn id="2" xr3:uid="{A755482D-FFF4-43D8-8021-1956CE3A7021}" name="Split start" dataDxfId="41"/>
    <tableColumn id="3" xr3:uid="{FE0A0B8D-1F8A-4CEC-9FB3-C945A45F99BF}" name="Split end" dataDxfId="40"/>
    <tableColumn id="4" xr3:uid="{5443222D-0CE3-4625-9EDB-D13B87B6C388}" name="Time spent" dataDxfId="39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7D6B44D-CABA-417C-96B6-A30994641785}" name="EbsBaseData4326270426" displayName="EbsBaseData4326270426" ref="A18:H20" totalsRowShown="0">
  <autoFilter ref="A18:H20" xr:uid="{1948C160-1F52-48A7-8061-8AFF06D47134}"/>
  <tableColumns count="8">
    <tableColumn id="1" xr3:uid="{91517E98-D4F0-4A7E-84DA-227C1BE1665A}" name="EBS entry no."/>
    <tableColumn id="4" xr3:uid="{55F96566-5C71-4986-A9EA-6CFEA4B41FD8}" name="EBS run date" dataDxfId="36"/>
    <tableColumn id="8" xr3:uid="{E7BF2E9D-BAA6-4DCE-9CB8-7D19B2F9CA53}" name="[Velocity pool]"/>
    <tableColumn id="2" xr3:uid="{54B0F21A-8DAA-470B-8510-B61FD51691E3}" name="Show pool?"/>
    <tableColumn id="3" xr3:uid="{5C9609C1-7E08-4438-8537-D4EE693DB8FC}" name="[Propability support points]"/>
    <tableColumn id="5" xr3:uid="{42021D75-6616-4DEA-9FCF-A3EB22C8FAD0}" name="[Project time estimates]"/>
    <tableColumn id="6" xr3:uid="{FAEF8027-EA81-45FE-8B1F-1A1CD4F86BD1}" name="[Project date estimates]"/>
    <tableColumn id="7" xr3:uid="{CAB0B7AE-CD86-4889-8C28-2C4FB9B619C5}" name="eHASH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4000A3-C4F9-491B-B88B-B4354F36E248}" name="EbsTaskData9592711227" displayName="EbsTaskData9592711227" ref="J18:T20" totalsRowShown="0">
  <autoFilter ref="J18:T20" xr:uid="{2297DC20-55A3-4C75-B785-3C4ABEF5CB9C}"/>
  <tableColumns count="11">
    <tableColumn id="1" xr3:uid="{24DAE38F-68BF-42BA-A468-76F23E7946F5}" name="Data entry no."/>
    <tableColumn id="10" xr3:uid="{846A3B0F-DF9C-4EE8-94E4-A757B7C5E77D}" name="tHASH"/>
    <tableColumn id="5" xr3:uid="{E9F8B96F-0375-4FFA-A1CA-75A4410501A5}" name="Logged Priority"/>
    <tableColumn id="7" xr3:uid="{0C3AD91E-785E-41D7-B966-4FC1671810B6}" name="Time spent so far" dataDxfId="35"/>
    <tableColumn id="4" xr3:uid="{B9100390-2F49-43D5-AF03-D7AE698C0FEF}" name="User time estimate" dataDxfId="34"/>
    <tableColumn id="3" xr3:uid="{78613373-FB01-4F78-AEEF-28D3D67DCA18}" name="[Monte Carlo estimate pool]"/>
    <tableColumn id="2" xr3:uid="{47CE218C-7523-4EDB-BFC3-940103DF2B87}" name="[Remaining time pool]"/>
    <tableColumn id="6" xr3:uid="{9995C5A0-7939-49DA-B6EA-EC27F62627B1}" name="[Accumulated time pool]"/>
    <tableColumn id="8" xr3:uid="{429E7426-0B86-43B1-97F3-F36D70A5F9A5}" name="[Propability support points]"/>
    <tableColumn id="9" xr3:uid="{2BC8CA61-F84B-4931-9B0C-6ABB05E57B11}" name="[Interpolated time estimates]"/>
    <tableColumn id="11" xr3:uid="{200A92D7-49D5-4112-9D7F-A7C1E62C7D18}" name="[Interpolated date estimates]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3" dataCellStyle="Link"/>
    <tableColumn id="9" xr3:uid="{0037D127-E2BA-445A-BC63-1395BA3AC441}" name="Calendar ID" dataDxfId="32" dataCellStyle="Link"/>
    <tableColumn id="10" xr3:uid="{37CA3B7B-8FF0-4042-97C6-E23A79A74325}" name="Store ID"/>
    <tableColumn id="6" xr3:uid="{044D8005-25C5-4D31-940A-B6DE4C6B0EA5}" name="WorkingDays" dataDxfId="3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0"/>
    <tableColumn id="8" xr3:uid="{1177B0FB-46B2-406D-B988-C64E0ABA6972}" name="AppointmentOffsetHours" dataDxfId="29">
      <calculatedColumnFormula>5/60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28"/>
    <tableColumn id="3" xr3:uid="{78DABF02-3853-48FF-81AD-5801C74BED1B}" name="End time" dataDxfId="27"/>
    <tableColumn id="4" xr3:uid="{76C994F9-216A-4848-9FB6-16BAF8B0EEEA}" name="Time delta in h" dataDxfId="26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25"/>
    <tableColumn id="3" xr3:uid="{A62B365F-400F-45A4-B789-FE7B5FDBD312}" name="EBS self time" dataDxfId="24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2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9"/>
    <tableColumn id="4" xr3:uid="{F9EDA55E-5206-49A7-A846-6A0B14C04CAF}" name="User time estimate" dataDxfId="1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5BECE97B-DB74-4CCD-A56E-287AB29264F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3.x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FF15B-C221-4C2B-9E67-0D1141613B0E}">
  <sheetPr codeName="Tabelle3"/>
  <dimension ref="A1:M70"/>
  <sheetViews>
    <sheetView workbookViewId="0">
      <selection activeCell="A101" sqref="A101:M127"/>
    </sheetView>
  </sheetViews>
  <sheetFormatPr baseColWidth="10" defaultRowHeight="15" x14ac:dyDescent="0.25"/>
  <sheetData>
    <row r="1" spans="1:13" x14ac:dyDescent="0.25">
      <c r="A1" t="s">
        <v>188</v>
      </c>
      <c r="B1" t="s">
        <v>115</v>
      </c>
      <c r="C1" t="s">
        <v>189</v>
      </c>
      <c r="D1">
        <v>17</v>
      </c>
      <c r="E1" t="s">
        <v>190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116</v>
      </c>
    </row>
    <row r="4" spans="1:13" x14ac:dyDescent="0.25">
      <c r="A4" t="s">
        <v>79</v>
      </c>
      <c r="B4" s="2">
        <v>0.5</v>
      </c>
      <c r="C4" t="s">
        <v>4</v>
      </c>
    </row>
    <row r="5" spans="1:13" x14ac:dyDescent="0.25">
      <c r="A5" t="s">
        <v>0</v>
      </c>
      <c r="B5" s="2">
        <f>SUM(D:D)</f>
        <v>70.750555555918254</v>
      </c>
      <c r="C5" t="s">
        <v>4</v>
      </c>
    </row>
    <row r="6" spans="1:13" x14ac:dyDescent="0.25">
      <c r="A6" t="s">
        <v>14</v>
      </c>
      <c r="B6" s="5" t="s">
        <v>99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129</v>
      </c>
    </row>
    <row r="9" spans="1:13" x14ac:dyDescent="0.25">
      <c r="A9" t="s">
        <v>16</v>
      </c>
      <c r="B9" s="5">
        <v>43817.078483796293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115</v>
      </c>
    </row>
    <row r="12" spans="1:13" x14ac:dyDescent="0.25">
      <c r="A12" t="s">
        <v>5</v>
      </c>
      <c r="B12" s="2">
        <f>B4/B5</f>
        <v>7.0670823157681232E-3</v>
      </c>
      <c r="C12" t="s">
        <v>6</v>
      </c>
    </row>
    <row r="13" spans="1:13" x14ac:dyDescent="0.25">
      <c r="A13" t="s">
        <v>103</v>
      </c>
      <c r="B13" t="s">
        <v>124</v>
      </c>
    </row>
    <row r="14" spans="1:13" x14ac:dyDescent="0.25">
      <c r="A14" t="s">
        <v>104</v>
      </c>
      <c r="B14" t="s">
        <v>125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96</v>
      </c>
      <c r="B16" s="1">
        <v>43817.068055555559</v>
      </c>
      <c r="C16" s="1">
        <v>43817.078472222223</v>
      </c>
      <c r="D16" s="2">
        <f>MAX((C16-B16)*24,0)</f>
        <v>0.24999999994179234</v>
      </c>
      <c r="F16" s="27" t="s">
        <v>127</v>
      </c>
      <c r="G16" s="27" t="s">
        <v>128</v>
      </c>
      <c r="J16" s="15"/>
      <c r="K16" s="2"/>
      <c r="L16" s="2"/>
      <c r="M16" s="16"/>
    </row>
    <row r="17" spans="1:7" x14ac:dyDescent="0.25">
      <c r="A17" t="s">
        <v>100</v>
      </c>
      <c r="B17" s="1">
        <v>43817.068067129629</v>
      </c>
      <c r="C17" s="1">
        <v>43817.078483796293</v>
      </c>
      <c r="D17" s="2">
        <f>MAX((C17-B17)*24,0)</f>
        <v>0.24999999994179234</v>
      </c>
      <c r="F17" s="27" t="s">
        <v>127</v>
      </c>
      <c r="G17" s="27" t="s">
        <v>128</v>
      </c>
    </row>
    <row r="18" spans="1:7" x14ac:dyDescent="0.25">
      <c r="A18" t="s">
        <v>101</v>
      </c>
      <c r="B18" s="1">
        <v>43817.068067129629</v>
      </c>
      <c r="C18" s="1">
        <v>43817.078483796293</v>
      </c>
      <c r="D18" s="2">
        <f>MAX((C18-B18)*24,0)</f>
        <v>0.24999999994179234</v>
      </c>
      <c r="F18" s="27" t="s">
        <v>127</v>
      </c>
      <c r="G18" s="27" t="s">
        <v>128</v>
      </c>
    </row>
    <row r="20" spans="1:7" x14ac:dyDescent="0.25">
      <c r="A20" t="s">
        <v>188</v>
      </c>
      <c r="B20" t="s">
        <v>111</v>
      </c>
      <c r="C20" t="s">
        <v>189</v>
      </c>
      <c r="D20">
        <v>21</v>
      </c>
      <c r="E20" t="s">
        <v>190</v>
      </c>
      <c r="F20">
        <v>13</v>
      </c>
    </row>
    <row r="21" spans="1:7" x14ac:dyDescent="0.25">
      <c r="A21" s="4" t="s">
        <v>25</v>
      </c>
    </row>
    <row r="22" spans="1:7" x14ac:dyDescent="0.25">
      <c r="A22" t="s">
        <v>3</v>
      </c>
      <c r="B22" t="s">
        <v>112</v>
      </c>
    </row>
    <row r="23" spans="1:7" x14ac:dyDescent="0.25">
      <c r="A23" t="s">
        <v>79</v>
      </c>
      <c r="B23" s="2">
        <v>1</v>
      </c>
      <c r="C23" t="s">
        <v>4</v>
      </c>
    </row>
    <row r="24" spans="1:7" x14ac:dyDescent="0.25">
      <c r="A24" t="s">
        <v>0</v>
      </c>
      <c r="B24" s="2">
        <f>SUM(D:D)</f>
        <v>70.750555555918254</v>
      </c>
      <c r="C24" t="s">
        <v>4</v>
      </c>
    </row>
    <row r="25" spans="1:7" x14ac:dyDescent="0.25">
      <c r="A25" t="s">
        <v>14</v>
      </c>
      <c r="B25" s="5" t="s">
        <v>99</v>
      </c>
    </row>
    <row r="26" spans="1:7" x14ac:dyDescent="0.25">
      <c r="A26" t="s">
        <v>15</v>
      </c>
      <c r="B26" s="5" t="s">
        <v>19</v>
      </c>
    </row>
    <row r="27" spans="1:7" x14ac:dyDescent="0.25">
      <c r="A27" t="s">
        <v>1</v>
      </c>
      <c r="B27" t="s">
        <v>187</v>
      </c>
    </row>
    <row r="28" spans="1:7" x14ac:dyDescent="0.25">
      <c r="A28" t="s">
        <v>16</v>
      </c>
      <c r="B28" s="5" t="s">
        <v>99</v>
      </c>
    </row>
    <row r="29" spans="1:7" x14ac:dyDescent="0.25">
      <c r="A29" t="s">
        <v>2</v>
      </c>
    </row>
    <row r="30" spans="1:7" x14ac:dyDescent="0.25">
      <c r="A30" t="s">
        <v>47</v>
      </c>
      <c r="B30" t="s">
        <v>111</v>
      </c>
    </row>
    <row r="31" spans="1:7" x14ac:dyDescent="0.25">
      <c r="A31" t="s">
        <v>5</v>
      </c>
      <c r="B31" s="2">
        <f>B23/B24</f>
        <v>1.4134164631536246E-2</v>
      </c>
      <c r="C31" t="s">
        <v>6</v>
      </c>
    </row>
    <row r="32" spans="1:7" x14ac:dyDescent="0.25">
      <c r="A32" t="s">
        <v>103</v>
      </c>
      <c r="B32" t="s">
        <v>118</v>
      </c>
    </row>
    <row r="33" spans="1:13" x14ac:dyDescent="0.25">
      <c r="A33" t="s">
        <v>104</v>
      </c>
      <c r="B33" t="s">
        <v>122</v>
      </c>
    </row>
    <row r="34" spans="1:13" x14ac:dyDescent="0.25">
      <c r="A34" t="s">
        <v>11</v>
      </c>
      <c r="B34" t="s">
        <v>7</v>
      </c>
      <c r="C34" t="s">
        <v>8</v>
      </c>
      <c r="D34" t="s">
        <v>9</v>
      </c>
      <c r="E34" t="s">
        <v>10</v>
      </c>
      <c r="F34" t="s">
        <v>86</v>
      </c>
      <c r="G34" t="s">
        <v>87</v>
      </c>
      <c r="I34" t="s">
        <v>71</v>
      </c>
      <c r="J34" s="15" t="s">
        <v>69</v>
      </c>
      <c r="K34" s="2" t="s">
        <v>70</v>
      </c>
      <c r="L34" t="s">
        <v>72</v>
      </c>
      <c r="M34" t="s">
        <v>73</v>
      </c>
    </row>
    <row r="35" spans="1:13" x14ac:dyDescent="0.25">
      <c r="A35" t="s">
        <v>96</v>
      </c>
      <c r="B35" s="1">
        <v>43817.077002314814</v>
      </c>
      <c r="C35" s="1">
        <v>43817.087418981479</v>
      </c>
      <c r="D35" s="2">
        <f>MAX((TimeEntries2185268802444818468294118130142211731567193107129143165179197213237251273287309193917395385991271391792012191343588195[[#This Row],[End time]]-TimeEntries2185268802444818468294118130142211731567193107129143165179197213237251273287309193917395385991271391792012191343588195[[#This Row],[Start time]])*24,0)</f>
        <v>0.24999999994179234</v>
      </c>
      <c r="F35" s="37" t="s">
        <v>127</v>
      </c>
      <c r="G35" s="23" t="s">
        <v>128</v>
      </c>
      <c r="I35" t="s">
        <v>96</v>
      </c>
      <c r="J35" s="15">
        <v>0.05</v>
      </c>
      <c r="K35" s="2">
        <v>1.3333333333333333</v>
      </c>
      <c r="L35" s="2" t="e">
        <f>#REF!</f>
        <v>#REF!</v>
      </c>
      <c r="M35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36" spans="1:13" x14ac:dyDescent="0.25">
      <c r="A36" t="s">
        <v>100</v>
      </c>
      <c r="B36" s="1">
        <v>43817.126307870371</v>
      </c>
      <c r="C36" s="1">
        <v>43817.147141203706</v>
      </c>
      <c r="D36" s="2">
        <f>MAX((TimeEntries2185268802444818468294118130142211731567193107129143165179197213237251273287309193917395385991271391792012191343588195[[#This Row],[End time]]-TimeEntries2185268802444818468294118130142211731567193107129143165179197213237251273287309193917395385991271391792012191343588195[[#This Row],[Start time]])*24,0)</f>
        <v>0.50000000005820766</v>
      </c>
      <c r="F36" s="37" t="s">
        <v>127</v>
      </c>
      <c r="G36" s="23" t="s">
        <v>128</v>
      </c>
      <c r="I36" t="s">
        <v>100</v>
      </c>
      <c r="J36" s="15">
        <v>0.2</v>
      </c>
      <c r="K36" s="2">
        <v>1.3333333333333333</v>
      </c>
      <c r="L36" s="2" t="e">
        <f>#REF!</f>
        <v>#REF!</v>
      </c>
      <c r="M36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37" spans="1:13" x14ac:dyDescent="0.25">
      <c r="A37" t="s">
        <v>101</v>
      </c>
      <c r="B37" s="1">
        <v>43817.126307870371</v>
      </c>
      <c r="C37" s="1">
        <v>43817.167974537035</v>
      </c>
      <c r="D37" s="2">
        <f>MAX((TimeEntries2185268802444818468294118130142211731567193107129143165179197213237251273287309193917395385991271391792012191343588195[[#This Row],[End time]]-TimeEntries2185268802444818468294118130142211731567193107129143165179197213237251273287309193917395385991271391792012191343588195[[#This Row],[Start time]])*24,0)</f>
        <v>0.99999999994179234</v>
      </c>
      <c r="F37" s="37" t="s">
        <v>127</v>
      </c>
      <c r="G37" s="23" t="s">
        <v>128</v>
      </c>
      <c r="I37" t="s">
        <v>101</v>
      </c>
      <c r="J37" s="15">
        <v>0.35</v>
      </c>
      <c r="K37" s="2">
        <v>1.3333333333333333</v>
      </c>
      <c r="L37" s="2" t="e">
        <f>#REF!</f>
        <v>#REF!</v>
      </c>
      <c r="M37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38" spans="1:13" x14ac:dyDescent="0.25">
      <c r="A38" t="s">
        <v>105</v>
      </c>
      <c r="B38" s="1">
        <v>43874.846400462964</v>
      </c>
      <c r="C38" s="1">
        <v>43874.84642361111</v>
      </c>
      <c r="D38" s="2">
        <f>MAX((TimeEntries2185268802444818468294118130142211731567193107129143165179197213237251273287309193917395385991271391792012191343588195[[#This Row],[End time]]-TimeEntries2185268802444818468294118130142211731567193107129143165179197213237251273287309193917395385991271391792012191343588195[[#This Row],[Start time]])*24,0)</f>
        <v>5.5555551080033183E-4</v>
      </c>
      <c r="F38" s="37" t="s">
        <v>127</v>
      </c>
      <c r="G38" s="23" t="s">
        <v>128</v>
      </c>
      <c r="I38" t="s">
        <v>105</v>
      </c>
      <c r="J38" s="15">
        <v>0.5</v>
      </c>
      <c r="K38" s="2">
        <v>1.3333333333333333</v>
      </c>
      <c r="L38" s="2" t="e">
        <f>#REF!</f>
        <v>#REF!</v>
      </c>
      <c r="M38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39" spans="1:13" x14ac:dyDescent="0.25">
      <c r="B39" s="1"/>
      <c r="C39" s="1"/>
      <c r="D39" s="2"/>
      <c r="G39" s="23"/>
      <c r="I39" t="s">
        <v>106</v>
      </c>
      <c r="J39" s="15">
        <v>0.65</v>
      </c>
      <c r="K39" s="2">
        <v>1.4992503748125936</v>
      </c>
      <c r="L39" s="2" t="e">
        <f>#REF!</f>
        <v>#REF!</v>
      </c>
      <c r="M39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40" spans="1:13" x14ac:dyDescent="0.25">
      <c r="I40" t="s">
        <v>155</v>
      </c>
      <c r="J40" s="15">
        <v>0.8</v>
      </c>
      <c r="K40" s="2">
        <v>1.4992503748125936</v>
      </c>
      <c r="L40" s="2" t="e">
        <f>#REF!</f>
        <v>#REF!</v>
      </c>
      <c r="M40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41" spans="1:13" x14ac:dyDescent="0.25">
      <c r="I41" t="s">
        <v>156</v>
      </c>
      <c r="J41" s="15">
        <v>0.95</v>
      </c>
      <c r="K41" s="2">
        <v>1.4992503748125936</v>
      </c>
      <c r="L41" s="2" t="e">
        <f>#REF!</f>
        <v>#REF!</v>
      </c>
      <c r="M41" s="16" t="e">
        <f>Tabelle736751953698125459194783951191311432218325772941081301441661801982142382522742883102040184054861001281401802022201444598296[[#This Row],[EBS self time]]/Tabelle736751953698125459194783951191311432218325772941081301441661801982142382522742883102040184054861001281401802022201444598296[[#This Row],[Total time]]</f>
        <v>#REF!</v>
      </c>
    </row>
    <row r="43" spans="1:13" x14ac:dyDescent="0.25">
      <c r="A43" t="s">
        <v>188</v>
      </c>
      <c r="B43" t="s">
        <v>113</v>
      </c>
      <c r="C43" t="s">
        <v>189</v>
      </c>
      <c r="D43">
        <v>27</v>
      </c>
      <c r="E43" t="s">
        <v>190</v>
      </c>
      <c r="F43">
        <v>13</v>
      </c>
    </row>
    <row r="44" spans="1:13" x14ac:dyDescent="0.25">
      <c r="A44" s="4" t="s">
        <v>25</v>
      </c>
    </row>
    <row r="45" spans="1:13" x14ac:dyDescent="0.25">
      <c r="A45" t="s">
        <v>3</v>
      </c>
      <c r="B45" t="s">
        <v>114</v>
      </c>
    </row>
    <row r="46" spans="1:13" x14ac:dyDescent="0.25">
      <c r="A46" t="s">
        <v>79</v>
      </c>
      <c r="B46" s="2">
        <v>2</v>
      </c>
      <c r="C46" t="s">
        <v>4</v>
      </c>
    </row>
    <row r="47" spans="1:13" x14ac:dyDescent="0.25">
      <c r="A47" t="s">
        <v>0</v>
      </c>
      <c r="B47" s="2">
        <f>SUM(D:D)</f>
        <v>70.750555555918254</v>
      </c>
      <c r="C47" t="s">
        <v>4</v>
      </c>
    </row>
    <row r="48" spans="1:13" x14ac:dyDescent="0.25">
      <c r="A48" t="s">
        <v>14</v>
      </c>
      <c r="B48" s="5" t="s">
        <v>99</v>
      </c>
    </row>
    <row r="49" spans="1:13" x14ac:dyDescent="0.25">
      <c r="A49" t="s">
        <v>15</v>
      </c>
      <c r="B49" s="5" t="s">
        <v>19</v>
      </c>
    </row>
    <row r="50" spans="1:13" x14ac:dyDescent="0.25">
      <c r="A50" t="s">
        <v>1</v>
      </c>
      <c r="B50" t="s">
        <v>97</v>
      </c>
    </row>
    <row r="51" spans="1:13" x14ac:dyDescent="0.25">
      <c r="A51" t="s">
        <v>16</v>
      </c>
      <c r="B51" s="5" t="s">
        <v>99</v>
      </c>
    </row>
    <row r="52" spans="1:13" x14ac:dyDescent="0.25">
      <c r="A52" t="s">
        <v>2</v>
      </c>
    </row>
    <row r="53" spans="1:13" x14ac:dyDescent="0.25">
      <c r="A53" t="s">
        <v>47</v>
      </c>
      <c r="B53" t="s">
        <v>113</v>
      </c>
    </row>
    <row r="54" spans="1:13" x14ac:dyDescent="0.25">
      <c r="A54" t="s">
        <v>5</v>
      </c>
      <c r="B54" s="2">
        <f>B46/B47</f>
        <v>2.8268329263072493E-2</v>
      </c>
      <c r="C54" t="s">
        <v>6</v>
      </c>
    </row>
    <row r="55" spans="1:13" x14ac:dyDescent="0.25">
      <c r="A55" t="s">
        <v>103</v>
      </c>
      <c r="B55" t="s">
        <v>118</v>
      </c>
    </row>
    <row r="56" spans="1:13" x14ac:dyDescent="0.25">
      <c r="A56" t="s">
        <v>104</v>
      </c>
      <c r="B56" t="s">
        <v>120</v>
      </c>
    </row>
    <row r="57" spans="1:13" x14ac:dyDescent="0.25">
      <c r="A57" t="s">
        <v>11</v>
      </c>
      <c r="B57" t="s">
        <v>7</v>
      </c>
      <c r="C57" t="s">
        <v>8</v>
      </c>
      <c r="D57" t="s">
        <v>9</v>
      </c>
      <c r="E57" t="s">
        <v>10</v>
      </c>
      <c r="F57" t="s">
        <v>86</v>
      </c>
      <c r="G57" t="s">
        <v>87</v>
      </c>
      <c r="I57" t="s">
        <v>71</v>
      </c>
      <c r="J57" s="15" t="s">
        <v>69</v>
      </c>
      <c r="K57" s="2" t="s">
        <v>70</v>
      </c>
      <c r="L57" t="s">
        <v>72</v>
      </c>
      <c r="M57" t="s">
        <v>73</v>
      </c>
    </row>
    <row r="58" spans="1:13" x14ac:dyDescent="0.25">
      <c r="A58" t="s">
        <v>96</v>
      </c>
      <c r="B58" s="1">
        <v>43870.964432870373</v>
      </c>
      <c r="C58" s="1">
        <v>43870.974849537037</v>
      </c>
      <c r="D58" s="2">
        <f t="shared" ref="D58:D70" si="0">MAX((C58-B58)*24,0)</f>
        <v>0.24999999994179234</v>
      </c>
      <c r="F58" s="37" t="s">
        <v>127</v>
      </c>
      <c r="G58" s="23" t="s">
        <v>128</v>
      </c>
      <c r="J58" s="15"/>
      <c r="K58" s="2"/>
      <c r="L58" s="2"/>
      <c r="M58" s="16"/>
    </row>
    <row r="59" spans="1:13" x14ac:dyDescent="0.25">
      <c r="A59" t="s">
        <v>100</v>
      </c>
      <c r="B59" s="1">
        <v>43870.964432870373</v>
      </c>
      <c r="C59" s="1">
        <v>43870.974849537037</v>
      </c>
      <c r="D59" s="2">
        <f t="shared" si="0"/>
        <v>0.24999999994179234</v>
      </c>
      <c r="F59" s="37" t="s">
        <v>127</v>
      </c>
      <c r="G59" s="23" t="s">
        <v>128</v>
      </c>
    </row>
    <row r="60" spans="1:13" x14ac:dyDescent="0.25">
      <c r="A60" t="s">
        <v>101</v>
      </c>
      <c r="B60" s="1">
        <v>43870.964432870373</v>
      </c>
      <c r="C60" s="1">
        <v>43870.974849537037</v>
      </c>
      <c r="D60" s="2">
        <f t="shared" si="0"/>
        <v>0.24999999994179234</v>
      </c>
      <c r="F60" s="37" t="s">
        <v>127</v>
      </c>
      <c r="G60" s="23" t="s">
        <v>128</v>
      </c>
    </row>
    <row r="61" spans="1:13" x14ac:dyDescent="0.25">
      <c r="A61" t="s">
        <v>105</v>
      </c>
      <c r="B61" s="1">
        <v>43870.964432870373</v>
      </c>
      <c r="C61" s="1">
        <v>43870.974849537037</v>
      </c>
      <c r="D61" s="2">
        <f t="shared" si="0"/>
        <v>0.24999999994179234</v>
      </c>
      <c r="F61" s="37" t="s">
        <v>127</v>
      </c>
      <c r="G61" s="23" t="s">
        <v>128</v>
      </c>
    </row>
    <row r="62" spans="1:13" x14ac:dyDescent="0.25">
      <c r="A62" t="s">
        <v>106</v>
      </c>
      <c r="B62" s="1">
        <v>43870.964444444442</v>
      </c>
      <c r="C62" s="1">
        <v>43870.974861111114</v>
      </c>
      <c r="D62" s="2">
        <f t="shared" si="0"/>
        <v>0.25000000011641532</v>
      </c>
      <c r="F62" s="37" t="s">
        <v>127</v>
      </c>
      <c r="G62" s="23" t="s">
        <v>128</v>
      </c>
    </row>
    <row r="63" spans="1:13" x14ac:dyDescent="0.25">
      <c r="A63" t="s">
        <v>155</v>
      </c>
      <c r="B63" s="1">
        <v>43870.964444444442</v>
      </c>
      <c r="C63" s="1">
        <v>43870.974861111114</v>
      </c>
      <c r="D63" s="2">
        <f t="shared" si="0"/>
        <v>0.25000000011641532</v>
      </c>
      <c r="F63" s="37" t="s">
        <v>127</v>
      </c>
      <c r="G63" s="23" t="s">
        <v>128</v>
      </c>
    </row>
    <row r="64" spans="1:13" x14ac:dyDescent="0.25">
      <c r="A64" t="s">
        <v>156</v>
      </c>
      <c r="B64" s="1">
        <v>43870.964444444442</v>
      </c>
      <c r="C64" s="1">
        <v>43870.974861111114</v>
      </c>
      <c r="D64" s="2">
        <f t="shared" si="0"/>
        <v>0.25000000011641532</v>
      </c>
      <c r="F64" s="37" t="s">
        <v>127</v>
      </c>
      <c r="G64" s="23" t="s">
        <v>128</v>
      </c>
    </row>
    <row r="65" spans="1:7" x14ac:dyDescent="0.25">
      <c r="A65" t="s">
        <v>185</v>
      </c>
      <c r="B65" s="1">
        <v>43870.964444444442</v>
      </c>
      <c r="C65" s="1">
        <v>43870.974861111114</v>
      </c>
      <c r="D65" s="2">
        <f t="shared" si="0"/>
        <v>0.25000000011641532</v>
      </c>
      <c r="F65" s="37" t="s">
        <v>127</v>
      </c>
      <c r="G65" s="23" t="s">
        <v>128</v>
      </c>
    </row>
    <row r="66" spans="1:7" x14ac:dyDescent="0.25">
      <c r="A66" t="s">
        <v>168</v>
      </c>
      <c r="B66" s="1">
        <v>43870.964444444442</v>
      </c>
      <c r="C66" s="1">
        <v>43870.974861111114</v>
      </c>
      <c r="D66" s="2">
        <f t="shared" si="0"/>
        <v>0.25000000011641532</v>
      </c>
      <c r="F66" s="37" t="s">
        <v>127</v>
      </c>
      <c r="G66" s="23" t="s">
        <v>128</v>
      </c>
    </row>
    <row r="67" spans="1:7" x14ac:dyDescent="0.25">
      <c r="A67" t="s">
        <v>170</v>
      </c>
      <c r="B67" s="1">
        <v>43870.964444444442</v>
      </c>
      <c r="C67" s="1">
        <v>43870.974861111114</v>
      </c>
      <c r="D67" s="2">
        <f t="shared" si="0"/>
        <v>0.25000000011641532</v>
      </c>
      <c r="F67" s="37" t="s">
        <v>127</v>
      </c>
      <c r="G67" s="23" t="s">
        <v>128</v>
      </c>
    </row>
    <row r="68" spans="1:7" x14ac:dyDescent="0.25">
      <c r="A68" t="s">
        <v>181</v>
      </c>
      <c r="B68" s="1">
        <v>43870.964456018519</v>
      </c>
      <c r="C68" s="1">
        <v>43870.974872685183</v>
      </c>
      <c r="D68" s="2">
        <f t="shared" si="0"/>
        <v>0.24999999994179234</v>
      </c>
      <c r="F68" s="37" t="s">
        <v>127</v>
      </c>
      <c r="G68" s="23" t="s">
        <v>128</v>
      </c>
    </row>
    <row r="69" spans="1:7" x14ac:dyDescent="0.25">
      <c r="A69" t="s">
        <v>182</v>
      </c>
      <c r="B69" s="1">
        <v>43870.964479166665</v>
      </c>
      <c r="C69" s="1">
        <v>43870.974895833337</v>
      </c>
      <c r="D69" s="2">
        <f t="shared" si="0"/>
        <v>0.25000000011641532</v>
      </c>
      <c r="F69" s="37" t="s">
        <v>127</v>
      </c>
      <c r="G69" s="23" t="s">
        <v>128</v>
      </c>
    </row>
    <row r="70" spans="1:7" x14ac:dyDescent="0.25">
      <c r="A70" t="s">
        <v>186</v>
      </c>
      <c r="B70" s="1">
        <v>43870.964479166665</v>
      </c>
      <c r="C70" s="1">
        <v>43870.974895833337</v>
      </c>
      <c r="D70" s="2">
        <f t="shared" si="0"/>
        <v>0.25000000011641532</v>
      </c>
      <c r="F70" s="37" t="s">
        <v>127</v>
      </c>
      <c r="G70" s="23" t="s">
        <v>128</v>
      </c>
    </row>
  </sheetData>
  <hyperlinks>
    <hyperlink ref="A2" location="Planning!A1" display="Go back to 'Planning' sheet" xr:uid="{D409775E-4CE3-4247-8381-6029DB69CAFD}"/>
    <hyperlink ref="F16" location="$F$15" display="$F$15" xr:uid="{6D5F93D8-DC1D-48BD-8B09-CCC078DB1F55}"/>
    <hyperlink ref="G16" location="$G$15" display="$G$15" xr:uid="{C7B94DC4-BA06-4F45-8666-C54212640F20}"/>
    <hyperlink ref="F17" location="$F$16" display="$F$16" xr:uid="{AB572293-E852-42C4-ABEC-8EB37B03F227}"/>
    <hyperlink ref="G17" location="$G$16" display="$G$16" xr:uid="{FDEC5EFD-CB37-4458-B85D-7DCF7A29FEDA}"/>
    <hyperlink ref="F18" location="$F$17" display="$F$17" xr:uid="{854890E7-DCDE-4495-A8A9-4CCEFA70E2FC}"/>
    <hyperlink ref="G18" location="$G$17" display="$G$17" xr:uid="{2E9B553E-10A4-4738-8366-70AF341856E9}"/>
    <hyperlink ref="A21" location="Planning!A1" display="Go back to 'Planning' sheet" xr:uid="{5FD9E3BD-8073-4D34-97F4-957CF375B15A}"/>
    <hyperlink ref="F35" location="$F$15" display="$F$15" xr:uid="{8B9CC0BD-8FAB-4E67-B5C4-2C762DC005F5}"/>
    <hyperlink ref="G35" location="$G$15" display="$G$15" xr:uid="{C56C6EB3-F296-440D-BF40-A83A083F81F7}"/>
    <hyperlink ref="F36" location="$F$16" display="$F$16" xr:uid="{EF8F2187-E9C3-45E4-9045-11D08FC757DB}"/>
    <hyperlink ref="G36" location="$G$16" display="$G$16" xr:uid="{435C22E0-FCAD-4023-BD89-BCB8AEE12201}"/>
    <hyperlink ref="F37" location="$F$17" display="$F$17" xr:uid="{18A74422-F7EF-49CD-8AA9-B8A1B95EF388}"/>
    <hyperlink ref="G37" location="$G$17" display="$G$17" xr:uid="{1C815B76-691C-4148-B1D6-21003BF2E777}"/>
    <hyperlink ref="F38" location="$F$18" display="$F$18" xr:uid="{F6FFB5AC-9D2C-4F2A-B77A-508EC1C290D1}"/>
    <hyperlink ref="G38" location="$G$18" display="$G$18" xr:uid="{952CC29D-6B57-4597-B32E-167C6E443A73}"/>
    <hyperlink ref="A44" location="Planning!A1" display="Go back to 'Planning' sheet" xr:uid="{8891996D-BF1D-48AA-AF79-C3F15D9AC561}"/>
    <hyperlink ref="F58" location="$F$15" display="$F$15" xr:uid="{07DFDC0B-A181-48A6-9FEF-60EC8A77C6D6}"/>
    <hyperlink ref="G58" location="$G$15" display="$G$15" xr:uid="{A8630EC9-1D9D-4491-A712-1240E6C3A160}"/>
    <hyperlink ref="F59" location="$F$16" display="$F$16" xr:uid="{F70FB955-7848-4CC9-B125-82F2C45DE79E}"/>
    <hyperlink ref="G59" location="$G$16" display="$G$16" xr:uid="{6A850E45-644D-4B89-90DC-FFA67F6405A4}"/>
    <hyperlink ref="F60" location="$F$17" display="$F$17" xr:uid="{908263FF-FFD4-41C6-B8FB-A139E428663A}"/>
    <hyperlink ref="G60" location="$G$17" display="$G$17" xr:uid="{1626DC9C-0A62-4C74-B8F1-EB1386718F68}"/>
    <hyperlink ref="F61" location="$F$18" display="$F$18" xr:uid="{F85EC134-3281-4FD7-ABD8-64D96FFC7634}"/>
    <hyperlink ref="G61" location="$G$18" display="$G$18" xr:uid="{BDF464C6-A483-4AAD-8EB1-5D0AF1BA1CA0}"/>
    <hyperlink ref="F62" location="$F$19" display="$F$19" xr:uid="{2E947B02-20EC-4847-B480-91DA0E11D911}"/>
    <hyperlink ref="G62" location="$G$19" display="$G$19" xr:uid="{2272BD7B-D3A8-4159-BA02-F192BF7CAD0B}"/>
    <hyperlink ref="F63" location="$F$20" display="$F$20" xr:uid="{3636C871-FF34-4529-8C35-47AC527ABB1A}"/>
    <hyperlink ref="G63" location="$G$20" display="$G$20" xr:uid="{B103226F-3B97-4697-9E45-83DFA5BB0202}"/>
    <hyperlink ref="F64" location="$F$21" display="$F$21" xr:uid="{F0025A4F-48BF-4877-B54A-063A52749F6C}"/>
    <hyperlink ref="G64" location="$G$21" display="$G$21" xr:uid="{F45155F8-1B18-4CA7-AA2E-4E29AA4566D3}"/>
    <hyperlink ref="F65" location="$F$22" display="$F$22" xr:uid="{A65BB1E4-2126-4EAE-953A-F044964A8E94}"/>
    <hyperlink ref="G65" location="$G$22" display="$G$22" xr:uid="{A53E2E6D-352A-4053-86E6-9697ED4ED4F4}"/>
    <hyperlink ref="F66" location="$F$23" display="$F$23" xr:uid="{9F5FEFA9-7BA3-4838-95A4-E05D4AABC4ED}"/>
    <hyperlink ref="G66" location="$G$23" display="$G$23" xr:uid="{1F55F159-C8F6-4443-99AD-D465DE8D9E78}"/>
    <hyperlink ref="F67" location="$F$24" display="$F$24" xr:uid="{5A1966BE-DDF3-4086-962F-2673B10ECFC3}"/>
    <hyperlink ref="G67" location="$G$24" display="$G$24" xr:uid="{A2DADF94-8FE6-47CC-A0C8-D8C867DB1F10}"/>
    <hyperlink ref="F68" location="$F$25" display="$F$25" xr:uid="{713AB666-4690-4FEE-9469-83B35334D75A}"/>
    <hyperlink ref="G68" location="$G$25" display="$G$25" xr:uid="{3745AC87-147D-4E31-B5BE-8ED599A56391}"/>
    <hyperlink ref="F69" location="$F$26" display="$F$26" xr:uid="{D582C66A-55A0-4053-9346-95BE500AEDE1}"/>
    <hyperlink ref="G69" location="$G$26" display="$G$26" xr:uid="{2D70A8EE-C784-4A46-AF68-A6C325E7D11E}"/>
    <hyperlink ref="F70" location="$F$27" display="$F$27" xr:uid="{94EFE269-C0B9-4E04-A4A8-AC358F56443C}"/>
    <hyperlink ref="G70" location="$G$27" display="$G$27" xr:uid="{E4906DA8-FA27-4710-8EE5-EFCAF9097FE8}"/>
  </hyperlinks>
  <pageMargins left="0.7" right="0.7" top="0.78740157499999996" bottom="0.78740157499999996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18" sqref="D18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41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15.710937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41" customWidth="1" collapsed="1"/>
    <col min="15" max="15" width="13.5703125" hidden="1" customWidth="1" outlineLevel="1"/>
    <col min="16" max="16" width="0" hidden="1" customWidth="1" outlineLevel="1"/>
    <col min="17" max="17" width="20.28515625" style="6" hidden="1" customWidth="1" outlineLevel="1"/>
    <col min="18" max="18" width="15.7109375" style="41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40" t="s">
        <v>78</v>
      </c>
      <c r="M2" s="40" t="s">
        <v>78</v>
      </c>
      <c r="O2" s="8"/>
      <c r="P2" s="8"/>
      <c r="Q2" s="8"/>
      <c r="U2"/>
    </row>
    <row r="3" spans="1:22" x14ac:dyDescent="0.25">
      <c r="A3" s="6" t="s">
        <v>12</v>
      </c>
      <c r="B3" s="41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41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106</v>
      </c>
      <c r="B4" s="38"/>
      <c r="C4" s="23" t="s">
        <v>116</v>
      </c>
      <c r="D4" s="23"/>
      <c r="E4" s="24" t="s">
        <v>123</v>
      </c>
      <c r="F4" s="24"/>
      <c r="G4" s="24" t="s">
        <v>117</v>
      </c>
      <c r="H4" s="24" t="s">
        <v>129</v>
      </c>
      <c r="I4" s="25">
        <v>0.5</v>
      </c>
      <c r="J4" s="25">
        <v>0.74999999982537702</v>
      </c>
      <c r="K4" s="26">
        <v>43817.078483796293</v>
      </c>
      <c r="L4" s="25" t="s">
        <v>99</v>
      </c>
      <c r="M4" s="26" t="s">
        <v>99</v>
      </c>
      <c r="N4" s="38"/>
      <c r="O4" s="24" t="s">
        <v>19</v>
      </c>
      <c r="P4" s="24" t="s">
        <v>99</v>
      </c>
      <c r="Q4" s="24" t="s">
        <v>115</v>
      </c>
      <c r="U4"/>
    </row>
    <row r="5" spans="1:22" x14ac:dyDescent="0.25">
      <c r="A5" s="24" t="s">
        <v>170</v>
      </c>
      <c r="B5" s="38"/>
      <c r="C5" s="23" t="s">
        <v>191</v>
      </c>
      <c r="D5" s="23"/>
      <c r="E5" s="24"/>
      <c r="F5" s="24"/>
      <c r="G5" s="24"/>
      <c r="H5" s="24" t="s">
        <v>187</v>
      </c>
      <c r="I5" s="25">
        <v>5</v>
      </c>
      <c r="J5" s="25">
        <v>0.250833333295304</v>
      </c>
      <c r="K5" s="26">
        <v>43874.846030092594</v>
      </c>
      <c r="L5" s="25" t="s">
        <v>99</v>
      </c>
      <c r="M5" s="26" t="s">
        <v>99</v>
      </c>
      <c r="N5" s="38"/>
      <c r="O5" s="24" t="s">
        <v>19</v>
      </c>
      <c r="P5" s="24" t="s">
        <v>99</v>
      </c>
      <c r="Q5" s="24" t="s">
        <v>171</v>
      </c>
      <c r="U5"/>
    </row>
    <row r="6" spans="1:22" x14ac:dyDescent="0.25">
      <c r="A6" s="24" t="s">
        <v>96</v>
      </c>
      <c r="B6" s="38"/>
      <c r="C6" s="23" t="s">
        <v>112</v>
      </c>
      <c r="D6" s="23"/>
      <c r="E6" s="24"/>
      <c r="F6" s="24"/>
      <c r="G6" s="24" t="s">
        <v>121</v>
      </c>
      <c r="H6" s="24" t="s">
        <v>187</v>
      </c>
      <c r="I6" s="25">
        <v>1</v>
      </c>
      <c r="J6" s="25">
        <v>1.75055555545259</v>
      </c>
      <c r="K6" s="26"/>
      <c r="L6" s="25">
        <v>0</v>
      </c>
      <c r="M6" s="26">
        <v>43871.333333333336</v>
      </c>
      <c r="N6" s="38"/>
      <c r="O6" s="24" t="s">
        <v>19</v>
      </c>
      <c r="P6" s="24">
        <v>2</v>
      </c>
      <c r="Q6" s="24" t="s">
        <v>111</v>
      </c>
      <c r="U6"/>
    </row>
    <row r="7" spans="1:22" x14ac:dyDescent="0.25">
      <c r="A7" s="24" t="s">
        <v>105</v>
      </c>
      <c r="B7" s="38"/>
      <c r="C7" s="23" t="s">
        <v>114</v>
      </c>
      <c r="D7" s="23"/>
      <c r="E7" s="24"/>
      <c r="F7" s="24"/>
      <c r="G7" s="24" t="s">
        <v>119</v>
      </c>
      <c r="H7" s="24" t="s">
        <v>97</v>
      </c>
      <c r="I7" s="25">
        <v>2</v>
      </c>
      <c r="J7" s="25">
        <v>3.2500000006402798</v>
      </c>
      <c r="K7" s="26"/>
      <c r="L7" s="25">
        <v>2.9990000000000001</v>
      </c>
      <c r="M7" s="26">
        <v>43871.458275462966</v>
      </c>
      <c r="N7" s="38"/>
      <c r="O7" s="24" t="s">
        <v>19</v>
      </c>
      <c r="P7" s="24">
        <v>1</v>
      </c>
      <c r="Q7" s="24" t="s">
        <v>113</v>
      </c>
      <c r="U7"/>
    </row>
    <row r="8" spans="1:22" x14ac:dyDescent="0.25">
      <c r="A8" s="24"/>
      <c r="B8" s="38"/>
      <c r="C8" s="23"/>
      <c r="D8" s="23"/>
      <c r="F8" s="24"/>
      <c r="G8" s="24"/>
      <c r="H8" s="24"/>
      <c r="I8" s="24"/>
      <c r="J8" s="25"/>
      <c r="K8" s="24"/>
      <c r="L8" s="25"/>
      <c r="M8" s="25"/>
      <c r="N8" s="39"/>
      <c r="Q8" s="24"/>
      <c r="U8"/>
    </row>
    <row r="9" spans="1:22" x14ac:dyDescent="0.25">
      <c r="A9" s="24"/>
      <c r="B9" s="38"/>
      <c r="C9" s="23"/>
      <c r="D9" s="23"/>
      <c r="F9" s="24"/>
      <c r="G9" s="24"/>
      <c r="H9" s="24"/>
      <c r="I9" s="24"/>
      <c r="J9" s="25"/>
      <c r="K9" s="24"/>
      <c r="L9" s="25"/>
      <c r="M9" s="25"/>
      <c r="N9" s="39"/>
      <c r="Q9" s="24"/>
      <c r="U9"/>
    </row>
    <row r="10" spans="1:22" x14ac:dyDescent="0.25">
      <c r="R10" s="39"/>
      <c r="S10" s="24"/>
      <c r="T10" s="24"/>
    </row>
    <row r="11" spans="1:22" x14ac:dyDescent="0.25">
      <c r="R11" s="39"/>
      <c r="S11" s="24"/>
      <c r="T11" s="24"/>
      <c r="V11" s="8"/>
    </row>
    <row r="14" spans="1:22" x14ac:dyDescent="0.25">
      <c r="C14" s="11"/>
    </row>
    <row r="39" spans="22:22" x14ac:dyDescent="0.25">
      <c r="V39" t="s">
        <v>89</v>
      </c>
    </row>
  </sheetData>
  <dataConsolidate/>
  <conditionalFormatting sqref="B1 B3:B1048576">
    <cfRule type="containsText" dxfId="58" priority="6" operator="containsText" text="&lt;current">
      <formula>NOT(ISERROR(SEARCH("&lt;current",B1)))</formula>
    </cfRule>
  </conditionalFormatting>
  <conditionalFormatting sqref="N1:O1 H1:K1 H3:I3 L1:M3 I8:M9 Q10:Q1048576 I10:N1048576 J3:K5 N3:O7 H4:L7">
    <cfRule type="containsText" dxfId="57" priority="7" operator="containsText" text="Done">
      <formula>NOT(ISERROR(SEARCH("Done",H1)))</formula>
    </cfRule>
    <cfRule type="containsText" dxfId="56" priority="8" operator="containsText" text="In progress">
      <formula>NOT(ISERROR(SEARCH("In progress",H1)))</formula>
    </cfRule>
    <cfRule type="containsText" dxfId="55" priority="9" operator="containsText" text="To do">
      <formula>NOT(ISERROR(SEARCH("To do",H1)))</formula>
    </cfRule>
  </conditionalFormatting>
  <conditionalFormatting sqref="H4:H7">
    <cfRule type="containsText" dxfId="54" priority="1" operator="containsText" text="Note">
      <formula>NOT(ISERROR(SEARCH("Note",H4)))</formula>
    </cfRule>
  </conditionalFormatting>
  <conditionalFormatting sqref="S10:S1048576 P1 P3:P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7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7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7" xr:uid="{9F542B9B-6457-4DF0-A686-12CFDB2D0871}">
      <formula1>"Important"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7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7" xr:uid="{5B0595D5-B596-4E91-8852-379A81480CCC}">
      <formula1>"Preparation,Food,Non food"</formula1>
    </dataValidation>
  </dataValidations>
  <hyperlinks>
    <hyperlink ref="C6" location="Planning!A1" display="Planning!A1" xr:uid="{E7E9EB20-9A6A-43A4-85F6-0260588D6383}"/>
    <hyperlink ref="C7" location="Planning!A1" display="Planning!A1" xr:uid="{8CFA1261-F85D-4859-A4DC-8DA15B465660}"/>
    <hyperlink ref="C4" location="Planning!A1" display="Planning!A1" xr:uid="{FB1E17D5-9329-412C-A215-AF443F84EE83}"/>
    <hyperlink ref="C5" location="Planning!A1" display="Planning!A1" xr:uid="{743DA06B-2641-4B04-A304-ED29FCE3400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2752-7644-4A31-AA94-24DFC457C462}">
  <sheetPr codeName="TaskSheetTemplate1"/>
  <dimension ref="A1:M21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191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0.25194444449152797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187</v>
      </c>
    </row>
    <row r="8" spans="1:13" x14ac:dyDescent="0.25">
      <c r="A8" t="s">
        <v>16</v>
      </c>
      <c r="B8" s="5">
        <v>43874.846030092594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171</v>
      </c>
    </row>
    <row r="11" spans="1:13" x14ac:dyDescent="0.25">
      <c r="A11" t="s">
        <v>5</v>
      </c>
      <c r="B11" s="2">
        <f>B3/B4</f>
        <v>19.845644979753196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43870.804606481484</v>
      </c>
      <c r="C15" s="1">
        <v>43870.815023148149</v>
      </c>
      <c r="D15" s="2">
        <f>MAX((C15-B15)*24,0)</f>
        <v>0.24999999994179234</v>
      </c>
      <c r="F15" s="37" t="s">
        <v>127</v>
      </c>
      <c r="G15" s="23" t="s">
        <v>128</v>
      </c>
      <c r="I15" t="s">
        <v>96</v>
      </c>
      <c r="J15" s="15">
        <v>0.05</v>
      </c>
      <c r="K15" s="2">
        <v>7.4962518740629678</v>
      </c>
      <c r="L15" s="2" t="e">
        <f>#REF!</f>
        <v>#REF!</v>
      </c>
      <c r="M15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  <row r="16" spans="1:13" x14ac:dyDescent="0.25">
      <c r="A16" t="s">
        <v>100</v>
      </c>
      <c r="B16" s="1">
        <v>43874.845995370371</v>
      </c>
      <c r="C16" s="1">
        <v>43874.846030092594</v>
      </c>
      <c r="D16" s="2">
        <f>MAX((C16-B16)*24,0)</f>
        <v>8.3333335351198912E-4</v>
      </c>
      <c r="F16" s="37" t="s">
        <v>127</v>
      </c>
      <c r="G16" s="23" t="s">
        <v>128</v>
      </c>
      <c r="I16" t="s">
        <v>100</v>
      </c>
      <c r="J16" s="15">
        <v>0.2</v>
      </c>
      <c r="K16" s="2">
        <v>7.4962518740629678</v>
      </c>
      <c r="L16" s="2" t="e">
        <f>#REF!</f>
        <v>#REF!</v>
      </c>
      <c r="M16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  <row r="17" spans="1:13" x14ac:dyDescent="0.25">
      <c r="A17" t="s">
        <v>101</v>
      </c>
      <c r="B17" s="1">
        <v>43874.858368055553</v>
      </c>
      <c r="C17" s="1">
        <v>43874.858414351853</v>
      </c>
      <c r="D17" s="2">
        <f>MAX((C17-B17)*24,0)</f>
        <v>1.1111111962236464E-3</v>
      </c>
      <c r="F17" s="37" t="s">
        <v>127</v>
      </c>
      <c r="G17" s="23" t="s">
        <v>128</v>
      </c>
      <c r="I17" t="s">
        <v>101</v>
      </c>
      <c r="J17" s="15">
        <v>0.35</v>
      </c>
      <c r="K17" s="2">
        <v>7.4962518740629678</v>
      </c>
      <c r="L17" s="2" t="e">
        <f>#REF!</f>
        <v>#REF!</v>
      </c>
      <c r="M17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  <row r="18" spans="1:13" x14ac:dyDescent="0.25">
      <c r="I18" t="s">
        <v>105</v>
      </c>
      <c r="J18" s="15">
        <v>0.5</v>
      </c>
      <c r="K18" s="2">
        <v>7.4962518740629678</v>
      </c>
      <c r="L18" s="2" t="e">
        <f>#REF!</f>
        <v>#REF!</v>
      </c>
      <c r="M18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  <row r="19" spans="1:13" x14ac:dyDescent="0.25">
      <c r="I19" t="s">
        <v>106</v>
      </c>
      <c r="J19" s="15">
        <v>0.65</v>
      </c>
      <c r="K19" s="2">
        <v>7.4962518740629678</v>
      </c>
      <c r="L19" s="2" t="e">
        <f>#REF!</f>
        <v>#REF!</v>
      </c>
      <c r="M19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  <row r="20" spans="1:13" x14ac:dyDescent="0.25">
      <c r="I20" t="s">
        <v>155</v>
      </c>
      <c r="J20" s="15">
        <v>0.8</v>
      </c>
      <c r="K20" s="2">
        <v>7.4962518740629678</v>
      </c>
      <c r="L20" s="2" t="e">
        <f>#REF!</f>
        <v>#REF!</v>
      </c>
      <c r="M20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  <row r="21" spans="1:13" x14ac:dyDescent="0.25">
      <c r="I21" t="s">
        <v>156</v>
      </c>
      <c r="J21" s="15">
        <v>0.95</v>
      </c>
      <c r="K21" s="2">
        <v>7.4962518740629678</v>
      </c>
      <c r="L21" s="2" t="e">
        <f>#REF!</f>
        <v>#REF!</v>
      </c>
      <c r="M21" s="16" t="e">
        <f>Tabelle73679305270901061261421621781862082342502702863061828928488298124138164176216936547090102[[#This Row],[EBS self time]]/Tabelle73679305270901061261421621781862082342502702863061828928488298124138164176216936547090102[[#This Row],[Total time]]</f>
        <v>#REF!</v>
      </c>
    </row>
  </sheetData>
  <dataConsolidate/>
  <hyperlinks>
    <hyperlink ref="A1" location="Planning!A1" display="Go back to 'Planning' sheet" xr:uid="{15532E41-1D9F-4D02-BF27-1E18E8B811E5}"/>
    <hyperlink ref="F15" location="$F$15" display="$F$15" xr:uid="{FFD9FF13-65E0-4BE5-B5BC-F9435B3BC435}"/>
    <hyperlink ref="G15" location="$G$15" display="$G$15" xr:uid="{2058FB04-2776-4C5B-8482-B5FA3AFBA827}"/>
    <hyperlink ref="F16" location="$F$16" display="$F$16" xr:uid="{CB6A4107-5AFB-4F71-B70C-055ABAD099AC}"/>
    <hyperlink ref="G16" location="$G$16" display="$G$16" xr:uid="{311A9E0B-368A-4351-8287-0FA9657AA026}"/>
    <hyperlink ref="F17" location="$F$17" display="$F$17" xr:uid="{AF7BD87A-D2CF-4EA4-8A92-ACEA4AF89B09}"/>
    <hyperlink ref="G17" location="$G$17" display="$G$17" xr:uid="{09E7007F-8F7F-4752-8D59-FBA5C084FE11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5"/>
  <sheetViews>
    <sheetView workbookViewId="0">
      <selection activeCell="B20" sqref="B20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162</v>
      </c>
    </row>
    <row r="2" spans="1:4" x14ac:dyDescent="0.25">
      <c r="A2" s="10"/>
    </row>
    <row r="3" spans="1:4" x14ac:dyDescent="0.25">
      <c r="A3" t="s">
        <v>163</v>
      </c>
      <c r="B3" s="32">
        <v>43817.077002314814</v>
      </c>
      <c r="C3" s="30"/>
      <c r="D3" s="30"/>
    </row>
    <row r="4" spans="1:4" x14ac:dyDescent="0.25">
      <c r="A4" t="s">
        <v>164</v>
      </c>
      <c r="B4" s="32">
        <v>43862</v>
      </c>
      <c r="C4" s="30"/>
      <c r="D4" s="30"/>
    </row>
    <row r="5" spans="1:4" x14ac:dyDescent="0.25">
      <c r="A5" t="s">
        <v>165</v>
      </c>
      <c r="B5" s="29" t="s">
        <v>184</v>
      </c>
      <c r="C5" s="30"/>
      <c r="D5" s="30"/>
    </row>
    <row r="6" spans="1:4" ht="27" customHeight="1" x14ac:dyDescent="0.25"/>
    <row r="8" spans="1:4" ht="15.75" thickBot="1" x14ac:dyDescent="0.3">
      <c r="A8" s="31" t="s">
        <v>167</v>
      </c>
      <c r="B8" s="31" t="s">
        <v>161</v>
      </c>
      <c r="C8" s="36" t="s">
        <v>160</v>
      </c>
      <c r="D8" s="31" t="s">
        <v>166</v>
      </c>
    </row>
    <row r="9" spans="1:4" x14ac:dyDescent="0.25">
      <c r="A9" s="33" t="s">
        <v>96</v>
      </c>
      <c r="B9" s="34">
        <v>43817.077002314814</v>
      </c>
      <c r="C9" s="34">
        <v>43822</v>
      </c>
      <c r="D9" s="35">
        <v>2.499999999767168</v>
      </c>
    </row>
    <row r="10" spans="1:4" x14ac:dyDescent="0.25">
      <c r="A10" s="33" t="s">
        <v>100</v>
      </c>
      <c r="B10" s="34">
        <v>43822</v>
      </c>
      <c r="C10" s="34">
        <v>43829</v>
      </c>
      <c r="D10" s="35">
        <v>0</v>
      </c>
    </row>
    <row r="11" spans="1:4" x14ac:dyDescent="0.25">
      <c r="A11" s="33" t="s">
        <v>101</v>
      </c>
      <c r="B11" s="34">
        <v>43829</v>
      </c>
      <c r="C11" s="34">
        <v>43836</v>
      </c>
      <c r="D11" s="35">
        <v>0</v>
      </c>
    </row>
    <row r="12" spans="1:4" x14ac:dyDescent="0.25">
      <c r="A12" s="33" t="s">
        <v>105</v>
      </c>
      <c r="B12" s="34">
        <v>43836</v>
      </c>
      <c r="C12" s="34">
        <v>43843</v>
      </c>
      <c r="D12" s="35">
        <v>0</v>
      </c>
    </row>
    <row r="13" spans="1:4" x14ac:dyDescent="0.25">
      <c r="A13" s="33" t="s">
        <v>106</v>
      </c>
      <c r="B13" s="34">
        <v>43843</v>
      </c>
      <c r="C13" s="34">
        <v>43850</v>
      </c>
      <c r="D13" s="35">
        <v>0</v>
      </c>
    </row>
    <row r="14" spans="1:4" x14ac:dyDescent="0.25">
      <c r="A14" s="33" t="s">
        <v>155</v>
      </c>
      <c r="B14" s="34">
        <v>43850</v>
      </c>
      <c r="C14" s="34">
        <v>43857</v>
      </c>
      <c r="D14" s="35">
        <v>0</v>
      </c>
    </row>
    <row r="15" spans="1:4" x14ac:dyDescent="0.25">
      <c r="A15" s="33" t="s">
        <v>156</v>
      </c>
      <c r="B15" s="34">
        <v>43857</v>
      </c>
      <c r="C15" s="34">
        <v>43862</v>
      </c>
      <c r="D15" s="35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51A0-0C19-4175-A730-A7B703D68C60}">
  <sheetPr codeName="EbsSheetTemplate1"/>
  <dimension ref="A15:T49"/>
  <sheetViews>
    <sheetView topLeftCell="C1"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2" t="s">
        <v>76</v>
      </c>
      <c r="G15" s="43"/>
      <c r="H15" s="43"/>
    </row>
    <row r="16" spans="5:8" x14ac:dyDescent="0.25">
      <c r="E16" s="14" t="s">
        <v>74</v>
      </c>
      <c r="F16" s="42" t="s">
        <v>37</v>
      </c>
      <c r="G16" s="43"/>
      <c r="H16" s="4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96</v>
      </c>
      <c r="B19" s="17">
        <v>43844.997523148151</v>
      </c>
      <c r="C19" t="s">
        <v>130</v>
      </c>
      <c r="D19" t="s">
        <v>27</v>
      </c>
      <c r="E19" t="s">
        <v>98</v>
      </c>
      <c r="F19" t="s">
        <v>157</v>
      </c>
      <c r="G19" t="s">
        <v>158</v>
      </c>
      <c r="H19" t="s">
        <v>159</v>
      </c>
      <c r="J19" t="s">
        <v>96</v>
      </c>
      <c r="K19" t="s">
        <v>111</v>
      </c>
      <c r="L19">
        <v>2</v>
      </c>
      <c r="M19" s="2">
        <v>1.7499999999417899</v>
      </c>
      <c r="N19" s="2">
        <v>1</v>
      </c>
      <c r="O19" t="s">
        <v>177</v>
      </c>
      <c r="P19" t="s">
        <v>172</v>
      </c>
      <c r="Q19" t="s">
        <v>172</v>
      </c>
      <c r="R19" t="s">
        <v>98</v>
      </c>
      <c r="S19" t="s">
        <v>173</v>
      </c>
      <c r="T19" t="s">
        <v>174</v>
      </c>
    </row>
    <row r="20" spans="1:20" x14ac:dyDescent="0.25">
      <c r="A20" t="s">
        <v>100</v>
      </c>
      <c r="B20" s="17">
        <v>43870.837048611109</v>
      </c>
      <c r="C20" t="s">
        <v>176</v>
      </c>
      <c r="D20" t="s">
        <v>27</v>
      </c>
      <c r="E20" t="s">
        <v>98</v>
      </c>
      <c r="F20" t="s">
        <v>179</v>
      </c>
      <c r="G20" t="s">
        <v>180</v>
      </c>
      <c r="H20" t="s">
        <v>175</v>
      </c>
      <c r="J20" t="s">
        <v>100</v>
      </c>
      <c r="K20" t="s">
        <v>113</v>
      </c>
      <c r="L20">
        <v>1</v>
      </c>
      <c r="M20" s="2">
        <v>0</v>
      </c>
      <c r="N20" s="2">
        <v>2</v>
      </c>
      <c r="O20" t="s">
        <v>178</v>
      </c>
      <c r="P20" t="s">
        <v>178</v>
      </c>
      <c r="Q20" t="s">
        <v>178</v>
      </c>
      <c r="R20" t="s">
        <v>98</v>
      </c>
      <c r="S20" t="s">
        <v>179</v>
      </c>
      <c r="T20" t="s">
        <v>180</v>
      </c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</sheetData>
  <mergeCells count="2">
    <mergeCell ref="F15:H15"/>
    <mergeCell ref="F16:H16"/>
  </mergeCells>
  <conditionalFormatting sqref="D1:D1048576">
    <cfRule type="containsText" dxfId="38" priority="1" operator="containsText" text="No">
      <formula>NOT(ISERROR(SEARCH("No",D1)))</formula>
    </cfRule>
    <cfRule type="containsText" dxfId="37" priority="2" operator="containsText" text="Yes">
      <formula>NOT(ISERROR(SEARCH("Yes",D1)))</formula>
    </cfRule>
  </conditionalFormatting>
  <dataValidations count="3">
    <dataValidation type="list" allowBlank="1" showInputMessage="1" showErrorMessage="1" sqref="D19:D20" xr:uid="{B35F6300-AE24-4E12-811D-B47DB6C152E7}">
      <formula1>"Yes,No"</formula1>
    </dataValidation>
    <dataValidation type="list" allowBlank="1" showInputMessage="1" showErrorMessage="1" sqref="F16" xr:uid="{0DA49313-C29A-4242-AC1F-0DB55851F7A6}">
      <formula1>"Time,Date"</formula1>
    </dataValidation>
    <dataValidation type="list" allowBlank="1" showInputMessage="1" showErrorMessage="1" sqref="F15:H15" xr:uid="{6028E4CA-4985-401E-8812-8C89D427572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7" sqref="B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8" t="s">
        <v>154</v>
      </c>
    </row>
    <row r="3" spans="1:10" x14ac:dyDescent="0.25">
      <c r="A3" t="s">
        <v>15</v>
      </c>
      <c r="B3" s="2" t="s">
        <v>61</v>
      </c>
      <c r="C3" s="2" t="s">
        <v>90</v>
      </c>
      <c r="D3" s="2" t="s">
        <v>91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107</v>
      </c>
      <c r="C4" t="s">
        <v>108</v>
      </c>
      <c r="D4" t="s">
        <v>92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183</v>
      </c>
      <c r="B6" s="20" t="s">
        <v>169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94</v>
      </c>
      <c r="C12" t="s">
        <v>108</v>
      </c>
    </row>
    <row r="13" spans="1:10" x14ac:dyDescent="0.25">
      <c r="B13" t="s">
        <v>93</v>
      </c>
      <c r="C13" t="s">
        <v>109</v>
      </c>
      <c r="D13" s="2"/>
      <c r="E13" s="2"/>
    </row>
    <row r="14" spans="1:10" x14ac:dyDescent="0.25">
      <c r="B14" s="2" t="s">
        <v>95</v>
      </c>
      <c r="C14" s="12" t="s">
        <v>110</v>
      </c>
    </row>
    <row r="17" spans="1:2" x14ac:dyDescent="0.25">
      <c r="A17" t="s">
        <v>85</v>
      </c>
    </row>
    <row r="25" spans="1:2" x14ac:dyDescent="0.25">
      <c r="A25" t="s">
        <v>102</v>
      </c>
      <c r="B25" s="20" t="s">
        <v>126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4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99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99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47"/>
  <sheetViews>
    <sheetView topLeftCell="A19" workbookViewId="0">
      <selection activeCell="C24" sqref="C24"/>
    </sheetView>
  </sheetViews>
  <sheetFormatPr baseColWidth="10" defaultColWidth="11.42578125" defaultRowHeight="15" x14ac:dyDescent="0.25"/>
  <sheetData>
    <row r="1" spans="1:3" x14ac:dyDescent="0.25">
      <c r="A1" s="10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0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0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0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0" t="s">
        <v>57</v>
      </c>
    </row>
    <row r="21" spans="1:3" x14ac:dyDescent="0.25">
      <c r="B21" t="s">
        <v>58</v>
      </c>
    </row>
    <row r="23" spans="1:3" x14ac:dyDescent="0.25">
      <c r="A23" s="10" t="s">
        <v>131</v>
      </c>
      <c r="B23" s="10" t="s">
        <v>88</v>
      </c>
    </row>
    <row r="24" spans="1:3" x14ac:dyDescent="0.25">
      <c r="A24" t="s">
        <v>132</v>
      </c>
      <c r="C24">
        <v>709</v>
      </c>
    </row>
    <row r="25" spans="1:3" x14ac:dyDescent="0.25">
      <c r="A25" t="s">
        <v>133</v>
      </c>
      <c r="C25">
        <v>1714</v>
      </c>
    </row>
    <row r="26" spans="1:3" x14ac:dyDescent="0.25">
      <c r="A26" t="s">
        <v>134</v>
      </c>
      <c r="C26">
        <v>403</v>
      </c>
    </row>
    <row r="27" spans="1:3" x14ac:dyDescent="0.25">
      <c r="A27" t="s">
        <v>135</v>
      </c>
      <c r="C27">
        <v>1115</v>
      </c>
    </row>
    <row r="28" spans="1:3" x14ac:dyDescent="0.25">
      <c r="A28" t="s">
        <v>136</v>
      </c>
      <c r="C28">
        <v>255</v>
      </c>
    </row>
    <row r="29" spans="1:3" x14ac:dyDescent="0.25">
      <c r="A29" t="s">
        <v>137</v>
      </c>
      <c r="C29">
        <v>12</v>
      </c>
    </row>
    <row r="30" spans="1:3" x14ac:dyDescent="0.25">
      <c r="A30" t="s">
        <v>138</v>
      </c>
      <c r="C30">
        <v>643</v>
      </c>
    </row>
    <row r="31" spans="1:3" x14ac:dyDescent="0.25">
      <c r="A31" t="s">
        <v>139</v>
      </c>
      <c r="C31">
        <v>686</v>
      </c>
    </row>
    <row r="32" spans="1:3" x14ac:dyDescent="0.25">
      <c r="A32" t="s">
        <v>140</v>
      </c>
      <c r="C32">
        <v>788</v>
      </c>
    </row>
    <row r="33" spans="1:3" x14ac:dyDescent="0.25">
      <c r="A33" t="s">
        <v>141</v>
      </c>
      <c r="C33">
        <v>72</v>
      </c>
    </row>
    <row r="34" spans="1:3" x14ac:dyDescent="0.25">
      <c r="A34" t="s">
        <v>142</v>
      </c>
      <c r="C34">
        <v>1290</v>
      </c>
    </row>
    <row r="35" spans="1:3" x14ac:dyDescent="0.25">
      <c r="A35" t="s">
        <v>143</v>
      </c>
      <c r="C35">
        <v>53</v>
      </c>
    </row>
    <row r="36" spans="1:3" x14ac:dyDescent="0.25">
      <c r="A36" t="s">
        <v>144</v>
      </c>
      <c r="C36">
        <v>210</v>
      </c>
    </row>
    <row r="37" spans="1:3" x14ac:dyDescent="0.25">
      <c r="A37" t="s">
        <v>145</v>
      </c>
      <c r="C37">
        <v>28</v>
      </c>
    </row>
    <row r="38" spans="1:3" x14ac:dyDescent="0.25">
      <c r="A38" t="s">
        <v>146</v>
      </c>
      <c r="C38">
        <v>1168</v>
      </c>
    </row>
    <row r="39" spans="1:3" x14ac:dyDescent="0.25">
      <c r="A39" t="s">
        <v>147</v>
      </c>
      <c r="C39">
        <v>17</v>
      </c>
    </row>
    <row r="40" spans="1:3" x14ac:dyDescent="0.25">
      <c r="A40" t="s">
        <v>148</v>
      </c>
      <c r="C40">
        <v>84</v>
      </c>
    </row>
    <row r="41" spans="1:3" x14ac:dyDescent="0.25">
      <c r="A41" t="s">
        <v>149</v>
      </c>
      <c r="C41">
        <v>528</v>
      </c>
    </row>
    <row r="42" spans="1:3" x14ac:dyDescent="0.25">
      <c r="C42">
        <f>SUM(C24:C41)</f>
        <v>9775</v>
      </c>
    </row>
    <row r="44" spans="1:3" x14ac:dyDescent="0.25">
      <c r="B44" t="s">
        <v>153</v>
      </c>
    </row>
    <row r="45" spans="1:3" x14ac:dyDescent="0.25">
      <c r="B45" t="s">
        <v>150</v>
      </c>
    </row>
    <row r="46" spans="1:3" x14ac:dyDescent="0.25">
      <c r="B46" t="s">
        <v>151</v>
      </c>
    </row>
    <row r="47" spans="1:3" x14ac:dyDescent="0.25">
      <c r="B47" t="s">
        <v>152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2" t="s">
        <v>76</v>
      </c>
      <c r="G15" s="43"/>
      <c r="H15" s="43"/>
    </row>
    <row r="16" spans="5:8" x14ac:dyDescent="0.25">
      <c r="E16" s="14" t="s">
        <v>74</v>
      </c>
      <c r="F16" s="42" t="s">
        <v>37</v>
      </c>
      <c r="G16" s="43"/>
      <c r="H16" s="4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2" priority="1" operator="containsText" text="No">
      <formula>NOT(ISERROR(SEARCH("No",D1)))</formula>
    </cfRule>
    <cfRule type="containsText" dxfId="21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VSHEET_STOR_D05698</vt:lpstr>
      <vt:lpstr>Planning</vt:lpstr>
      <vt:lpstr>t347B5B6A9B6D2C3D4</vt:lpstr>
      <vt:lpstr>Analysis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2020-02-14T00:01:28Z</dcterms:modified>
  <cp:category/>
  <cp:contentStatus/>
</cp:coreProperties>
</file>