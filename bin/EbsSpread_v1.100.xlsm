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trlProps/ctrlProp13.xml" ContentType="application/vnd.ms-excel.controlproperties+xml"/>
  <Override PartName="/xl/tables/table14.xml" ContentType="application/vnd.openxmlformats-officedocument.spreadsheetml.table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5.xml" ContentType="application/vnd.openxmlformats-officedocument.spreadsheetml.table+xml"/>
  <Override PartName="/xl/drawings/drawing8.xml" ContentType="application/vnd.openxmlformats-officedocument.drawing+xml"/>
  <Override PartName="/xl/ctrlProps/ctrlProp18.xml" ContentType="application/vnd.ms-excel.controlproperties+xml"/>
  <Override PartName="/xl/tables/table16.xml" ContentType="application/vnd.openxmlformats-officedocument.spreadsheetml.table+xml"/>
  <Override PartName="/xl/drawings/drawing9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10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GitHub\EbsSpread\bin\"/>
    </mc:Choice>
  </mc:AlternateContent>
  <xr:revisionPtr revIDLastSave="0" documentId="13_ncr:1_{9B18E61C-336B-432D-97FD-C01C41770DEF}" xr6:coauthVersionLast="45" xr6:coauthVersionMax="45" xr10:uidLastSave="{00000000-0000-0000-0000-000000000000}"/>
  <bookViews>
    <workbookView xWindow="-120" yWindow="-120" windowWidth="24240" windowHeight="13140" tabRatio="813" firstSheet="1" activeTab="1" xr2:uid="{DAA936AD-5BF0-425A-A8EF-49858B3BE9B8}"/>
  </bookViews>
  <sheets>
    <sheet name="VSHEET_STOR_BC2D39" sheetId="1869" state="hidden" r:id="rId1"/>
    <sheet name="Planning" sheetId="1" r:id="rId2"/>
    <sheet name="t429885C27F77EA728" sheetId="1870" state="hidden" r:id="rId3"/>
    <sheet name="t35EBA085FF3A95514" sheetId="1871" state="hidden" r:id="rId4"/>
    <sheet name="t86F89BCDC9F9FA3B4" sheetId="1872" state="hidden" r:id="rId5"/>
    <sheet name="EbsSheet (Me)" sheetId="1408" r:id="rId6"/>
    <sheet name="Analysis" sheetId="1004" r:id="rId7"/>
    <sheet name="Settings" sheetId="418" r:id="rId8"/>
    <sheet name="Messages" sheetId="1390" r:id="rId9"/>
    <sheet name="Task sheet template" sheetId="5" state="hidden" r:id="rId10"/>
    <sheet name="Version info" sheetId="3" r:id="rId11"/>
    <sheet name="EbsSheet template" sheetId="440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5" i="1872" l="1"/>
  <c r="D24" i="1872"/>
  <c r="D23" i="1872"/>
  <c r="D22" i="1872"/>
  <c r="M21" i="1872"/>
  <c r="L21" i="1872"/>
  <c r="D21" i="1872"/>
  <c r="M20" i="1872"/>
  <c r="L20" i="1872"/>
  <c r="D20" i="1872"/>
  <c r="L19" i="1872"/>
  <c r="M19" i="1872" s="1"/>
  <c r="D19" i="1872"/>
  <c r="L18" i="1872"/>
  <c r="M18" i="1872" s="1"/>
  <c r="D18" i="1872"/>
  <c r="B4" i="1872" s="1"/>
  <c r="B11" i="1872" s="1"/>
  <c r="L17" i="1872"/>
  <c r="M17" i="1872" s="1"/>
  <c r="D17" i="1872"/>
  <c r="M16" i="1872"/>
  <c r="L16" i="1872"/>
  <c r="D16" i="1872"/>
  <c r="L15" i="1872"/>
  <c r="M15" i="1872" s="1"/>
  <c r="D15" i="1872"/>
  <c r="L21" i="1871"/>
  <c r="M21" i="1871" s="1"/>
  <c r="L20" i="1871"/>
  <c r="M20" i="1871" s="1"/>
  <c r="M19" i="1871"/>
  <c r="L19" i="1871"/>
  <c r="M18" i="1871"/>
  <c r="L18" i="1871"/>
  <c r="M17" i="1871"/>
  <c r="L17" i="1871"/>
  <c r="M16" i="1871"/>
  <c r="L16" i="1871"/>
  <c r="M15" i="1871"/>
  <c r="L15" i="1871"/>
  <c r="B11" i="1871"/>
  <c r="B4" i="1871"/>
  <c r="M21" i="1870"/>
  <c r="L21" i="1870"/>
  <c r="L20" i="1870"/>
  <c r="M20" i="1870" s="1"/>
  <c r="M19" i="1870"/>
  <c r="L19" i="1870"/>
  <c r="L18" i="1870"/>
  <c r="M18" i="1870" s="1"/>
  <c r="M17" i="1870"/>
  <c r="L17" i="1870"/>
  <c r="L16" i="1870"/>
  <c r="M16" i="1870" s="1"/>
  <c r="M15" i="1870"/>
  <c r="L15" i="1870"/>
  <c r="B4" i="1870"/>
  <c r="B11" i="1870" s="1"/>
  <c r="L45" i="1869"/>
  <c r="M45" i="1869" s="1"/>
  <c r="L44" i="1869"/>
  <c r="M44" i="1869" s="1"/>
  <c r="L43" i="1869"/>
  <c r="M43" i="1869" s="1"/>
  <c r="L42" i="1869"/>
  <c r="M42" i="1869" s="1"/>
  <c r="L41" i="1869"/>
  <c r="M41" i="1869" s="1"/>
  <c r="D41" i="1869"/>
  <c r="L40" i="1869"/>
  <c r="M40" i="1869" s="1"/>
  <c r="D40" i="1869"/>
  <c r="L39" i="1869"/>
  <c r="M39" i="1869" s="1"/>
  <c r="D39" i="1869"/>
  <c r="L22" i="1869"/>
  <c r="M22" i="1869" s="1"/>
  <c r="L21" i="1869"/>
  <c r="M21" i="1869" s="1"/>
  <c r="L20" i="1869"/>
  <c r="M20" i="1869" s="1"/>
  <c r="L19" i="1869"/>
  <c r="M19" i="1869" s="1"/>
  <c r="L18" i="1869"/>
  <c r="M18" i="1869" s="1"/>
  <c r="L17" i="1869"/>
  <c r="M17" i="1869" s="1"/>
  <c r="D17" i="1869"/>
  <c r="L16" i="1869"/>
  <c r="M16" i="1869" s="1"/>
  <c r="D16" i="1869"/>
  <c r="B5" i="1869" s="1"/>
  <c r="B12" i="1869" s="1"/>
  <c r="B28" i="1869" l="1"/>
  <c r="B35" i="1869" s="1"/>
  <c r="J4" i="418"/>
  <c r="D15" i="5" l="1"/>
  <c r="B4" i="5" s="1"/>
  <c r="L15" i="5" s="1"/>
  <c r="B11" i="5" l="1"/>
  <c r="M1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tc={D9E72933-13B7-436C-80C5-C0A9531E86AE}</author>
  </authors>
  <commentList>
    <comment ref="P18" authorId="0" shapeId="0" xr:uid="{D9E72933-13B7-436C-80C5-C0A9531E86A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<sst xmlns="http://schemas.openxmlformats.org/spreadsheetml/2006/main" count="533" uniqueCount="195">
  <si>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</si>
  <si>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</si>
  <si>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</si>
  <si>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</si>
  <si>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</si>
  <si>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</si>
  <si>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</si>
  <si>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</si>
  <si>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</si>
  <si>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</si>
  <si>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Indicator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</si>
  <si>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</si>
  <si>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</si>
  <si>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</si>
  <si>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</si>
  <si>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</si>
  <si>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</si>
  <si>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</si>
  <si>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</si>
  <si>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</si>
  <si>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</si>
  <si>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</si>
  <si>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</si>
  <si>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</si>
  <si>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</si>
  <si>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</si>
  <si>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</si>
  <si>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</si>
  <si>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</si>
  <si>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</si>
  <si>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</si>
  <si>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</si>
  <si>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</si>
  <si>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</si>
  <si>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</si>
  <si>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</si>
  <si>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</si>
  <si>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</si>
  <si>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</si>
  <si>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</si>
  <si>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</si>
  <si>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</si>
  <si>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</si>
  <si>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</si>
  <si>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</si>
  <si>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</si>
  <si>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</si>
  <si>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</si>
  <si>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</si>
  <si>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</si>
  <si>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</si>
  <si>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</si>
  <si>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</si>
  <si>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</si>
  <si>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</si>
  <si>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</si>
  <si>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</si>
  <si>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</si>
  <si>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</si>
  <si>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</si>
  <si>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</si>
  <si>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</si>
  <si>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</si>
  <si>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</si>
  <si>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</si>
  <si>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</si>
  <si>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</si>
  <si>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</si>
  <si>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</si>
  <si>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</si>
  <si>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</si>
  <si>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</si>
  <si>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</si>
  <si>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</si>
  <si>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</si>
  <si>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</si>
  <si>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</si>
  <si>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</si>
  <si>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</si>
  <si>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</si>
  <si>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</si>
  <si>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</si>
  <si>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</si>
  <si>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</si>
  <si>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</si>
  <si>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</si>
  <si>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</si>
  <si>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</si>
  <si>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hh</t>
  </si>
  <si>
    <t>Calendar ID</t>
  </si>
  <si>
    <t>Store ID</t>
  </si>
  <si>
    <t>Store ID temp</t>
  </si>
  <si>
    <t>Calendar ID temp</t>
  </si>
  <si>
    <t>Calendar path temp</t>
  </si>
  <si>
    <t>#000001</t>
  </si>
  <si>
    <t>To do</t>
  </si>
  <si>
    <t>{0,050;0,200;0,350;0,500;0,650;0,800;0,950}</t>
  </si>
  <si>
    <t>N/A</t>
  </si>
  <si>
    <t>#000002</t>
  </si>
  <si>
    <t>#000003</t>
  </si>
  <si>
    <t>%Tag * HEADERS</t>
  </si>
  <si>
    <t>%Tag * VALUES</t>
  </si>
  <si>
    <t>#000004</t>
  </si>
  <si>
    <t>#000005</t>
  </si>
  <si>
    <t>t5C33AE2C601539DCA</t>
  </si>
  <si>
    <t>Buy soy sauce</t>
  </si>
  <si>
    <t>t35EBA085FF3A95514</t>
  </si>
  <si>
    <t>tD63F7F4494CABA67B</t>
  </si>
  <si>
    <t>Take bags</t>
  </si>
  <si>
    <t>SetPlainDelta()</t>
  </si>
  <si>
    <t>SetCalendarDelta()</t>
  </si>
  <si>
    <t>Done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</si>
  <si>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</si>
  <si>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</si>
  <si>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</si>
  <si>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</si>
  <si>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</si>
  <si>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</si>
  <si>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#000006</t>
  </si>
  <si>
    <t>#000007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</si>
  <si>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</si>
  <si>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</si>
  <si>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</si>
  <si>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</si>
  <si>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</si>
  <si>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</si>
  <si>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</si>
  <si>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</si>
  <si>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</si>
  <si>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#000011</t>
  </si>
  <si>
    <t>#000012</t>
  </si>
  <si>
    <t>FirstDayOfWeek</t>
  </si>
  <si>
    <t>In progress</t>
  </si>
  <si>
    <t>t86F89BCDC9F9FA3B4</t>
  </si>
  <si>
    <t>Buy pineapples</t>
  </si>
  <si>
    <t>t429885C27F77EA728</t>
  </si>
  <si>
    <t>Buy strawberries</t>
  </si>
  <si>
    <t>fruit</t>
  </si>
  <si>
    <t>important</t>
  </si>
  <si>
    <t>preparation</t>
  </si>
  <si>
    <t>food</t>
  </si>
  <si>
    <t>non food</t>
  </si>
  <si>
    <t>{%Tag 3}</t>
  </si>
  <si>
    <t>{non food}</t>
  </si>
  <si>
    <t>d</t>
  </si>
  <si>
    <t>{%Tag 2;%Tag 3}</t>
  </si>
  <si>
    <t>ImportedTaskPostfix</t>
  </si>
  <si>
    <t>Message no.</t>
  </si>
  <si>
    <t>Message</t>
  </si>
  <si>
    <t>Severity</t>
  </si>
  <si>
    <t>Timestamp</t>
  </si>
  <si>
    <t>Caller</t>
  </si>
  <si>
    <t xml:space="preserve"> (imported2)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</si>
  <si>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</si>
  <si>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</si>
  <si>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</si>
  <si>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</si>
  <si>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</si>
  <si>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</si>
  <si>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</si>
  <si>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VIRTUAL_SHEET_NAME</t>
  </si>
  <si>
    <t>VIRTUAL_SHEET_RANGE_ROWS</t>
  </si>
  <si>
    <t>VIRTUAL_SHEET_RANGE_COLS</t>
  </si>
  <si>
    <t>{0,100;0,100;0,100;0,100;0,100;0,100;0,100;0,100;0,100;0,100;0,100;0,100;0,100;0,100;0,100;0,100;0,100;0,100;0,100;0,100;0,100;0,100;0,100;0,100;0,100;0,100;0,100;0,100;0,100;0,100;0,100;0,100;0,100;0,100;0,100;0,100;0,100;0,100;0,100;0,100;0,100;0,100;0,100;0,100;0,100;0,100;0,100;0,100;0,100;0,100}</t>
  </si>
  <si>
    <t>{0,025;0,025;0,025;0,025;0,025;0,025;0,025;0,025;0,025;0,025;0,025;0,025;0,025;0,025;0,025;0,025;0,025;0,025;0,025;0,025;0,025;0,025;0,025;0,025;0,025;0,025;0,025;0,025;0,025;0,025;0,025;0,025;0,025;0,025;0,025;0,025;0,025;0,025;0,025;0,025;0,025;0,025;0,025;0,025;0,025;0,025;0,025;0,025;0,025;0,025}</t>
  </si>
  <si>
    <t>{0,200;0,200;0,200;0,200;0,200;0,200;0,200;0,200;0,200;0,200;0,200;0,200;0,200;0,200;0,200;0,200;0,200;0,200;0,200;0,200;0,200;0,200;0,200;0,200;0,200;0,200;0,200;0,200;0,200;0,200;0,200;0,200;0,200;0,200;0,200;0,200;0,200;0,200;0,200;0,200;0,200;0,200;0,200;0,200;0,200;0,200;0,200;0,200;0,200;0,200}</t>
  </si>
  <si>
    <t>e5A9F44415D0C185C0</t>
  </si>
  <si>
    <t>{10,000}</t>
  </si>
  <si>
    <t>\\your.mail@provider.com\Calendar</t>
  </si>
  <si>
    <t>Hour</t>
  </si>
  <si>
    <t>{0,025;0,025;0,025;0,025;0,025;0,025;0,025}</t>
  </si>
  <si>
    <t>{17/02/2020 08:01:30;17/02/2020 08:01:30;17/02/2020 08:01:30;17/02/2020 08:01:30;17/02/2020 08:01:30;17/02/2020 08:01:30;17/02/2020 08:01:30}</t>
  </si>
  <si>
    <t>{0,197;0,197;0,197;0,197;0,197;0,197;0,197;0,197;0,197;0,197;0,197;0,197;0,197;0,197;0,197;0,197;0,197;0,197;0,197;0,197;0,197;0,197;0,197;0,197;0,197;0,197;0,197;0,197;0,197;0,197;0,197;0,197;0,197;0,197;0,197;0,197;0,197;0,197;0,197;0,197;0,197;0,197;0,197;0,197;0,197;0,197;0,197;0,197;0,197;0,197}</t>
  </si>
  <si>
    <t>{0,222;0,222;0,222;0,222;0,222;0,222;0,222;0,222;0,222;0,222;0,222;0,222;0,222;0,222;0,222;0,222;0,222;0,222;0,222;0,222;0,222;0,222;0,222;0,222;0,222;0,222;0,222;0,222;0,222;0,222;0,222;0,222;0,222;0,222;0,222;0,222;0,222;0,222;0,222;0,222;0,222;0,222;0,222;0,222;0,222;0,222;0,222;0,222;0,222;0,222}</t>
  </si>
  <si>
    <t>{0,222;0,222;0,222;0,222;0,222;0,222;0,222}</t>
  </si>
  <si>
    <t>{17/02/2020 08:13:19;17/02/2020 08:13:19;17/02/2020 08:13:19;17/02/2020 08:13:19;17/02/2020 08:13:19;17/02/2020 08:13:19;17/02/2020 08:13:19}</t>
  </si>
  <si>
    <t>{0,322;0,322;0,322;0,322;0,322;0,322;0,322;0,322;0,322;0,322;0,322;0,322;0,322;0,322;0,322;0,322;0,322;0,322;0,322;0,322;0,322;0,322;0,322;0,322;0,322;0,322;0,322;0,322;0,322;0,322;0,322;0,322;0,322;0,322;0,322;0,322;0,322;0,322;0,322;0,322;0,322;0,322;0,322;0,322;0,322;0,322;0,322;0,322;0,322;0,322}</t>
  </si>
  <si>
    <t>{0,322;0,322;0,322;0,322;0,322;0,322;0,322}</t>
  </si>
  <si>
    <t>{17/02/2020 08:19:19;17/02/2020 08:19:19;17/02/2020 08:19:19;17/02/2020 08:19:19;17/02/2020 08:19:19;17/02/2020 08:19:19;17/02/2020 08:19:19}</t>
  </si>
  <si>
    <t>{%Tag 1;%Tag 3}</t>
  </si>
  <si>
    <t>{important;preparation}</t>
  </si>
  <si>
    <t>{food}</t>
  </si>
  <si>
    <t>#000008</t>
  </si>
  <si>
    <t>#000009</t>
  </si>
  <si>
    <t>#000010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</si>
  <si>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</si>
  <si>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</si>
  <si>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</si>
  <si>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0000000038A1BB1005E5101AA1BB08002B2A56C20030454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</si>
  <si>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00000000F593AB5CD8A4614C8B1EC114C84EFB870100D67807C5E37E4B47A653892DF42F73BD00000000010D0000</t>
  </si>
  <si>
    <t>Take two</t>
  </si>
  <si>
    <t>Have a chat with the store owner</t>
  </si>
  <si>
    <t>Pineapples are well hidden</t>
  </si>
  <si>
    <t>{fruit;food}</t>
  </si>
  <si>
    <t>Add DoEvents for long-running operations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</si>
</sst>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93D07B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46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2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7" fillId="10" borderId="0" xfId="2" applyFont="1" applyFill="1"/>
    <xf numFmtId="22" fontId="0" fillId="0" borderId="0" xfId="0" applyNumberFormat="1" applyFill="1"/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95"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2" formatCode="0.00"/>
    </dxf>
    <dxf>
      <numFmt numFmtId="2" formatCode="0.00"/>
    </dxf>
    <dxf>
      <numFmt numFmtId="19" formatCode="dd/mm/yy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2" formatCode="0.00"/>
    </dxf>
    <dxf>
      <numFmt numFmtId="2" formatCode="0.00"/>
    </dxf>
    <dxf>
      <numFmt numFmtId="19" formatCode="dd/mm/yy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font>
        <color theme="0"/>
      </font>
      <fill>
        <patternFill>
          <fgColor auto="1"/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B0F0"/>
      </font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</dxfs>
  <tableStyles count="0" defaultTableStyle="TableStyleMedium2" defaultPivotStyle="PivotStyleLight16"/>
  <colors>
    <mruColors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15/02/2020 18:24:32</c:v>
          </c:tx>
          <c:spPr>
            <a:ln w="2222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639-477D-A474-32EDC8BA2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20%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43876.76703703704</c:v>
              </c:pt>
            </c:numLit>
          </c:xVal>
          <c:yVal>
            <c:numLit>
              <c:formatCode>General</c:formatCode>
              <c:ptCount val="1"/>
              <c:pt idx="0">
                <c:v>0.32200000000000001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2C5-4C0E-9DE5-3A4F37EE7BF8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43876.76703703704</c:v>
              </c:pt>
            </c:numLit>
          </c:xVal>
          <c:yVal>
            <c:numLit>
              <c:formatCode>General</c:formatCode>
              <c:ptCount val="1"/>
              <c:pt idx="0">
                <c:v>0.32200000000000001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2C5-4C0E-9DE5-3A4F37EE7BF8}"/>
            </c:ext>
          </c:extLst>
        </c:ser>
        <c:ser>
          <c:idx val="2"/>
          <c:order val="2"/>
          <c:tx>
            <c:v>80%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43876.76703703704</c:v>
              </c:pt>
            </c:numLit>
          </c:xVal>
          <c:yVal>
            <c:numLit>
              <c:formatCode>General</c:formatCode>
              <c:ptCount val="1"/>
              <c:pt idx="0">
                <c:v>0.32200000000000001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2C5-4C0E-9DE5-3A4F37EE7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238125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238125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752475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16</xdr:col>
      <xdr:colOff>857250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1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85725</xdr:rowOff>
        </xdr:from>
        <xdr:to>
          <xdr:col>2</xdr:col>
          <xdr:colOff>609600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85725</xdr:rowOff>
        </xdr:from>
        <xdr:to>
          <xdr:col>6</xdr:col>
          <xdr:colOff>161925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352425</xdr:rowOff>
        </xdr:from>
        <xdr:to>
          <xdr:col>4</xdr:col>
          <xdr:colOff>57150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85725</xdr:rowOff>
        </xdr:from>
        <xdr:to>
          <xdr:col>4</xdr:col>
          <xdr:colOff>57150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695325</xdr:colOff>
          <xdr:row>0</xdr:row>
          <xdr:rowOff>561975</xdr:rowOff>
        </xdr:from>
        <xdr:to>
          <xdr:col>2</xdr:col>
          <xdr:colOff>2133600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704850</xdr:colOff>
          <xdr:row>0</xdr:row>
          <xdr:rowOff>85725</xdr:rowOff>
        </xdr:from>
        <xdr:to>
          <xdr:col>3</xdr:col>
          <xdr:colOff>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0</xdr:row>
          <xdr:rowOff>76200</xdr:rowOff>
        </xdr:from>
        <xdr:to>
          <xdr:col>8</xdr:col>
          <xdr:colOff>9525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0</xdr:row>
          <xdr:rowOff>333375</xdr:rowOff>
        </xdr:from>
        <xdr:to>
          <xdr:col>8</xdr:col>
          <xdr:colOff>9525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66675</xdr:colOff>
          <xdr:row>0</xdr:row>
          <xdr:rowOff>66675</xdr:rowOff>
        </xdr:from>
        <xdr:to>
          <xdr:col>9</xdr:col>
          <xdr:colOff>781050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66675</xdr:colOff>
          <xdr:row>0</xdr:row>
          <xdr:rowOff>333375</xdr:rowOff>
        </xdr:from>
        <xdr:to>
          <xdr:col>9</xdr:col>
          <xdr:colOff>781050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8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352425</xdr:rowOff>
        </xdr:from>
        <xdr:to>
          <xdr:col>6</xdr:col>
          <xdr:colOff>161925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0</xdr:row>
          <xdr:rowOff>590550</xdr:rowOff>
        </xdr:from>
        <xdr:to>
          <xdr:col>8</xdr:col>
          <xdr:colOff>9525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6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7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7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171450</xdr:rowOff>
        </xdr:from>
        <xdr:to>
          <xdr:col>0</xdr:col>
          <xdr:colOff>1638300</xdr:colOff>
          <xdr:row>20</xdr:row>
          <xdr:rowOff>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7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180975</xdr:rowOff>
        </xdr:from>
        <xdr:to>
          <xdr:col>0</xdr:col>
          <xdr:colOff>1638300</xdr:colOff>
          <xdr:row>22</xdr:row>
          <xdr:rowOff>9525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7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 of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8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E90D3B2-BAA0-4FA1-BEEA-1D55A71B77BE}" name="TimeEntries217355162621395673991091291391591691891992192292492592792893093193393493693793994098214151738310311313314316317319320322323325326382141518235164165183203223315681105163181193211223241253285337381399417429461521533593607627639657669687699711256" displayName="TimeEntries217355162621395673991091291391591691891992192292492592792893093193393493693793994098214151738310311313314316317319320322323325326382141518235164165183203223315681105163181193211223241253285337381399417429461521533593607627639657669687699711256" ref="A15:G17" totalsRowShown="0">
  <autoFilter ref="A15:G17" xr:uid="{45AF3A4B-5AC1-4D0D-BD80-7501EDBE46AD}"/>
  <tableColumns count="7">
    <tableColumn id="1" xr3:uid="{01D5277D-C661-4118-97D2-2E13C786CF5D}" name="Time entry no."/>
    <tableColumn id="2" xr3:uid="{1983F543-AED2-4ED0-A9DA-A070ABD99C46}" name="Start time" dataDxfId="94"/>
    <tableColumn id="3" xr3:uid="{9E624AD9-C9D4-4650-97EC-C4BC1422BB6E}" name="End time" dataDxfId="93"/>
    <tableColumn id="4" xr3:uid="{845DB667-437F-401C-A25B-2622849F122C}" name="Time delta in h" dataDxfId="92">
      <calculatedColumnFormula>MAX((C16-B16)*24,0)</calculatedColumnFormula>
    </tableColumn>
    <tableColumn id="5" xr3:uid="{BC08A825-0FDF-48CE-B537-0B28E7D0A2FE}" name="Indicator"/>
    <tableColumn id="6" xr3:uid="{78F1AFF8-1341-44D8-945D-3A099E05A424}" name="Action1" dataDxfId="91" dataCellStyle="Link"/>
    <tableColumn id="7" xr3:uid="{D1B489EB-963F-439D-B9FF-C28FAA9AF053}" name="Action2" dataDxfId="90" dataCellStyle="Link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4640122-00C4-4171-B23F-2EC6538AAF51}" name="Tabelle7367518365263722405774100110130140160170190200220230250260280290310320340350370380400410922425274841041141341441641741942042242342542649224252924526516618420422432578210616418219421222424225428633838240041843046252253459460862864065867068870071257" displayName="Tabelle7367518365263722405774100110130140160170190200220230250260280290310320340350370380400410922425274841041141341441641741942042242342542649224252924526516618420422432578210616418219421222424225428633838240041843046252253459460862864065867068870071257" ref="I15:M22" totalsRowShown="0">
  <autoFilter ref="I15:M22" xr:uid="{3D485D7D-0988-46EE-93FF-C26751B12358}"/>
  <tableColumns count="5">
    <tableColumn id="1" xr3:uid="{573B727C-786E-4B45-A317-92EAD150E7AE}" name="Comparison entry no."/>
    <tableColumn id="2" xr3:uid="{E3B7C852-67B1-4FA5-8F19-33D27AAD9B07}" name="Propability Support point" dataDxfId="89"/>
    <tableColumn id="3" xr3:uid="{B435B344-C54D-4C37-84E2-0AD973A3F57B}" name="EBS self time" dataDxfId="88"/>
    <tableColumn id="4" xr3:uid="{EA020C27-A931-4693-8F49-409927CA01F9}" name="Total time">
      <calculatedColumnFormula>#REF!</calculatedColumnFormula>
    </tableColumn>
    <tableColumn id="5" xr3:uid="{7CDF878C-7C99-4B27-BB8D-F5098CD485DA}" name="Total time / Your estimate" dataDxfId="87">
      <calculatedColumnFormula>Tabelle7367518365263722405774100110130140160170190200220230250260280290310320340350370380400410922425274841041141341441641741942042242342542649224252924526516618420422432578210616418219421222424225428633838240041843046252253459460862864065867068870071257[[#This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time]]/Tabelle7367518365263722405774100110130140160170190200220230250260280290310320340350370380400410922425274841041141341441641741942042242342542649224252924526516618420422432578210616418219421222424225428633838240041843046252253459460862864065867068870071257[[#This Row],[Total time]]</calculatedColumnFormula>
    </tableColumn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8D56EED3-B9B3-49BB-983B-283062C8527A}" name="TimeEntries152539537113294364779110511713314716317719320722323725326728329731332734335737338740341715294560779110712113715116718119721122724125727115374964192756699116918520922537588710716718319721322724325928735538340341943546355156359760963164166161258" displayName="TimeEntries152539537113294364779110511713314716317719320722323725326728329731332734335737338740341715294560779110712113715116718119721122724125727115374964192756699116918520922537588710716718319721322724325928735538340341943546355156359760963164166161258" ref="A38:G41" totalsRowShown="0">
  <autoFilter ref="A38:G41" xr:uid="{DE1F0608-0AF0-4A59-A3B1-B24E879CE8DB}"/>
  <tableColumns count="7">
    <tableColumn id="1" xr3:uid="{585D9162-E864-4A6B-8949-64A76381910F}" name="Time entry no."/>
    <tableColumn id="2" xr3:uid="{4F6BAAAB-2D77-4814-9767-332FEA746ECC}" name="Start time" dataDxfId="86"/>
    <tableColumn id="3" xr3:uid="{78D5B5A2-C02D-4587-A362-9DFB237B4FF3}" name="End time" dataDxfId="85"/>
    <tableColumn id="4" xr3:uid="{CEF5C8E4-5972-4BA9-B83E-5C934C6C70BB}" name="Time delta in h" dataDxfId="84">
      <calculatedColumnFormula>MAX((C39-B39)*24,0)</calculatedColumnFormula>
    </tableColumn>
    <tableColumn id="5" xr3:uid="{61212E90-8054-4870-93E8-F44B32EF38BA}" name="Indicator"/>
    <tableColumn id="6" xr3:uid="{B22003F2-FD47-4F0E-A188-1E7E90503DEF}" name="Action1" dataDxfId="83" dataCellStyle="Link"/>
    <tableColumn id="7" xr3:uid="{0297D13A-5A0E-4918-8591-DC2276109597}" name="Action2" dataDxfId="82" dataCellStyle="Link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4C9B40FC-9761-45E7-87A2-028910DB1061}" name="Tabelle7367162840547214304465789210611813414816417819420822423825426828429831432834435837438840441816304661789210812213815216818219821222824225827216385065202857709217018621022638598810816818419821422824426028835638440442043646455256459861063264266261259" displayName="Tabelle7367162840547214304465789210611813414816417819420822423825426828429831432834435837438840441816304661789210812213815216818219821222824225827216385065202857709217018621022638598810816818419821422824426028835638440442043646455256459861063264266261259" ref="I38:M45" totalsRowShown="0">
  <autoFilter ref="I38:M45" xr:uid="{F9FEA8B5-7B4B-4B72-97B8-154406D3008A}"/>
  <tableColumns count="5">
    <tableColumn id="1" xr3:uid="{7360C2B7-DBD1-4A9F-8020-415E5A94D687}" name="Comparison entry no."/>
    <tableColumn id="2" xr3:uid="{024963BB-8054-40D7-852F-6CD11BF87E44}" name="Propability Support point" dataDxfId="81"/>
    <tableColumn id="3" xr3:uid="{EC657212-2B11-4A97-A0DB-01F4CB067A19}" name="EBS self time" dataDxfId="80"/>
    <tableColumn id="4" xr3:uid="{1F0BAC7D-1D30-4576-B120-33CCF031316A}" name="Total time">
      <calculatedColumnFormula>#REF!</calculatedColumnFormula>
    </tableColumn>
    <tableColumn id="5" xr3:uid="{D1EB7C13-25BD-477D-8649-0AD487278CB2}" name="Total time / Your estimate" dataDxfId="79">
      <calculatedColumnFormula>Tabelle7367162840547214304465789210611813414816417819420822423825426828429831432834435837438840441816304661789210812213815216818219821222824225827216385065202857709217018621022638598810816818419821422824426028835638440442043646455256459861063264266261259[[#This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time]]/Tabelle7367162840547214304465789210611813414816417819420822423825426828429831432834435837438840441816304661789210812213815216818219821222824225827216385065202857709217018621022638598810816818419821422824426028835638440442043646455256459861063264266261259[[#This Row],[Total time]]</calculatedColumnFormula>
    </tableColumn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8" totalsRowShown="0" dataDxfId="0">
  <autoFilter ref="A3:Q8" xr:uid="{520F3973-795E-47E6-97CD-1C1265CA838A}"/>
  <sortState xmlns:xlrd2="http://schemas.microsoft.com/office/spreadsheetml/2017/richdata2" ref="A4:Q8">
    <sortCondition descending="1" ref="P3:P8"/>
  </sortState>
  <tableColumns count="17">
    <tableColumn id="1" xr3:uid="{78BB2EF9-C626-4B0D-94B3-1781BE57C67F}" name="Task no." dataDxfId="17" dataCellStyle="Standard"/>
    <tableColumn id="3" xr3:uid="{3AD21368-826B-4507-A159-BE8BE5B02C1F}" name="Indicator" dataDxfId="16" dataCellStyle="Spaltenebene_1"/>
    <tableColumn id="2" xr3:uid="{C139B307-7150-4838-B1FD-482AAB7B1208}" name="Task name" dataDxfId="15" dataCellStyle="Link"/>
    <tableColumn id="18" xr3:uid="{3B298737-E571-4F23-9C71-2BC3C2385355}" name="Comment" dataDxfId="14" dataCellStyle="Link"/>
    <tableColumn id="4" xr3:uid="{E2EAEAF6-33EC-4D8C-B42E-C249C36E3D3C}" name="%Tag 1" dataDxfId="13" dataCellStyle="Standard"/>
    <tableColumn id="5" xr3:uid="{1E4EAD98-8B30-4F09-AA64-D7613D00651F}" name="%Tag 2" dataDxfId="12" dataCellStyle="Standard"/>
    <tableColumn id="6" xr3:uid="{9E1E50BB-6DA2-47A1-BB20-8C9FAC4B0DB5}" name="%Tag 3" dataDxfId="11" dataCellStyle="Standard"/>
    <tableColumn id="10" xr3:uid="{85CEF83B-6217-49AE-8974-E4D5953E2637}" name="Kanban list" dataDxfId="10" dataCellStyle="Standard"/>
    <tableColumn id="11" xr3:uid="{E542542F-D34F-488A-95AF-76A724785E5A}" name="User time estimate" dataDxfId="9" dataCellStyle="Standard"/>
    <tableColumn id="12" xr3:uid="{7DA005F8-D924-4031-B65E-6C6F60E3212D}" name="Total time" dataDxfId="8" dataCellStyle="Standard"/>
    <tableColumn id="16" xr3:uid="{209AEE68-BDAE-4E8C-BCF6-6EEA4F9A7FDE}" name="Finished on" dataDxfId="7" dataCellStyle="Standard"/>
    <tableColumn id="8" xr3:uid="{727785B7-29B9-493D-A20B-C319B38E1DF3}" name="EBS 50% time" dataDxfId="6" dataCellStyle="Standard"/>
    <tableColumn id="9" xr3:uid="{B12BA9B8-3C81-408C-AFE4-25993FD8491D}" name="EBS 50% date" dataDxfId="5" dataCellStyle="Standard"/>
    <tableColumn id="20" xr3:uid="{DAE27A09-2EB0-4A47-A9F0-48ED802D8570}" name="Due date" dataDxfId="4" dataCellStyle="Spaltenebene_1"/>
    <tableColumn id="19" xr3:uid="{7A8CB495-6AE9-4A1E-AC5B-8B6487C84135}" name="Contributor" dataDxfId="3" dataCellStyle="Standard"/>
    <tableColumn id="17" xr3:uid="{EF767A93-0B38-4A66-A27B-92321C0E655C}" name="Priority" dataDxfId="2" dataCellStyle="Standard"/>
    <tableColumn id="15" xr3:uid="{2ADBC76B-EB88-4BCD-8956-7B4B22C5A3D4}" name="tHASH" dataDxfId="1" dataCellStyle="Standard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4BA854D2-C0BF-48B1-99CB-4CACF6DD0880}" name="TimeEntries619314966825416075871031131311431611731912032212332512632812933113233413533713834014131325435675871051171351471651771952072252372552671325436921396081951771891992212312414962991111751872052172352472712913673874114234474674954975696036196351264" displayName="TimeEntries619314966825416075871031131311431611731912032212332512632812933113233413533713834014131325435675871051171351471651771952072252372552671325436921396081951771891992212312414962991111751872052172352472712913673874114234474674954975696036196351264" ref="A14:G15" insertRow="1" totalsRowShown="0">
  <autoFilter ref="A14:G15" xr:uid="{1903ADCF-5AF9-4D5E-9DFF-F95423EB80ED}"/>
  <tableColumns count="7">
    <tableColumn id="1" xr3:uid="{BF153A8E-CD01-4FEE-BAF7-817DA1C6D8CB}" name="Time entry no."/>
    <tableColumn id="2" xr3:uid="{F8AD555C-3B9F-466B-9329-F6E738880897}" name="Start time" dataDxfId="73"/>
    <tableColumn id="3" xr3:uid="{43BEBA4C-E466-475D-918F-52C2F07A0DCC}" name="End time" dataDxfId="72"/>
    <tableColumn id="4" xr3:uid="{9F308C54-9DF3-4B35-944C-D8FB2E1FC892}" name="Time delta in h" dataDxfId="71"/>
    <tableColumn id="5" xr3:uid="{F3713637-5F6E-40D3-8C3A-1C3443AE45BB}" name="Indicator"/>
    <tableColumn id="6" xr3:uid="{12699C98-461E-4522-8E62-580ECA287911}" name="Action1" dataDxfId="70" dataCellStyle="Link"/>
    <tableColumn id="7" xr3:uid="{4F3094C2-118E-46E4-8DB7-CA690FAC778B}" name="Action2" dataDxfId="69" dataCellStyle="Link"/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C10CDD34-CA35-461E-B9FF-C6F542571174}" name="Tabelle7367720325068926426176881041141321441621741922042222342522642822943123243423543723844024141426445776881061181361481661781962082262382562681426447022406182961781902002222322425063100112176188206218236248272292368388412424448468496498570604620631265" displayName="Tabelle7367720325068926426176881041141321441621741922042222342522642822943123243423543723844024141426445776881061181361481661781962082262382562681426447022406182961781902002222322425063100112176188206218236248272292368388412424448468496498570604620631265" ref="I14:M21" totalsRowShown="0">
  <autoFilter ref="I14:M21" xr:uid="{A036E22E-ACEF-4157-A6B1-C991CB0FAFF2}"/>
  <tableColumns count="5">
    <tableColumn id="1" xr3:uid="{CB3FEE2D-8943-431D-BB35-57D60F9F7302}" name="Comparison entry no."/>
    <tableColumn id="2" xr3:uid="{7D71BA68-B0FA-4582-840B-ECB8074DE336}" name="Propability Support point" dataDxfId="68"/>
    <tableColumn id="3" xr3:uid="{91529A23-9408-4710-9202-D8B88275753B}" name="EBS self time" dataDxfId="67"/>
    <tableColumn id="4" xr3:uid="{A142DE08-D889-4DE4-AE4F-E7E5546A063A}" name="Total time">
      <calculatedColumnFormula>#REF!</calculatedColumnFormula>
    </tableColumn>
    <tableColumn id="5" xr3:uid="{2BA50917-3B8F-415D-96CD-EF5827B5947B}" name="Total time / Your estimate" dataDxfId="66">
      <calculatedColumnFormula>Tabelle7367720325068926426176881041141321441621741922042222342522642822943123243423543723844024141426445776881061181361481661781962082262382562681426447022406182961781902002222322425063100112176188206218236248272292368388412424448468496498570604620631265[[#This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time]]/Tabelle7367720325068926426176881041141321441621741922042222342522642822943123243423543723844024141426445776881061181361481661781962082262382562681426447022406182961781902002222322425063100112176188206218236248272292368388412424448468496498570604620631265[[#This Row],[Total time]]</calculatedColumnFormula>
    </tableColumn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4D51BE6E-EB53-4883-856F-47B17957383C}" name="TimeEntries132347587917374751718310112513715516718519721522724525727528730531733534736537739540742519374969819911112914115917118920121923124926127919334760174562879718119119521923724327536610311513517918920921923924927729337338941542545346950952757361269" displayName="TimeEntries132347587917374751718310112513715516718519721522724525727528730531733534736537739540742519374969819911112914115917118920121923124926127919334760174562879718119119521923724327536610311513517918920921923924927729337338941542545346950952757361269" ref="A14:G15" insertRow="1" totalsRowShown="0">
  <autoFilter ref="A14:G15" xr:uid="{0A4540AB-83E0-4E77-8C66-2491161391DB}"/>
  <tableColumns count="7">
    <tableColumn id="1" xr3:uid="{9CF299D0-BD50-45F3-BA6C-CF4B14747F2D}" name="Time entry no."/>
    <tableColumn id="2" xr3:uid="{2B2B6B09-9D42-4A0A-BD49-1C8E49A891A9}" name="Start time" dataDxfId="65"/>
    <tableColumn id="3" xr3:uid="{7E0B784A-944B-467B-A3CF-C8376A6CD163}" name="End time" dataDxfId="64"/>
    <tableColumn id="4" xr3:uid="{9C6A5EFA-77E8-421F-BCDA-19FA832DF32A}" name="Time delta in h" dataDxfId="63"/>
    <tableColumn id="5" xr3:uid="{9C154D3C-0606-4830-853C-1786E30A3C73}" name="Indicator"/>
    <tableColumn id="6" xr3:uid="{CD915228-2459-4891-9B3B-FB825E32FAA4}" name="Action1" dataDxfId="62" dataCellStyle="Link"/>
    <tableColumn id="7" xr3:uid="{1740190D-E648-419E-93D7-6DDCFA2E5DCE}" name="Action2" dataDxfId="61" dataCellStyle="Link"/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E271CDF0-5BFC-4192-A31C-0607665158F5}" name="Tabelle7367142448598018384852728410212613815616818619821622824625827628830631833634836637839640842620385070821001121301421601721902022202322502622802034486118466388981821921962202382442854681041161361801902102202402502782943743904164264544705105285741270" displayName="Tabelle7367142448598018384852728410212613815616818619821622824625827628830631833634836637839640842620385070821001121301421601721902022202322502622802034486118466388981821921962202382442854681041161361801902102202402502782943743904164264544705105285741270" ref="I14:M21" totalsRowShown="0">
  <autoFilter ref="I14:M21" xr:uid="{8E85F0C3-9E52-4BFD-91F6-1B1343E140E3}"/>
  <tableColumns count="5">
    <tableColumn id="1" xr3:uid="{AA09582A-0FBA-4C0C-B902-B24D346DA689}" name="Comparison entry no."/>
    <tableColumn id="2" xr3:uid="{3D216429-96F1-4C98-B6DE-C1252C87C4E5}" name="Propability Support point" dataDxfId="60"/>
    <tableColumn id="3" xr3:uid="{D1D71417-D4EC-401D-B2F1-4E1C3F0F5539}" name="EBS self time" dataDxfId="59"/>
    <tableColumn id="4" xr3:uid="{A41A454A-538E-4C76-8D97-E78DF26CBA0A}" name="Total time">
      <calculatedColumnFormula>#REF!</calculatedColumnFormula>
    </tableColumn>
    <tableColumn id="5" xr3:uid="{9CC26DDB-ED00-4870-AF75-895613FEBCBF}" name="Total time / Your estimate" dataDxfId="58">
      <calculatedColumnFormula>Tabelle7367142448598018384852728410212613815616818619821622824625827628830631833634836637839640842620385070821001121301421601721902022202322502622802034486118466388981821921962202382442854681041161361801902102202402502782943743904164264544705105285741270[[#This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time]]/Tabelle7367142448598018384852728410212613815616818619821622824625827628830631833634836637839640842620385070821001121301421601721902022202322502622802034486118466388981821921962202382442854681041161361801902102202402502782943743904164264544705105285741270[[#This Row],[Total time]]</calculatedColumnFormula>
    </tableColumn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3D96B177-597C-400D-8D3B-B4DE7CB6D3FC}" name="TimeEntries821435675153345697995107121135151165181195211225241255271285301315331345361375391405421173347647995109125139155169185199215229245259275172945561533587593173187215227436093109171185201215231245265289319321361385407421441465555565601611615631273" displayName="TimeEntries821435675153345697995107121135151165181195211225241255271285301315331345361375391405421173347647995109125139155169185199215229245259275172945561533587593173187215227436093109171185201215231245265289319321361385407421441465555565601611615631273" ref="A14:G25" totalsRowShown="0">
  <autoFilter ref="A14:G25" xr:uid="{CECBF58C-81D1-43AF-AF54-2B43E8509649}"/>
  <tableColumns count="7">
    <tableColumn id="1" xr3:uid="{0347D3C3-C104-4145-8B8C-42A2728A6E5E}" name="Time entry no."/>
    <tableColumn id="2" xr3:uid="{39BDFB03-964A-4C03-94C1-1C20D57325DF}" name="Start time" dataDxfId="57"/>
    <tableColumn id="3" xr3:uid="{C4780DEA-60FF-4F5F-9A68-2BDAC80101CA}" name="End time" dataDxfId="56"/>
    <tableColumn id="4" xr3:uid="{B32AE7E3-0D6C-4FF4-B8E4-ABB000E3E348}" name="Time delta in h" dataDxfId="55">
      <calculatedColumnFormula>MAX((C15-B15)*24,0)</calculatedColumnFormula>
    </tableColumn>
    <tableColumn id="5" xr3:uid="{2AD08092-3FD2-427B-8458-E085DCE25202}" name="Indicator"/>
    <tableColumn id="6" xr3:uid="{EFF79867-6864-4674-B54F-E055C7334AEE}" name="Action1" dataDxfId="54" dataCellStyle="Link"/>
    <tableColumn id="7" xr3:uid="{244877BF-650A-4220-9703-BA6E7D1BB4D4}" name="Action2" dataDxfId="53" dataCellStyle="Link"/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6B517E2-974C-4E4D-950D-C407B3897AA7}" name="Tabelle7367922445776163446708096108122136152166182196212226242256272286302316332346362376392406422183448658096110126140156170186200216230246260276183046571634597694174188216228446194110172186202216232246266290320322362386408422442466556566602612616631274" displayName="Tabelle7367922445776163446708096108122136152166182196212226242256272286302316332346362376392406422183448658096110126140156170186200216230246260276183046571634597694174188216228446194110172186202216232246266290320322362386408422442466556566602612616631274" ref="I14:M21" totalsRowShown="0">
  <autoFilter ref="I14:M21" xr:uid="{D4A792E5-6968-4BE9-B449-034968D02839}"/>
  <tableColumns count="5">
    <tableColumn id="1" xr3:uid="{427C0BBE-0CC9-4550-B3C3-1538F0A7D126}" name="Comparison entry no."/>
    <tableColumn id="2" xr3:uid="{7EB54A46-8EBD-4F41-8BD5-4583E842D803}" name="Propability Support point" dataDxfId="52"/>
    <tableColumn id="3" xr3:uid="{19E3730E-A5A7-4EBC-8014-0543F35A07E0}" name="EBS self time" dataDxfId="51"/>
    <tableColumn id="4" xr3:uid="{9F293174-5805-43F3-A8B1-45062750A43D}" name="Total time">
      <calculatedColumnFormula>#REF!</calculatedColumnFormula>
    </tableColumn>
    <tableColumn id="5" xr3:uid="{A955B4AE-8DB7-4974-AF4C-23BF5093D3A8}" name="Total time / Your estimate" dataDxfId="50">
      <calculatedColumnFormula>Tabelle7367922445776163446708096108122136152166182196212226242256272286302316332346362376392406422183448658096110126140156170186200216230246260276183046571634597694174188216228446194110172186202216232246266290320322362386408422442466556566602612616631274[[#This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time]]/Tabelle7367922445776163446708096108122136152166182196212226242256272286302316332346362376392406422183448658096110126140156170186200216230246260276183046571634597694174188216228446194110172186202216232246266290320322362386408422442466556566602612616631274[[#This Row],[Total time]]</calculatedColumnFormula>
    </tableColumn>
  </tableColumns>
  <tableStyleInfo name="TableStyleDark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CBC75B-F660-477E-9C8C-68E8D7EE2FD7}" name="EbsBaseData432627042" displayName="EbsBaseData432627042" ref="A18:H19" totalsRowShown="0">
  <autoFilter ref="A18:H19" xr:uid="{1948C160-1F52-48A7-8061-8AFF06D47134}"/>
  <tableColumns count="8">
    <tableColumn id="1" xr3:uid="{1C3D4A93-94DB-47A6-87F4-CD3F87575F92}" name="EBS entry no."/>
    <tableColumn id="4" xr3:uid="{2C11127A-07AC-4913-A579-51B139837598}" name="EBS run date" dataDxfId="47"/>
    <tableColumn id="8" xr3:uid="{2DAB808F-1090-4A9F-80EB-99DC1ED92578}" name="[Velocity pool]"/>
    <tableColumn id="2" xr3:uid="{5B1B9016-B7E6-4885-9E13-48E645DE05B7}" name="Show pool?"/>
    <tableColumn id="3" xr3:uid="{AE9BC6F0-3789-443A-91B9-130FBB5B62E3}" name="[Propability support points]"/>
    <tableColumn id="5" xr3:uid="{08C6AE7D-335D-4CF1-8EC2-55B8521557F1}" name="[Project time estimates]"/>
    <tableColumn id="6" xr3:uid="{F2F73C4B-1AC7-41F8-A7C6-99240DFD7B8F}" name="[Project date estimates]"/>
    <tableColumn id="7" xr3:uid="{7F71A46E-43C7-4FE6-949E-C38CAA42B961}" name="eHASH"/>
  </tableColumns>
  <tableStyleInfo name="TableStyleDark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AA55595-CE9A-4C5A-BD91-8D1552AD803F}" name="EbsTaskData959271125" displayName="EbsTaskData959271125" ref="J18:T21" totalsRowShown="0">
  <autoFilter ref="J18:T21" xr:uid="{2297DC20-55A3-4C75-B785-3C4ABEF5CB9C}"/>
  <tableColumns count="11">
    <tableColumn id="1" xr3:uid="{5161A4E5-5D48-4173-BAF9-1E9271E180FE}" name="Data entry no."/>
    <tableColumn id="10" xr3:uid="{9882DF68-C8AC-4B08-A9CA-FF961EEBC85E}" name="tHASH"/>
    <tableColumn id="5" xr3:uid="{060C7A46-8044-40DD-81B1-D5D5F6B54049}" name="Logged Priority"/>
    <tableColumn id="7" xr3:uid="{2D423BB4-F80C-4AB1-807A-27967B84991A}" name="Time spent so far" dataDxfId="46"/>
    <tableColumn id="4" xr3:uid="{68826C68-7171-476C-8320-89D1DC212892}" name="User time estimate" dataDxfId="45"/>
    <tableColumn id="3" xr3:uid="{75A46B58-8359-4594-B585-DFF452CA3CE5}" name="[Monte Carlo estimate pool]"/>
    <tableColumn id="2" xr3:uid="{615B1E66-8CBA-4246-B916-B995711C1EE2}" name="[Remaining time pool]"/>
    <tableColumn id="6" xr3:uid="{5FA982C0-17AC-4085-83B9-702953E78593}" name="[Accumulated time pool]"/>
    <tableColumn id="8" xr3:uid="{CCDAD8E5-6279-42AD-8A02-3EBD3A94AE44}" name="[Propability support points]"/>
    <tableColumn id="9" xr3:uid="{5D1713AE-C0D8-4DCE-BA26-1BE36EACDB9D}" name="[Interpolated time estimates]"/>
    <tableColumn id="11" xr3:uid="{1916F7EA-B785-4A16-B9A7-1B9A66312E20}" name="[Interpolated date estimates]"/>
  </tableColumns>
  <tableStyleInfo name="TableStyleDark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9" insertRow="1" totalsRowShown="0" headerRowDxfId="44" dataDxfId="42" headerRowBorderDxfId="43">
  <autoFilter ref="A8:D9" xr:uid="{8E9EC0C1-7901-48B6-A59A-1CE6ABEE7A55}"/>
  <tableColumns count="4">
    <tableColumn id="1" xr3:uid="{58BB2187-C79D-4A1A-A9A3-DA2F074C476C}" name="Split entry no." dataDxfId="41"/>
    <tableColumn id="2" xr3:uid="{A755482D-FFF4-43D8-8021-1956CE3A7021}" name="Split start" dataDxfId="40"/>
    <tableColumn id="3" xr3:uid="{FE0A0B8D-1F8A-4CEC-9FB3-C945A45F99BF}" name="Split end" dataDxfId="39"/>
    <tableColumn id="4" xr3:uid="{5443222D-0CE3-4625-9EDB-D13B87B6C388}" name="Time spent" dataDxfId="38"/>
  </tableColumns>
  <tableStyleInfo name="TableStyleDark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37" dataCellStyle="Link"/>
    <tableColumn id="9" xr3:uid="{0037D127-E2BA-445A-BC63-1395BA3AC441}" name="Calendar ID" dataDxfId="36" dataCellStyle="Link"/>
    <tableColumn id="10" xr3:uid="{37CA3B7B-8FF0-4042-97C6-E23A79A74325}" name="Store ID"/>
    <tableColumn id="6" xr3:uid="{044D8005-25C5-4D31-940A-B6DE4C6B0EA5}" name="WorkingDays" dataDxfId="35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34"/>
    <tableColumn id="8" xr3:uid="{1177B0FB-46B2-406D-B988-C64E0ABA6972}" name="AppointmentOffsetHours" dataDxfId="33">
      <calculatedColumnFormula>5/60</calculatedColumnFormula>
    </tableColumn>
  </tableColumns>
  <tableStyleInfo name="TableStyleDark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4:G15" totalsRowShown="0">
  <autoFilter ref="A14:G15" xr:uid="{40D13D02-1E69-496D-8B92-B7ECCFB4FAB3}"/>
  <sortState xmlns:xlrd2="http://schemas.microsoft.com/office/spreadsheetml/2017/richdata2" ref="A15:E15">
    <sortCondition ref="A14:A15"/>
  </sortState>
  <tableColumns count="7">
    <tableColumn id="1" xr3:uid="{79398A77-C401-45B7-A5F3-FD95241DA46D}" name="Time entry no."/>
    <tableColumn id="2" xr3:uid="{B05CE561-2857-4C79-94B9-B743D40A6B9B}" name="Start time" dataDxfId="28"/>
    <tableColumn id="3" xr3:uid="{78DABF02-3853-48FF-81AD-5801C74BED1B}" name="End time" dataDxfId="27"/>
    <tableColumn id="4" xr3:uid="{76C994F9-216A-4848-9FB6-16BAF8B0EEEA}" name="Time delta in h" dataDxfId="26">
      <calculatedColumnFormula>MAX((C15-B15)*24,0)</calculatedColumnFormula>
    </tableColumn>
    <tableColumn id="5" xr3:uid="{7A34D70F-82B8-48DB-B5DE-37BA200663BE}" name="Indicator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4:M15" totalsRowShown="0">
  <autoFilter ref="I14:M15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25"/>
    <tableColumn id="3" xr3:uid="{A62B365F-400F-45A4-B789-FE7B5FDBD312}" name="EBS self time" dataDxfId="24"/>
    <tableColumn id="4" xr3:uid="{37AD97D9-9420-42BC-9EA3-73C14A0A1F72}" name="Total time">
      <calculatedColumnFormula>$B$4</calculatedColumnFormula>
    </tableColumn>
    <tableColumn id="5" xr3:uid="{919307D5-98B8-47B0-ABAC-374A91F6BBB0}" name="Total time / Your estimate" dataDxfId="23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20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19"/>
    <tableColumn id="4" xr3:uid="{F9EDA55E-5206-49A7-A846-6A0B14C04CAF}" name="User time estimate" dataDxfId="18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D9E72933-13B7-436C-80C5-C0A9531E86AE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printerSettings" Target="../printerSettings/printerSettings5.bin"/><Relationship Id="rId7" Type="http://schemas.openxmlformats.org/officeDocument/2006/relationships/ctrlProp" Target="../ctrlProps/ctrlProp15.xml"/><Relationship Id="rId2" Type="http://schemas.openxmlformats.org/officeDocument/2006/relationships/hyperlink" Target="file:///\\your.mail@provider.com\Calendar" TargetMode="External"/><Relationship Id="rId1" Type="http://schemas.openxmlformats.org/officeDocument/2006/relationships/hyperlink" Target="file:///\\your.mail@provider.com\Calendar" TargetMode="External"/><Relationship Id="rId6" Type="http://schemas.openxmlformats.org/officeDocument/2006/relationships/ctrlProp" Target="../ctrlProps/ctrlProp14.xml"/><Relationship Id="rId5" Type="http://schemas.openxmlformats.org/officeDocument/2006/relationships/vmlDrawing" Target="../drawings/vmlDrawing4.vml"/><Relationship Id="rId10" Type="http://schemas.openxmlformats.org/officeDocument/2006/relationships/table" Target="../tables/table15.xml"/><Relationship Id="rId4" Type="http://schemas.openxmlformats.org/officeDocument/2006/relationships/drawing" Target="../drawings/drawing7.xml"/><Relationship Id="rId9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4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F78EB-8F87-4A42-B3A3-6DCEC529128F}">
  <sheetPr codeName="Tabelle1"/>
  <dimension ref="A1:M45"/>
  <sheetViews>
    <sheetView workbookViewId="0">
      <selection activeCell="A94" sqref="A94:M118"/>
    </sheetView>
  </sheetViews>
  <sheetFormatPr baseColWidth="10" defaultRowHeight="15" x14ac:dyDescent="0.25"/>
  <sheetData>
    <row r="1" spans="1:13" x14ac:dyDescent="0.25">
      <c r="A1" t="s">
        <v>160</v>
      </c>
      <c r="B1" t="s">
        <v>107</v>
      </c>
      <c r="C1" t="s">
        <v>161</v>
      </c>
      <c r="D1">
        <v>21</v>
      </c>
      <c r="E1" t="s">
        <v>162</v>
      </c>
      <c r="F1">
        <v>13</v>
      </c>
    </row>
    <row r="2" spans="1:13" x14ac:dyDescent="0.25">
      <c r="A2" s="4" t="s">
        <v>25</v>
      </c>
    </row>
    <row r="3" spans="1:13" x14ac:dyDescent="0.25">
      <c r="A3" t="s">
        <v>3</v>
      </c>
      <c r="B3" t="s">
        <v>108</v>
      </c>
    </row>
    <row r="4" spans="1:13" x14ac:dyDescent="0.25">
      <c r="A4" t="s">
        <v>79</v>
      </c>
      <c r="B4" s="2">
        <v>5</v>
      </c>
      <c r="C4" t="s">
        <v>4</v>
      </c>
    </row>
    <row r="5" spans="1:13" x14ac:dyDescent="0.25">
      <c r="A5" t="s">
        <v>0</v>
      </c>
      <c r="B5" s="2">
        <f>SUM(D:D)</f>
        <v>43.000000000116415</v>
      </c>
      <c r="C5" t="s">
        <v>4</v>
      </c>
    </row>
    <row r="6" spans="1:13" x14ac:dyDescent="0.25">
      <c r="A6" t="s">
        <v>14</v>
      </c>
      <c r="B6" s="5" t="s">
        <v>97</v>
      </c>
    </row>
    <row r="7" spans="1:13" x14ac:dyDescent="0.25">
      <c r="A7" t="s">
        <v>15</v>
      </c>
      <c r="B7" s="5" t="s">
        <v>19</v>
      </c>
    </row>
    <row r="8" spans="1:13" x14ac:dyDescent="0.25">
      <c r="A8" t="s">
        <v>1</v>
      </c>
      <c r="B8" t="s">
        <v>111</v>
      </c>
    </row>
    <row r="9" spans="1:13" x14ac:dyDescent="0.25">
      <c r="A9" t="s">
        <v>16</v>
      </c>
      <c r="B9" s="5">
        <v>43876.756701388891</v>
      </c>
    </row>
    <row r="10" spans="1:13" x14ac:dyDescent="0.25">
      <c r="A10" t="s">
        <v>2</v>
      </c>
      <c r="B10" t="s">
        <v>190</v>
      </c>
    </row>
    <row r="11" spans="1:13" x14ac:dyDescent="0.25">
      <c r="A11" t="s">
        <v>47</v>
      </c>
      <c r="B11" t="s">
        <v>107</v>
      </c>
    </row>
    <row r="12" spans="1:13" x14ac:dyDescent="0.25">
      <c r="A12" t="s">
        <v>5</v>
      </c>
      <c r="B12" s="2">
        <f>B4/B5</f>
        <v>0.11627906976712706</v>
      </c>
      <c r="C12" t="s">
        <v>6</v>
      </c>
    </row>
    <row r="13" spans="1:13" x14ac:dyDescent="0.25">
      <c r="A13" t="s">
        <v>100</v>
      </c>
      <c r="B13" t="s">
        <v>179</v>
      </c>
    </row>
    <row r="14" spans="1:13" x14ac:dyDescent="0.25">
      <c r="A14" t="s">
        <v>101</v>
      </c>
      <c r="B14" t="s">
        <v>180</v>
      </c>
    </row>
    <row r="15" spans="1:13" x14ac:dyDescent="0.25">
      <c r="A15" t="s">
        <v>11</v>
      </c>
      <c r="B15" t="s">
        <v>7</v>
      </c>
      <c r="C15" t="s">
        <v>8</v>
      </c>
      <c r="D15" t="s">
        <v>9</v>
      </c>
      <c r="E15" t="s">
        <v>10</v>
      </c>
      <c r="F15" t="s">
        <v>86</v>
      </c>
      <c r="G15" t="s">
        <v>87</v>
      </c>
      <c r="I15" t="s">
        <v>71</v>
      </c>
      <c r="J15" s="15" t="s">
        <v>69</v>
      </c>
      <c r="K15" s="2" t="s">
        <v>70</v>
      </c>
      <c r="L15" t="s">
        <v>72</v>
      </c>
      <c r="M15" t="s">
        <v>73</v>
      </c>
    </row>
    <row r="16" spans="1:13" x14ac:dyDescent="0.25">
      <c r="A16" t="s">
        <v>94</v>
      </c>
      <c r="B16" s="1">
        <v>43876.74627314815</v>
      </c>
      <c r="C16" s="1">
        <v>43876.756689814814</v>
      </c>
      <c r="D16" s="2">
        <f>MAX((C16-B16)*24,0)</f>
        <v>0.24999999994179234</v>
      </c>
      <c r="F16" s="42" t="s">
        <v>109</v>
      </c>
      <c r="G16" s="23" t="s">
        <v>110</v>
      </c>
      <c r="I16" t="s">
        <v>94</v>
      </c>
      <c r="J16" s="15">
        <v>0.05</v>
      </c>
      <c r="K16" s="2">
        <v>0.5</v>
      </c>
      <c r="L16" s="2" t="e">
        <f>#REF!</f>
        <v>#REF!</v>
      </c>
      <c r="M16" s="16" t="e">
        <f>Tabelle7367518365263722405774100110130140160170190200220230250260280290310320340350370380400410922425274841041141341441641741942042242342542649224252924526516618420422432578210616418219421222424225428633838240041843046252253459460862864065867068870071257[[#This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time]]/Tabelle7367518365263722405774100110130140160170190200220230250260280290310320340350370380400410922425274841041141341441641741942042242342542649224252924526516618420422432578210616418219421222424225428633838240041843046252253459460862864065867068870071257[[#This Row],[Total time]]</f>
        <v>#REF!</v>
      </c>
    </row>
    <row r="17" spans="1:13" x14ac:dyDescent="0.25">
      <c r="A17" t="s">
        <v>98</v>
      </c>
      <c r="B17" s="1">
        <v>43876.74628472222</v>
      </c>
      <c r="C17" s="1">
        <v>43876.756701388891</v>
      </c>
      <c r="D17" s="2">
        <f>MAX((C17-B17)*24,0)</f>
        <v>0.25000000011641532</v>
      </c>
      <c r="F17" s="42" t="s">
        <v>109</v>
      </c>
      <c r="G17" s="23" t="s">
        <v>110</v>
      </c>
      <c r="I17" t="s">
        <v>98</v>
      </c>
      <c r="J17" s="15">
        <v>0.2</v>
      </c>
      <c r="K17" s="2">
        <v>0.5</v>
      </c>
      <c r="L17" s="2" t="e">
        <f>#REF!</f>
        <v>#REF!</v>
      </c>
      <c r="M17" s="16" t="e">
        <f>Tabelle7367518365263722405774100110130140160170190200220230250260280290310320340350370380400410922425274841041141341441641741942042242342542649224252924526516618420422432578210616418219421222424225428633838240041843046252253459460862864065867068870071257[[#This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time]]/Tabelle7367518365263722405774100110130140160170190200220230250260280290310320340350370380400410922425274841041141341441641741942042242342542649224252924526516618420422432578210616418219421222424225428633838240041843046252253459460862864065867068870071257[[#This Row],[Total time]]</f>
        <v>#REF!</v>
      </c>
    </row>
    <row r="18" spans="1:13" x14ac:dyDescent="0.25">
      <c r="I18" t="s">
        <v>99</v>
      </c>
      <c r="J18" s="15">
        <v>0.35</v>
      </c>
      <c r="K18" s="2">
        <v>0.5</v>
      </c>
      <c r="L18" s="2" t="e">
        <f>#REF!</f>
        <v>#REF!</v>
      </c>
      <c r="M18" s="16" t="e">
        <f>Tabelle7367518365263722405774100110130140160170190200220230250260280290310320340350370380400410922425274841041141341441641741942042242342542649224252924526516618420422432578210616418219421222424225428633838240041843046252253459460862864065867068870071257[[#This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time]]/Tabelle7367518365263722405774100110130140160170190200220230250260280290310320340350370380400410922425274841041141341441641741942042242342542649224252924526516618420422432578210616418219421222424225428633838240041843046252253459460862864065867068870071257[[#This Row],[Total time]]</f>
        <v>#REF!</v>
      </c>
    </row>
    <row r="19" spans="1:13" x14ac:dyDescent="0.25">
      <c r="I19" t="s">
        <v>102</v>
      </c>
      <c r="J19" s="15">
        <v>0.5</v>
      </c>
      <c r="K19" s="2">
        <v>0.5</v>
      </c>
      <c r="L19" s="2" t="e">
        <f>#REF!</f>
        <v>#REF!</v>
      </c>
      <c r="M19" s="16" t="e">
        <f>Tabelle7367518365263722405774100110130140160170190200220230250260280290310320340350370380400410922425274841041141341441641741942042242342542649224252924526516618420422432578210616418219421222424225428633838240041843046252253459460862864065867068870071257[[#This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time]]/Tabelle7367518365263722405774100110130140160170190200220230250260280290310320340350370380400410922425274841041141341441641741942042242342542649224252924526516618420422432578210616418219421222424225428633838240041843046252253459460862864065867068870071257[[#This Row],[Total time]]</f>
        <v>#REF!</v>
      </c>
    </row>
    <row r="20" spans="1:13" x14ac:dyDescent="0.25">
      <c r="I20" t="s">
        <v>103</v>
      </c>
      <c r="J20" s="15">
        <v>0.65</v>
      </c>
      <c r="K20" s="2">
        <v>0.5</v>
      </c>
      <c r="L20" s="2" t="e">
        <f>#REF!</f>
        <v>#REF!</v>
      </c>
      <c r="M20" s="16" t="e">
        <f>Tabelle7367518365263722405774100110130140160170190200220230250260280290310320340350370380400410922425274841041141341441641741942042242342542649224252924526516618420422432578210616418219421222424225428633838240041843046252253459460862864065867068870071257[[#This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time]]/Tabelle7367518365263722405774100110130140160170190200220230250260280290310320340350370380400410922425274841041141341441641741942042242342542649224252924526516618420422432578210616418219421222424225428633838240041843046252253459460862864065867068870071257[[#This Row],[Total time]]</f>
        <v>#REF!</v>
      </c>
    </row>
    <row r="21" spans="1:13" x14ac:dyDescent="0.25">
      <c r="I21" t="s">
        <v>118</v>
      </c>
      <c r="J21" s="15">
        <v>0.8</v>
      </c>
      <c r="K21" s="2">
        <v>0.5</v>
      </c>
      <c r="L21" s="2" t="e">
        <f>#REF!</f>
        <v>#REF!</v>
      </c>
      <c r="M21" s="16" t="e">
        <f>Tabelle7367518365263722405774100110130140160170190200220230250260280290310320340350370380400410922425274841041141341441641741942042242342542649224252924526516618420422432578210616418219421222424225428633838240041843046252253459460862864065867068870071257[[#This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time]]/Tabelle7367518365263722405774100110130140160170190200220230250260280290310320340350370380400410922425274841041141341441641741942042242342542649224252924526516618420422432578210616418219421222424225428633838240041843046252253459460862864065867068870071257[[#This Row],[Total time]]</f>
        <v>#REF!</v>
      </c>
    </row>
    <row r="22" spans="1:13" x14ac:dyDescent="0.25">
      <c r="I22" t="s">
        <v>119</v>
      </c>
      <c r="J22" s="15">
        <v>0.95</v>
      </c>
      <c r="K22" s="2">
        <v>0.5</v>
      </c>
      <c r="L22" s="2" t="e">
        <f>#REF!</f>
        <v>#REF!</v>
      </c>
      <c r="M22" s="16" t="e">
        <f>Tabelle7367518365263722405774100110130140160170190200220230250260280290310320340350370380400410922425274841041141341441641741942042242342542649224252924526516618420422432578210616418219421222424225428633838240041843046252253459460862864065867068870071257[[#This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time]]/Tabelle7367518365263722405774100110130140160170190200220230250260280290310320340350370380400410922425274841041141341441641741942042242342542649224252924526516618420422432578210616418219421222424225428633838240041843046252253459460862864065867068870071257[[#This Row],[Total time]]</f>
        <v>#REF!</v>
      </c>
    </row>
    <row r="24" spans="1:13" x14ac:dyDescent="0.25">
      <c r="A24" t="s">
        <v>160</v>
      </c>
      <c r="B24" t="s">
        <v>104</v>
      </c>
      <c r="C24" t="s">
        <v>161</v>
      </c>
      <c r="D24">
        <v>21</v>
      </c>
      <c r="E24" t="s">
        <v>162</v>
      </c>
      <c r="F24">
        <v>13</v>
      </c>
    </row>
    <row r="25" spans="1:13" x14ac:dyDescent="0.25">
      <c r="A25" s="4" t="s">
        <v>25</v>
      </c>
    </row>
    <row r="26" spans="1:13" x14ac:dyDescent="0.25">
      <c r="A26" t="s">
        <v>3</v>
      </c>
      <c r="B26" t="s">
        <v>105</v>
      </c>
    </row>
    <row r="27" spans="1:13" x14ac:dyDescent="0.25">
      <c r="A27" t="s">
        <v>79</v>
      </c>
      <c r="B27" s="2">
        <v>63</v>
      </c>
      <c r="C27" t="s">
        <v>4</v>
      </c>
    </row>
    <row r="28" spans="1:13" x14ac:dyDescent="0.25">
      <c r="A28" t="s">
        <v>0</v>
      </c>
      <c r="B28" s="2">
        <f>SUM(D:D)</f>
        <v>43.000000000116415</v>
      </c>
      <c r="C28" t="s">
        <v>4</v>
      </c>
    </row>
    <row r="29" spans="1:13" x14ac:dyDescent="0.25">
      <c r="A29" t="s">
        <v>14</v>
      </c>
      <c r="B29" s="5" t="s">
        <v>97</v>
      </c>
    </row>
    <row r="30" spans="1:13" x14ac:dyDescent="0.25">
      <c r="A30" t="s">
        <v>15</v>
      </c>
      <c r="B30" s="5" t="s">
        <v>19</v>
      </c>
    </row>
    <row r="31" spans="1:13" x14ac:dyDescent="0.25">
      <c r="A31" t="s">
        <v>1</v>
      </c>
      <c r="B31" t="s">
        <v>132</v>
      </c>
    </row>
    <row r="32" spans="1:13" x14ac:dyDescent="0.25">
      <c r="A32" t="s">
        <v>16</v>
      </c>
      <c r="B32" s="5" t="s">
        <v>97</v>
      </c>
    </row>
    <row r="33" spans="1:13" x14ac:dyDescent="0.25">
      <c r="A33" t="s">
        <v>2</v>
      </c>
    </row>
    <row r="34" spans="1:13" x14ac:dyDescent="0.25">
      <c r="A34" t="s">
        <v>47</v>
      </c>
      <c r="B34" t="s">
        <v>104</v>
      </c>
    </row>
    <row r="35" spans="1:13" x14ac:dyDescent="0.25">
      <c r="A35" t="s">
        <v>5</v>
      </c>
      <c r="B35" s="2">
        <f>B27/B28</f>
        <v>1.4651162790658008</v>
      </c>
      <c r="C35" t="s">
        <v>6</v>
      </c>
    </row>
    <row r="36" spans="1:13" x14ac:dyDescent="0.25">
      <c r="A36" t="s">
        <v>100</v>
      </c>
      <c r="B36" t="s">
        <v>142</v>
      </c>
    </row>
    <row r="37" spans="1:13" x14ac:dyDescent="0.25">
      <c r="A37" t="s">
        <v>101</v>
      </c>
      <c r="B37" t="s">
        <v>181</v>
      </c>
    </row>
    <row r="38" spans="1:13" x14ac:dyDescent="0.25">
      <c r="A38" t="s">
        <v>11</v>
      </c>
      <c r="B38" t="s">
        <v>7</v>
      </c>
      <c r="C38" t="s">
        <v>8</v>
      </c>
      <c r="D38" t="s">
        <v>9</v>
      </c>
      <c r="E38" t="s">
        <v>10</v>
      </c>
      <c r="F38" t="s">
        <v>86</v>
      </c>
      <c r="G38" t="s">
        <v>87</v>
      </c>
      <c r="I38" t="s">
        <v>71</v>
      </c>
      <c r="J38" s="15" t="s">
        <v>69</v>
      </c>
      <c r="K38" s="2" t="s">
        <v>70</v>
      </c>
      <c r="L38" t="s">
        <v>72</v>
      </c>
      <c r="M38" t="s">
        <v>73</v>
      </c>
    </row>
    <row r="39" spans="1:13" x14ac:dyDescent="0.25">
      <c r="A39" t="s">
        <v>94</v>
      </c>
      <c r="B39" s="1">
        <v>43877.684965277775</v>
      </c>
      <c r="C39" s="1">
        <v>43877.695381944446</v>
      </c>
      <c r="D39" s="2">
        <f>MAX((C39-B39)*24,0)</f>
        <v>0.25000000011641532</v>
      </c>
      <c r="F39" s="42" t="s">
        <v>109</v>
      </c>
      <c r="G39" s="23" t="s">
        <v>110</v>
      </c>
      <c r="I39" t="s">
        <v>94</v>
      </c>
      <c r="J39" s="15">
        <v>0.05</v>
      </c>
      <c r="K39" s="2">
        <v>6.3</v>
      </c>
      <c r="L39" s="2" t="e">
        <f>#REF!</f>
        <v>#REF!</v>
      </c>
      <c r="M39" s="16" t="e">
        <f>Tabelle7367162840547214304465789210611813414816417819420822423825426828429831432834435837438840441816304661789210812213815216818219821222824225827216385065202857709217018621022638598810816818419821422824426028835638440442043646455256459861063264266261259[[#This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time]]/Tabelle7367162840547214304465789210611813414816417819420822423825426828429831432834435837438840441816304661789210812213815216818219821222824225827216385065202857709217018621022638598810816818419821422824426028835638440442043646455256459861063264266261259[[#This Row],[Total time]]</f>
        <v>#REF!</v>
      </c>
    </row>
    <row r="40" spans="1:13" x14ac:dyDescent="0.25">
      <c r="A40" t="s">
        <v>98</v>
      </c>
      <c r="B40" s="1">
        <v>43877.684976851851</v>
      </c>
      <c r="C40" s="1">
        <v>43877.695393518516</v>
      </c>
      <c r="D40" s="2">
        <f>MAX((C40-B40)*24,0)</f>
        <v>0.24999999994179234</v>
      </c>
      <c r="F40" s="42" t="s">
        <v>109</v>
      </c>
      <c r="G40" s="23" t="s">
        <v>110</v>
      </c>
      <c r="I40" t="s">
        <v>98</v>
      </c>
      <c r="J40" s="15">
        <v>0.2</v>
      </c>
      <c r="K40" s="2">
        <v>6.3</v>
      </c>
      <c r="L40" s="2" t="e">
        <f>#REF!</f>
        <v>#REF!</v>
      </c>
      <c r="M40" s="16" t="e">
        <f>Tabelle7367162840547214304465789210611813414816417819420822423825426828429831432834435837438840441816304661789210812213815216818219821222824225827216385065202857709217018621022638598810816818419821422824426028835638440442043646455256459861063264266261259[[#This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time]]/Tabelle7367162840547214304465789210611813414816417819420822423825426828429831432834435837438840441816304661789210812213815216818219821222824225827216385065202857709217018621022638598810816818419821422824426028835638440442043646455256459861063264266261259[[#This Row],[Total time]]</f>
        <v>#REF!</v>
      </c>
    </row>
    <row r="41" spans="1:13" x14ac:dyDescent="0.25">
      <c r="A41" t="s">
        <v>99</v>
      </c>
      <c r="B41" s="1">
        <v>43877.695393518516</v>
      </c>
      <c r="C41" s="1">
        <v>43877.695393518516</v>
      </c>
      <c r="D41" s="2">
        <f>MAX((C41-B41)*24,0)</f>
        <v>0</v>
      </c>
      <c r="F41" s="42" t="s">
        <v>109</v>
      </c>
      <c r="G41" s="23" t="s">
        <v>110</v>
      </c>
      <c r="I41" t="s">
        <v>99</v>
      </c>
      <c r="J41" s="15">
        <v>0.35</v>
      </c>
      <c r="K41" s="2">
        <v>6.3</v>
      </c>
      <c r="L41" s="2" t="e">
        <f>#REF!</f>
        <v>#REF!</v>
      </c>
      <c r="M41" s="16" t="e">
        <f>Tabelle7367162840547214304465789210611813414816417819420822423825426828429831432834435837438840441816304661789210812213815216818219821222824225827216385065202857709217018621022638598810816818419821422824426028835638440442043646455256459861063264266261259[[#This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time]]/Tabelle7367162840547214304465789210611813414816417819420822423825426828429831432834435837438840441816304661789210812213815216818219821222824225827216385065202857709217018621022638598810816818419821422824426028835638440442043646455256459861063264266261259[[#This Row],[Total time]]</f>
        <v>#REF!</v>
      </c>
    </row>
    <row r="42" spans="1:13" x14ac:dyDescent="0.25">
      <c r="I42" t="s">
        <v>102</v>
      </c>
      <c r="J42" s="15">
        <v>0.5</v>
      </c>
      <c r="K42" s="2">
        <v>6.3</v>
      </c>
      <c r="L42" s="2" t="e">
        <f>#REF!</f>
        <v>#REF!</v>
      </c>
      <c r="M42" s="16" t="e">
        <f>Tabelle7367162840547214304465789210611813414816417819420822423825426828429831432834435837438840441816304661789210812213815216818219821222824225827216385065202857709217018621022638598810816818419821422824426028835638440442043646455256459861063264266261259[[#This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time]]/Tabelle7367162840547214304465789210611813414816417819420822423825426828429831432834435837438840441816304661789210812213815216818219821222824225827216385065202857709217018621022638598810816818419821422824426028835638440442043646455256459861063264266261259[[#This Row],[Total time]]</f>
        <v>#REF!</v>
      </c>
    </row>
    <row r="43" spans="1:13" x14ac:dyDescent="0.25">
      <c r="I43" t="s">
        <v>103</v>
      </c>
      <c r="J43" s="15">
        <v>0.65</v>
      </c>
      <c r="K43" s="2">
        <v>6.3</v>
      </c>
      <c r="L43" s="2" t="e">
        <f>#REF!</f>
        <v>#REF!</v>
      </c>
      <c r="M43" s="16" t="e">
        <f>Tabelle7367162840547214304465789210611813414816417819420822423825426828429831432834435837438840441816304661789210812213815216818219821222824225827216385065202857709217018621022638598810816818419821422824426028835638440442043646455256459861063264266261259[[#This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time]]/Tabelle7367162840547214304465789210611813414816417819420822423825426828429831432834435837438840441816304661789210812213815216818219821222824225827216385065202857709217018621022638598810816818419821422824426028835638440442043646455256459861063264266261259[[#This Row],[Total time]]</f>
        <v>#REF!</v>
      </c>
    </row>
    <row r="44" spans="1:13" x14ac:dyDescent="0.25">
      <c r="I44" t="s">
        <v>118</v>
      </c>
      <c r="J44" s="15">
        <v>0.8</v>
      </c>
      <c r="K44" s="2">
        <v>6.3</v>
      </c>
      <c r="L44" s="2" t="e">
        <f>#REF!</f>
        <v>#REF!</v>
      </c>
      <c r="M44" s="16" t="e">
        <f>Tabelle7367162840547214304465789210611813414816417819420822423825426828429831432834435837438840441816304661789210812213815216818219821222824225827216385065202857709217018621022638598810816818419821422824426028835638440442043646455256459861063264266261259[[#This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time]]/Tabelle7367162840547214304465789210611813414816417819420822423825426828429831432834435837438840441816304661789210812213815216818219821222824225827216385065202857709217018621022638598810816818419821422824426028835638440442043646455256459861063264266261259[[#This Row],[Total time]]</f>
        <v>#REF!</v>
      </c>
    </row>
    <row r="45" spans="1:13" x14ac:dyDescent="0.25">
      <c r="I45" t="s">
        <v>119</v>
      </c>
      <c r="J45" s="15">
        <v>0.95</v>
      </c>
      <c r="K45" s="2">
        <v>6.3</v>
      </c>
      <c r="L45" s="2" t="e">
        <f>#REF!</f>
        <v>#REF!</v>
      </c>
      <c r="M45" s="16" t="e">
        <f>Tabelle7367162840547214304465789210611813414816417819420822423825426828429831432834435837438840441816304661789210812213815216818219821222824225827216385065202857709217018621022638598810816818419821422824426028835638440442043646455256459861063264266261259[[#This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time]]/Tabelle7367162840547214304465789210611813414816417819420822423825426828429831432834435837438840441816304661789210812213815216818219821222824225827216385065202857709217018621022638598810816818419821422824426028835638440442043646455256459861063264266261259[[#This Row],[Total time]]</f>
        <v>#REF!</v>
      </c>
    </row>
  </sheetData>
  <hyperlinks>
    <hyperlink ref="A2" location="Planning!A1" display="Go back to 'Planning' sheet" xr:uid="{D9F4E8F6-6137-42CB-BE8F-57355CA97173}"/>
    <hyperlink ref="F16" location="$F$15" display="$F$15" xr:uid="{D9BB2433-EB06-4C35-88A3-104C9BB2A4A7}"/>
    <hyperlink ref="G16" location="$G$15" display="$G$15" xr:uid="{DBAD2E1D-2493-4742-957B-F45B6FF01228}"/>
    <hyperlink ref="F17" location="$F$16" display="$F$16" xr:uid="{8E527EB5-B54A-4001-80E9-7A6B56DA8066}"/>
    <hyperlink ref="G17" location="$G$16" display="$G$16" xr:uid="{541A1CD8-E182-4EA5-92F1-AB0E1D181F6F}"/>
    <hyperlink ref="A25" location="Planning!A1" display="Go back to 'Planning' sheet" xr:uid="{0C7FD774-5D50-42E6-8A3A-FB96A3202D5A}"/>
    <hyperlink ref="F39" location="$F$15" display="$F$15" xr:uid="{BA896AA3-9FAB-4B84-8E89-D5B049FFE61A}"/>
    <hyperlink ref="G39" location="$G$15" display="$G$15" xr:uid="{0C3ECFAC-4AF1-4434-A4CF-3423C9093F54}"/>
    <hyperlink ref="F40" location="$F$16" display="$F$16" xr:uid="{5302C07C-950D-4BC3-B6F1-09D8E5EC10F4}"/>
    <hyperlink ref="G40" location="$G$16" display="$G$16" xr:uid="{7B04D8DF-1F47-400D-976D-38933B48B2FE}"/>
    <hyperlink ref="F41" location="$F$17" display="$F$17" xr:uid="{767EDBEE-7A28-4AB6-84B3-0BE7B32900EE}"/>
    <hyperlink ref="G41" location="$G$17" display="$G$17" xr:uid="{764CB3CE-BA61-4DA9-BFF9-486890B21007}"/>
  </hyperlinks>
  <pageMargins left="0.7" right="0.7" top="0.78740157499999996" bottom="0.78740157499999996" header="0.3" footer="0.3"/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V39"/>
  <sheetViews>
    <sheetView tabSelected="1" topLeftCell="B1" zoomScaleNormal="100" workbookViewId="0">
      <selection activeCell="E15" sqref="E15"/>
    </sheetView>
  </sheetViews>
  <sheetFormatPr baseColWidth="10" defaultColWidth="11.42578125" defaultRowHeight="15" outlineLevelCol="1" x14ac:dyDescent="0.25"/>
  <cols>
    <col min="1" max="1" width="10.42578125" style="6" hidden="1" customWidth="1" outlineLevel="1"/>
    <col min="2" max="2" width="13.5703125" style="39" bestFit="1" customWidth="1" collapsed="1"/>
    <col min="3" max="3" width="32.140625" style="9" customWidth="1"/>
    <col min="4" max="4" width="25.7109375" style="9" customWidth="1"/>
    <col min="6" max="6" width="9.28515625" style="7" customWidth="1"/>
    <col min="7" max="7" width="11.42578125" style="7" bestFit="1" customWidth="1"/>
    <col min="8" max="8" width="13" style="7" bestFit="1" customWidth="1"/>
    <col min="9" max="10" width="20.42578125" style="10" bestFit="1" customWidth="1"/>
    <col min="11" max="11" width="15.7109375" style="6" hidden="1" customWidth="1" outlineLevel="1"/>
    <col min="12" max="12" width="15" style="10" hidden="1" customWidth="1" outlineLevel="1"/>
    <col min="13" max="13" width="15.7109375" style="10" hidden="1" customWidth="1" outlineLevel="1"/>
    <col min="14" max="14" width="15.7109375" style="39" customWidth="1" collapsed="1"/>
    <col min="15" max="15" width="13.5703125" customWidth="1" outlineLevel="1"/>
    <col min="16" max="16" width="11.42578125" customWidth="1" outlineLevel="1"/>
    <col min="17" max="17" width="20.28515625" style="6" customWidth="1" outlineLevel="1"/>
    <col min="18" max="18" width="15.7109375" style="39" customWidth="1"/>
    <col min="19" max="19" width="9.85546875" customWidth="1"/>
    <col min="20" max="20" width="15.85546875" customWidth="1"/>
    <col min="21" max="21" width="3.7109375" style="3" customWidth="1"/>
  </cols>
  <sheetData>
    <row r="1" spans="1:22" ht="65.25" customHeight="1" x14ac:dyDescent="0.25">
      <c r="A1" s="3"/>
      <c r="C1" s="8"/>
      <c r="D1" s="8"/>
      <c r="E1" s="19"/>
      <c r="F1" s="19"/>
      <c r="G1" s="19"/>
      <c r="H1" s="10"/>
      <c r="K1" s="3"/>
      <c r="O1" s="3"/>
      <c r="P1" s="3"/>
      <c r="Q1"/>
      <c r="U1"/>
    </row>
    <row r="2" spans="1:22" x14ac:dyDescent="0.25">
      <c r="A2" s="8"/>
      <c r="C2" s="8"/>
      <c r="D2" s="8"/>
      <c r="E2" s="8"/>
      <c r="F2" s="8"/>
      <c r="G2" s="8"/>
      <c r="H2" s="8"/>
      <c r="I2" s="8"/>
      <c r="J2" s="8"/>
      <c r="K2" s="8"/>
      <c r="L2" s="38" t="s">
        <v>78</v>
      </c>
      <c r="M2" s="38" t="s">
        <v>78</v>
      </c>
      <c r="O2" s="8"/>
      <c r="P2" s="8"/>
      <c r="Q2" s="8"/>
      <c r="U2"/>
    </row>
    <row r="3" spans="1:22" x14ac:dyDescent="0.25">
      <c r="A3" s="6" t="s">
        <v>12</v>
      </c>
      <c r="B3" s="39" t="s">
        <v>10</v>
      </c>
      <c r="C3" s="9" t="s">
        <v>3</v>
      </c>
      <c r="D3" s="9" t="s">
        <v>2</v>
      </c>
      <c r="E3" s="7" t="s">
        <v>22</v>
      </c>
      <c r="F3" s="7" t="s">
        <v>23</v>
      </c>
      <c r="G3" s="7" t="s">
        <v>24</v>
      </c>
      <c r="H3" s="10" t="s">
        <v>1</v>
      </c>
      <c r="I3" s="10" t="s">
        <v>79</v>
      </c>
      <c r="J3" s="18" t="s">
        <v>72</v>
      </c>
      <c r="K3" t="s">
        <v>16</v>
      </c>
      <c r="L3" s="7" t="s">
        <v>83</v>
      </c>
      <c r="M3" s="7" t="s">
        <v>77</v>
      </c>
      <c r="N3" s="39" t="s">
        <v>14</v>
      </c>
      <c r="O3" s="6" t="s">
        <v>15</v>
      </c>
      <c r="P3" t="s">
        <v>13</v>
      </c>
      <c r="Q3" t="s">
        <v>47</v>
      </c>
      <c r="U3"/>
    </row>
    <row r="4" spans="1:22" x14ac:dyDescent="0.25">
      <c r="A4" s="24" t="s">
        <v>103</v>
      </c>
      <c r="B4" s="36"/>
      <c r="C4" s="23" t="s">
        <v>108</v>
      </c>
      <c r="D4" s="23" t="s">
        <v>190</v>
      </c>
      <c r="E4" s="24" t="s">
        <v>138</v>
      </c>
      <c r="F4" s="24"/>
      <c r="G4" s="24" t="s">
        <v>139</v>
      </c>
      <c r="H4" s="24" t="s">
        <v>111</v>
      </c>
      <c r="I4" s="25">
        <v>5</v>
      </c>
      <c r="J4" s="25">
        <v>0.50000000005820799</v>
      </c>
      <c r="K4" s="26">
        <v>43876.756701388891</v>
      </c>
      <c r="L4" s="25" t="s">
        <v>97</v>
      </c>
      <c r="M4" s="26" t="s">
        <v>97</v>
      </c>
      <c r="N4" s="36"/>
      <c r="O4" s="24" t="s">
        <v>19</v>
      </c>
      <c r="P4" s="24" t="s">
        <v>97</v>
      </c>
      <c r="Q4" s="24" t="s">
        <v>107</v>
      </c>
      <c r="U4"/>
    </row>
    <row r="5" spans="1:22" x14ac:dyDescent="0.25">
      <c r="A5" s="24" t="s">
        <v>94</v>
      </c>
      <c r="B5" s="36"/>
      <c r="C5" s="23" t="s">
        <v>105</v>
      </c>
      <c r="D5" s="23"/>
      <c r="E5" s="24"/>
      <c r="F5" s="24"/>
      <c r="G5" s="24" t="s">
        <v>140</v>
      </c>
      <c r="H5" s="24" t="s">
        <v>132</v>
      </c>
      <c r="I5" s="25">
        <v>63</v>
      </c>
      <c r="J5" s="25">
        <v>0.50000000005820799</v>
      </c>
      <c r="K5" s="26" t="s">
        <v>97</v>
      </c>
      <c r="L5" s="25">
        <v>0.32200000000000001</v>
      </c>
      <c r="M5" s="26">
        <v>43878.346747685187</v>
      </c>
      <c r="N5" s="36"/>
      <c r="O5" s="24" t="s">
        <v>19</v>
      </c>
      <c r="P5" s="24">
        <v>4</v>
      </c>
      <c r="Q5" s="24" t="s">
        <v>104</v>
      </c>
      <c r="U5"/>
    </row>
    <row r="6" spans="1:22" x14ac:dyDescent="0.25">
      <c r="A6" s="40" t="s">
        <v>129</v>
      </c>
      <c r="B6" s="36"/>
      <c r="C6" s="23" t="s">
        <v>134</v>
      </c>
      <c r="D6" s="23" t="s">
        <v>192</v>
      </c>
      <c r="E6" s="24"/>
      <c r="F6" s="40" t="s">
        <v>137</v>
      </c>
      <c r="G6" s="40" t="s">
        <v>140</v>
      </c>
      <c r="H6" s="40" t="s">
        <v>132</v>
      </c>
      <c r="I6" s="41">
        <v>0.25</v>
      </c>
      <c r="J6" s="41">
        <v>2.5002777776098801</v>
      </c>
      <c r="K6" s="40" t="s">
        <v>97</v>
      </c>
      <c r="L6" s="41">
        <v>2.5000000000000001E-2</v>
      </c>
      <c r="M6" s="43">
        <v>43878.334374999999</v>
      </c>
      <c r="N6" s="36"/>
      <c r="O6" s="40" t="s">
        <v>19</v>
      </c>
      <c r="P6" s="40">
        <v>3</v>
      </c>
      <c r="Q6" s="40" t="s">
        <v>133</v>
      </c>
      <c r="U6"/>
    </row>
    <row r="7" spans="1:22" x14ac:dyDescent="0.25">
      <c r="A7" s="40" t="s">
        <v>130</v>
      </c>
      <c r="B7" s="36"/>
      <c r="C7" s="23" t="s">
        <v>136</v>
      </c>
      <c r="D7" s="23"/>
      <c r="E7" s="24"/>
      <c r="F7" s="40" t="s">
        <v>137</v>
      </c>
      <c r="G7" s="40" t="s">
        <v>140</v>
      </c>
      <c r="H7" s="40" t="s">
        <v>95</v>
      </c>
      <c r="I7" s="41">
        <v>5</v>
      </c>
      <c r="J7" s="41">
        <v>0</v>
      </c>
      <c r="K7" s="40" t="s">
        <v>97</v>
      </c>
      <c r="L7" s="41" t="s">
        <v>97</v>
      </c>
      <c r="M7" s="43" t="s">
        <v>97</v>
      </c>
      <c r="N7" s="36"/>
      <c r="O7" s="40" t="s">
        <v>19</v>
      </c>
      <c r="P7" s="40">
        <v>2</v>
      </c>
      <c r="Q7" s="40" t="s">
        <v>135</v>
      </c>
      <c r="U7"/>
    </row>
    <row r="8" spans="1:22" x14ac:dyDescent="0.25">
      <c r="A8" s="24" t="s">
        <v>102</v>
      </c>
      <c r="B8" s="36"/>
      <c r="C8" s="23" t="s">
        <v>191</v>
      </c>
      <c r="D8" s="23"/>
      <c r="E8" s="24"/>
      <c r="F8" s="24"/>
      <c r="G8" s="24" t="s">
        <v>141</v>
      </c>
      <c r="H8" s="24" t="s">
        <v>95</v>
      </c>
      <c r="I8" s="25">
        <v>2</v>
      </c>
      <c r="J8" s="25">
        <v>0</v>
      </c>
      <c r="K8" s="26" t="s">
        <v>97</v>
      </c>
      <c r="L8" s="25">
        <v>0.222</v>
      </c>
      <c r="M8" s="26">
        <v>43878.342581018522</v>
      </c>
      <c r="N8" s="36"/>
      <c r="O8" s="24" t="s">
        <v>19</v>
      </c>
      <c r="P8" s="24">
        <v>1</v>
      </c>
      <c r="Q8" s="24" t="s">
        <v>106</v>
      </c>
      <c r="U8"/>
    </row>
    <row r="9" spans="1:22" x14ac:dyDescent="0.25">
      <c r="A9" s="24"/>
      <c r="B9" s="36"/>
      <c r="C9" s="23"/>
      <c r="D9" s="23"/>
      <c r="F9" s="24"/>
      <c r="G9" s="24"/>
      <c r="H9" s="24"/>
      <c r="I9" s="24"/>
      <c r="J9" s="25"/>
      <c r="K9" s="24"/>
      <c r="L9" s="25"/>
      <c r="M9" s="25"/>
      <c r="N9" s="37"/>
      <c r="Q9" s="24"/>
      <c r="U9"/>
    </row>
    <row r="10" spans="1:22" x14ac:dyDescent="0.25">
      <c r="A10" s="24"/>
      <c r="B10" s="36"/>
      <c r="C10" s="23"/>
      <c r="D10" s="23" t="s">
        <v>144</v>
      </c>
      <c r="F10" s="24"/>
      <c r="G10" s="24"/>
      <c r="H10" s="24"/>
      <c r="I10" s="24"/>
      <c r="J10" s="25"/>
      <c r="K10" s="24"/>
      <c r="L10" s="25"/>
      <c r="M10" s="25"/>
      <c r="N10" s="37"/>
      <c r="Q10" s="24"/>
      <c r="R10" s="37"/>
      <c r="S10" s="24"/>
      <c r="T10" s="24"/>
    </row>
    <row r="11" spans="1:22" x14ac:dyDescent="0.25">
      <c r="R11" s="37"/>
      <c r="S11" s="24"/>
      <c r="T11" s="24"/>
      <c r="V11" s="8"/>
    </row>
    <row r="15" spans="1:22" x14ac:dyDescent="0.25">
      <c r="C15" s="11"/>
    </row>
    <row r="39" spans="22:22" x14ac:dyDescent="0.25">
      <c r="V39" t="s">
        <v>88</v>
      </c>
    </row>
  </sheetData>
  <dataConsolidate/>
  <conditionalFormatting sqref="B1 B3:B1048576">
    <cfRule type="containsText" dxfId="78" priority="6" operator="containsText" text="&lt;current">
      <formula>NOT(ISERROR(SEARCH("&lt;current",B1)))</formula>
    </cfRule>
  </conditionalFormatting>
  <conditionalFormatting sqref="N1:O1 H1:K1 H3:I3 L1:M3 I9:M10 Q11:Q1048576 I11:N1048576 J3:K4 N3:O8 H4:L8">
    <cfRule type="containsText" dxfId="77" priority="7" operator="containsText" text="Done">
      <formula>NOT(ISERROR(SEARCH("Done",H1)))</formula>
    </cfRule>
    <cfRule type="containsText" dxfId="76" priority="8" operator="containsText" text="In progress">
      <formula>NOT(ISERROR(SEARCH("In progress",H1)))</formula>
    </cfRule>
    <cfRule type="containsText" dxfId="75" priority="9" operator="containsText" text="To do">
      <formula>NOT(ISERROR(SEARCH("To do",H1)))</formula>
    </cfRule>
  </conditionalFormatting>
  <conditionalFormatting sqref="H4:H8">
    <cfRule type="containsText" dxfId="74" priority="1" operator="containsText" text="Note">
      <formula>NOT(ISERROR(SEARCH("Note",H4)))</formula>
    </cfRule>
  </conditionalFormatting>
  <conditionalFormatting sqref="S10:S1048576 P1 P3:P8">
    <cfRule type="colorScale" priority="1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L2" xr:uid="{97887939-3BEB-4208-B392-81AF3EE745BF}">
      <formula1>"cumulative, single"</formula1>
    </dataValidation>
    <dataValidation type="list" allowBlank="1" showInputMessage="1" showErrorMessage="1" sqref="M2" xr:uid="{AE25932B-CEE6-4C5E-83FE-7FE3F6CE570D}">
      <formula1>"cumulative,single"</formula1>
    </dataValidation>
    <dataValidation type="list" allowBlank="1" showInputMessage="1" showErrorMessage="1" sqref="H4:H8" xr:uid="{6C3476F0-112C-4267-BE3C-B2374FE0AF43}">
      <formula1>"Note,To do,In progress,Done"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O4:O8" xr:uid="{5BC6DE82-994E-4984-9BFB-1292C1A6B6C3}">
      <formula1>"Me,Me3"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:E8" xr:uid="{73F6C7BA-14B7-4C80-8AF7-5958FC9ED5A8}">
      <formula1>"important"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:F8" xr:uid="{44D7C114-5165-4862-AB66-340113071D6E}">
      <formula1>"fruit"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:G8" xr:uid="{E7E21262-DCF3-4A7F-A69D-82B780140A2F}">
      <formula1>"preparation,food,non food"</formula1>
    </dataValidation>
  </dataValidations>
  <hyperlinks>
    <hyperlink ref="C5" location="Planning!A1" display="Planning!A1" xr:uid="{E7E9EB20-9A6A-43A4-85F6-0260588D6383}"/>
    <hyperlink ref="C8" location="Planning!A1" display="Planning!A1" xr:uid="{8CFA1261-F85D-4859-A4DC-8DA15B465660}"/>
    <hyperlink ref="C4" location="Planning!A1" display="Planning!A1" xr:uid="{FB1E17D5-9329-412C-A215-AF443F84EE83}"/>
    <hyperlink ref="C6" location="Planning!A1" display="Planning!A1" xr:uid="{792735B3-7EC6-456B-AA74-6C5BB7D23AF3}"/>
    <hyperlink ref="C7" location="Planning!A1" display="Planning!A1" xr:uid="{9954AE94-97D8-47F5-8117-5885CDB8BC98}"/>
  </hyperlink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1</xdr:col>
                    <xdr:colOff>76200</xdr:colOff>
                    <xdr:row>0</xdr:row>
                    <xdr:rowOff>85725</xdr:rowOff>
                  </from>
                  <to>
                    <xdr:col>2</xdr:col>
                    <xdr:colOff>609600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104775</xdr:colOff>
                    <xdr:row>0</xdr:row>
                    <xdr:rowOff>85725</xdr:rowOff>
                  </from>
                  <to>
                    <xdr:col>6</xdr:col>
                    <xdr:colOff>161925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3</xdr:col>
                    <xdr:colOff>333375</xdr:colOff>
                    <xdr:row>0</xdr:row>
                    <xdr:rowOff>352425</xdr:rowOff>
                  </from>
                  <to>
                    <xdr:col>4</xdr:col>
                    <xdr:colOff>57150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3</xdr:col>
                    <xdr:colOff>333375</xdr:colOff>
                    <xdr:row>0</xdr:row>
                    <xdr:rowOff>85725</xdr:rowOff>
                  </from>
                  <to>
                    <xdr:col>4</xdr:col>
                    <xdr:colOff>57150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695325</xdr:colOff>
                    <xdr:row>0</xdr:row>
                    <xdr:rowOff>561975</xdr:rowOff>
                  </from>
                  <to>
                    <xdr:col>2</xdr:col>
                    <xdr:colOff>2133600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704850</xdr:colOff>
                    <xdr:row>0</xdr:row>
                    <xdr:rowOff>85725</xdr:rowOff>
                  </from>
                  <to>
                    <xdr:col>3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200025</xdr:colOff>
                    <xdr:row>0</xdr:row>
                    <xdr:rowOff>76200</xdr:rowOff>
                  </from>
                  <to>
                    <xdr:col>8</xdr:col>
                    <xdr:colOff>9525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200025</xdr:colOff>
                    <xdr:row>0</xdr:row>
                    <xdr:rowOff>333375</xdr:rowOff>
                  </from>
                  <to>
                    <xdr:col>8</xdr:col>
                    <xdr:colOff>9525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8</xdr:col>
                    <xdr:colOff>66675</xdr:colOff>
                    <xdr:row>0</xdr:row>
                    <xdr:rowOff>66675</xdr:rowOff>
                  </from>
                  <to>
                    <xdr:col>9</xdr:col>
                    <xdr:colOff>781050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8</xdr:col>
                    <xdr:colOff>66675</xdr:colOff>
                    <xdr:row>0</xdr:row>
                    <xdr:rowOff>333375</xdr:rowOff>
                  </from>
                  <to>
                    <xdr:col>9</xdr:col>
                    <xdr:colOff>781050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104775</xdr:colOff>
                    <xdr:row>0</xdr:row>
                    <xdr:rowOff>352425</xdr:rowOff>
                  </from>
                  <to>
                    <xdr:col>6</xdr:col>
                    <xdr:colOff>161925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200025</xdr:colOff>
                    <xdr:row>0</xdr:row>
                    <xdr:rowOff>590550</xdr:rowOff>
                  </from>
                  <to>
                    <xdr:col>8</xdr:col>
                    <xdr:colOff>9525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9DF77-95E7-4AED-9DBE-4FF8F2C08BD5}">
  <sheetPr codeName="TaskSheetTemplate1"/>
  <dimension ref="A1:M21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136</v>
      </c>
    </row>
    <row r="3" spans="1:13" x14ac:dyDescent="0.25">
      <c r="A3" t="s">
        <v>79</v>
      </c>
      <c r="B3" s="2">
        <v>5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97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95</v>
      </c>
    </row>
    <row r="8" spans="1:13" x14ac:dyDescent="0.25">
      <c r="A8" t="s">
        <v>16</v>
      </c>
      <c r="B8" s="5" t="s">
        <v>97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135</v>
      </c>
    </row>
    <row r="11" spans="1:13" x14ac:dyDescent="0.25">
      <c r="A11" t="s">
        <v>5</v>
      </c>
      <c r="B11" s="2" t="e">
        <f>B3/B4</f>
        <v>#DIV/0!</v>
      </c>
      <c r="C11" t="s">
        <v>6</v>
      </c>
    </row>
    <row r="12" spans="1:13" x14ac:dyDescent="0.25">
      <c r="A12" t="s">
        <v>100</v>
      </c>
      <c r="B12" t="s">
        <v>145</v>
      </c>
    </row>
    <row r="13" spans="1:13" x14ac:dyDescent="0.25">
      <c r="A13" t="s">
        <v>101</v>
      </c>
      <c r="B13" t="s">
        <v>193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/>
      <c r="G15" s="23"/>
      <c r="I15" t="s">
        <v>94</v>
      </c>
      <c r="J15" s="15">
        <v>0.05</v>
      </c>
      <c r="K15" s="2">
        <v>0.5</v>
      </c>
      <c r="L15" s="2" t="e">
        <f>#REF!</f>
        <v>#REF!</v>
      </c>
      <c r="M15" s="16" t="e">
        <f>Tabelle7367720325068926426176881041141321441621741922042222342522642822943123243423543723844024141426445776881061181361481661781962082262382562681426447022406182961781902002222322425063100112176188206218236248272292368388412424448468496498570604620631265[[#This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time]]/Tabelle7367720325068926426176881041141321441621741922042222342522642822943123243423543723844024141426445776881061181361481661781962082262382562681426447022406182961781902002222322425063100112176188206218236248272292368388412424448468496498570604620631265[[#This Row],[Total time]]</f>
        <v>#REF!</v>
      </c>
    </row>
    <row r="16" spans="1:13" x14ac:dyDescent="0.25">
      <c r="B16" s="1"/>
      <c r="C16" s="1"/>
      <c r="D16" s="2"/>
      <c r="G16" s="23"/>
      <c r="I16" t="s">
        <v>98</v>
      </c>
      <c r="J16" s="15">
        <v>0.2</v>
      </c>
      <c r="K16" s="2">
        <v>0.5</v>
      </c>
      <c r="L16" s="2" t="e">
        <f>#REF!</f>
        <v>#REF!</v>
      </c>
      <c r="M16" s="16" t="e">
        <f>Tabelle7367720325068926426176881041141321441621741922042222342522642822943123243423543723844024141426445776881061181361481661781962082262382562681426447022406182961781902002222322425063100112176188206218236248272292368388412424448468496498570604620631265[[#This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time]]/Tabelle7367720325068926426176881041141321441621741922042222342522642822943123243423543723844024141426445776881061181361481661781962082262382562681426447022406182961781902002222322425063100112176188206218236248272292368388412424448468496498570604620631265[[#This Row],[Total time]]</f>
        <v>#REF!</v>
      </c>
    </row>
    <row r="17" spans="9:13" x14ac:dyDescent="0.25">
      <c r="I17" t="s">
        <v>99</v>
      </c>
      <c r="J17" s="15">
        <v>0.35</v>
      </c>
      <c r="K17" s="2">
        <v>0.5</v>
      </c>
      <c r="L17" s="2" t="e">
        <f>#REF!</f>
        <v>#REF!</v>
      </c>
      <c r="M17" s="16" t="e">
        <f>Tabelle7367720325068926426176881041141321441621741922042222342522642822943123243423543723844024141426445776881061181361481661781962082262382562681426447022406182961781902002222322425063100112176188206218236248272292368388412424448468496498570604620631265[[#This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time]]/Tabelle7367720325068926426176881041141321441621741922042222342522642822943123243423543723844024141426445776881061181361481661781962082262382562681426447022406182961781902002222322425063100112176188206218236248272292368388412424448468496498570604620631265[[#This Row],[Total time]]</f>
        <v>#REF!</v>
      </c>
    </row>
    <row r="18" spans="9:13" x14ac:dyDescent="0.25">
      <c r="I18" t="s">
        <v>102</v>
      </c>
      <c r="J18" s="15">
        <v>0.5</v>
      </c>
      <c r="K18" s="2">
        <v>0.5</v>
      </c>
      <c r="L18" s="2" t="e">
        <f>#REF!</f>
        <v>#REF!</v>
      </c>
      <c r="M18" s="16" t="e">
        <f>Tabelle7367720325068926426176881041141321441621741922042222342522642822943123243423543723844024141426445776881061181361481661781962082262382562681426447022406182961781902002222322425063100112176188206218236248272292368388412424448468496498570604620631265[[#This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time]]/Tabelle7367720325068926426176881041141321441621741922042222342522642822943123243423543723844024141426445776881061181361481661781962082262382562681426447022406182961781902002222322425063100112176188206218236248272292368388412424448468496498570604620631265[[#This Row],[Total time]]</f>
        <v>#REF!</v>
      </c>
    </row>
    <row r="19" spans="9:13" x14ac:dyDescent="0.25">
      <c r="I19" t="s">
        <v>103</v>
      </c>
      <c r="J19" s="15">
        <v>0.65</v>
      </c>
      <c r="K19" s="2">
        <v>0.5</v>
      </c>
      <c r="L19" s="2" t="e">
        <f>#REF!</f>
        <v>#REF!</v>
      </c>
      <c r="M19" s="16" t="e">
        <f>Tabelle7367720325068926426176881041141321441621741922042222342522642822943123243423543723844024141426445776881061181361481661781962082262382562681426447022406182961781902002222322425063100112176188206218236248272292368388412424448468496498570604620631265[[#This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time]]/Tabelle7367720325068926426176881041141321441621741922042222342522642822943123243423543723844024141426445776881061181361481661781962082262382562681426447022406182961781902002222322425063100112176188206218236248272292368388412424448468496498570604620631265[[#This Row],[Total time]]</f>
        <v>#REF!</v>
      </c>
    </row>
    <row r="20" spans="9:13" x14ac:dyDescent="0.25">
      <c r="I20" t="s">
        <v>118</v>
      </c>
      <c r="J20" s="15">
        <v>0.8</v>
      </c>
      <c r="K20" s="2">
        <v>0.5</v>
      </c>
      <c r="L20" s="2" t="e">
        <f>#REF!</f>
        <v>#REF!</v>
      </c>
      <c r="M20" s="16" t="e">
        <f>Tabelle7367720325068926426176881041141321441621741922042222342522642822943123243423543723844024141426445776881061181361481661781962082262382562681426447022406182961781902002222322425063100112176188206218236248272292368388412424448468496498570604620631265[[#This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time]]/Tabelle7367720325068926426176881041141321441621741922042222342522642822943123243423543723844024141426445776881061181361481661781962082262382562681426447022406182961781902002222322425063100112176188206218236248272292368388412424448468496498570604620631265[[#This Row],[Total time]]</f>
        <v>#REF!</v>
      </c>
    </row>
    <row r="21" spans="9:13" x14ac:dyDescent="0.25">
      <c r="I21" t="s">
        <v>119</v>
      </c>
      <c r="J21" s="15">
        <v>0.95</v>
      </c>
      <c r="K21" s="2">
        <v>0.5</v>
      </c>
      <c r="L21" s="2" t="e">
        <f>#REF!</f>
        <v>#REF!</v>
      </c>
      <c r="M21" s="16" t="e">
        <f>Tabelle7367720325068926426176881041141321441621741922042222342522642822943123243423543723844024141426445776881061181361481661781962082262382562681426447022406182961781902002222322425063100112176188206218236248272292368388412424448468496498570604620631265[[#This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time]]/Tabelle7367720325068926426176881041141321441621741922042222342522642822943123243423543723844024141426445776881061181361481661781962082262382562681426447022406182961781902002222322425063100112176188206218236248272292368388412424448468496498570604620631265[[#This Row],[Total time]]</f>
        <v>#REF!</v>
      </c>
    </row>
  </sheetData>
  <dataConsolidate/>
  <hyperlinks>
    <hyperlink ref="A1" location="Planning!A1" display="Go back to 'Planning' sheet" xr:uid="{C1AD6C02-4959-471F-956C-4D477115A900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4B144-21F1-4204-B010-02111F002E8B}">
  <sheetPr codeName="TaskSheetTemplate2"/>
  <dimension ref="A1:M21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191</v>
      </c>
    </row>
    <row r="3" spans="1:13" x14ac:dyDescent="0.25">
      <c r="A3" t="s">
        <v>79</v>
      </c>
      <c r="B3" s="2">
        <v>2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97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95</v>
      </c>
    </row>
    <row r="8" spans="1:13" x14ac:dyDescent="0.25">
      <c r="A8" t="s">
        <v>16</v>
      </c>
      <c r="B8" s="5" t="s">
        <v>97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106</v>
      </c>
    </row>
    <row r="11" spans="1:13" x14ac:dyDescent="0.25">
      <c r="A11" t="s">
        <v>5</v>
      </c>
      <c r="B11" s="2" t="e">
        <f>B3/B4</f>
        <v>#DIV/0!</v>
      </c>
      <c r="C11" t="s">
        <v>6</v>
      </c>
    </row>
    <row r="12" spans="1:13" x14ac:dyDescent="0.25">
      <c r="A12" t="s">
        <v>100</v>
      </c>
      <c r="B12" t="s">
        <v>142</v>
      </c>
    </row>
    <row r="13" spans="1:13" x14ac:dyDescent="0.25">
      <c r="A13" t="s">
        <v>101</v>
      </c>
      <c r="B13" t="s">
        <v>143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/>
      <c r="G15" s="23"/>
      <c r="I15" t="s">
        <v>94</v>
      </c>
      <c r="J15" s="15">
        <v>0.05</v>
      </c>
      <c r="K15" s="2">
        <v>0.2</v>
      </c>
      <c r="L15" s="2" t="e">
        <f>#REF!</f>
        <v>#REF!</v>
      </c>
      <c r="M15" s="16" t="e">
        <f>Tabelle7367142448598018384852728410212613815616818619821622824625827628830631833634836637839640842620385070821001121301421601721902022202322502622802034486118466388981821921962202382442854681041161361801902102202402502782943743904164264544705105285741270[[#This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time]]/Tabelle7367142448598018384852728410212613815616818619821622824625827628830631833634836637839640842620385070821001121301421601721902022202322502622802034486118466388981821921962202382442854681041161361801902102202402502782943743904164264544705105285741270[[#This Row],[Total time]]</f>
        <v>#REF!</v>
      </c>
    </row>
    <row r="16" spans="1:13" x14ac:dyDescent="0.25">
      <c r="B16" s="1"/>
      <c r="C16" s="1"/>
      <c r="D16" s="2"/>
      <c r="G16" s="23"/>
      <c r="I16" t="s">
        <v>98</v>
      </c>
      <c r="J16" s="15">
        <v>0.2</v>
      </c>
      <c r="K16" s="2">
        <v>0.2</v>
      </c>
      <c r="L16" s="2" t="e">
        <f>#REF!</f>
        <v>#REF!</v>
      </c>
      <c r="M16" s="16" t="e">
        <f>Tabelle7367142448598018384852728410212613815616818619821622824625827628830631833634836637839640842620385070821001121301421601721902022202322502622802034486118466388981821921962202382442854681041161361801902102202402502782943743904164264544705105285741270[[#This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time]]/Tabelle7367142448598018384852728410212613815616818619821622824625827628830631833634836637839640842620385070821001121301421601721902022202322502622802034486118466388981821921962202382442854681041161361801902102202402502782943743904164264544705105285741270[[#This Row],[Total time]]</f>
        <v>#REF!</v>
      </c>
    </row>
    <row r="17" spans="2:13" x14ac:dyDescent="0.25">
      <c r="B17" s="1"/>
      <c r="C17" s="1"/>
      <c r="D17" s="2"/>
      <c r="G17" s="23"/>
      <c r="I17" t="s">
        <v>99</v>
      </c>
      <c r="J17" s="15">
        <v>0.35</v>
      </c>
      <c r="K17" s="2">
        <v>0.2</v>
      </c>
      <c r="L17" s="2" t="e">
        <f>#REF!</f>
        <v>#REF!</v>
      </c>
      <c r="M17" s="16" t="e">
        <f>Tabelle7367142448598018384852728410212613815616818619821622824625827628830631833634836637839640842620385070821001121301421601721902022202322502622802034486118466388981821921962202382442854681041161361801902102202402502782943743904164264544705105285741270[[#This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time]]/Tabelle7367142448598018384852728410212613815616818619821622824625827628830631833634836637839640842620385070821001121301421601721902022202322502622802034486118466388981821921962202382442854681041161361801902102202402502782943743904164264544705105285741270[[#This Row],[Total time]]</f>
        <v>#REF!</v>
      </c>
    </row>
    <row r="18" spans="2:13" x14ac:dyDescent="0.25">
      <c r="B18" s="1"/>
      <c r="C18" s="1"/>
      <c r="D18" s="2"/>
      <c r="G18" s="23"/>
      <c r="I18" t="s">
        <v>102</v>
      </c>
      <c r="J18" s="15">
        <v>0.5</v>
      </c>
      <c r="K18" s="2">
        <v>0.2</v>
      </c>
      <c r="L18" s="2" t="e">
        <f>#REF!</f>
        <v>#REF!</v>
      </c>
      <c r="M18" s="16" t="e">
        <f>Tabelle7367142448598018384852728410212613815616818619821622824625827628830631833634836637839640842620385070821001121301421601721902022202322502622802034486118466388981821921962202382442854681041161361801902102202402502782943743904164264544705105285741270[[#This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time]]/Tabelle7367142448598018384852728410212613815616818619821622824625827628830631833634836637839640842620385070821001121301421601721902022202322502622802034486118466388981821921962202382442854681041161361801902102202402502782943743904164264544705105285741270[[#This Row],[Total time]]</f>
        <v>#REF!</v>
      </c>
    </row>
    <row r="19" spans="2:13" x14ac:dyDescent="0.25">
      <c r="B19" s="1"/>
      <c r="C19" s="1"/>
      <c r="D19" s="2"/>
      <c r="G19" s="23"/>
      <c r="I19" t="s">
        <v>103</v>
      </c>
      <c r="J19" s="15">
        <v>0.65</v>
      </c>
      <c r="K19" s="2">
        <v>0.2</v>
      </c>
      <c r="L19" s="2" t="e">
        <f>#REF!</f>
        <v>#REF!</v>
      </c>
      <c r="M19" s="16" t="e">
        <f>Tabelle7367142448598018384852728410212613815616818619821622824625827628830631833634836637839640842620385070821001121301421601721902022202322502622802034486118466388981821921962202382442854681041161361801902102202402502782943743904164264544705105285741270[[#This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time]]/Tabelle7367142448598018384852728410212613815616818619821622824625827628830631833634836637839640842620385070821001121301421601721902022202322502622802034486118466388981821921962202382442854681041161361801902102202402502782943743904164264544705105285741270[[#This Row],[Total time]]</f>
        <v>#REF!</v>
      </c>
    </row>
    <row r="20" spans="2:13" x14ac:dyDescent="0.25">
      <c r="B20" s="1"/>
      <c r="C20" s="1"/>
      <c r="D20" s="2"/>
      <c r="G20" s="23"/>
      <c r="I20" t="s">
        <v>118</v>
      </c>
      <c r="J20" s="15">
        <v>0.8</v>
      </c>
      <c r="K20" s="2">
        <v>0.2</v>
      </c>
      <c r="L20" s="2" t="e">
        <f>#REF!</f>
        <v>#REF!</v>
      </c>
      <c r="M20" s="16" t="e">
        <f>Tabelle7367142448598018384852728410212613815616818619821622824625827628830631833634836637839640842620385070821001121301421601721902022202322502622802034486118466388981821921962202382442854681041161361801902102202402502782943743904164264544705105285741270[[#This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time]]/Tabelle7367142448598018384852728410212613815616818619821622824625827628830631833634836637839640842620385070821001121301421601721902022202322502622802034486118466388981821921962202382442854681041161361801902102202402502782943743904164264544705105285741270[[#This Row],[Total time]]</f>
        <v>#REF!</v>
      </c>
    </row>
    <row r="21" spans="2:13" x14ac:dyDescent="0.25">
      <c r="I21" t="s">
        <v>119</v>
      </c>
      <c r="J21" s="15">
        <v>0.95</v>
      </c>
      <c r="K21" s="2">
        <v>0.2</v>
      </c>
      <c r="L21" s="2" t="e">
        <f>#REF!</f>
        <v>#REF!</v>
      </c>
      <c r="M21" s="16" t="e">
        <f>Tabelle7367142448598018384852728410212613815616818619821622824625827628830631833634836637839640842620385070821001121301421601721902022202322502622802034486118466388981821921962202382442854681041161361801902102202402502782943743904164264544705105285741270[[#This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time]]/Tabelle7367142448598018384852728410212613815616818619821622824625827628830631833634836637839640842620385070821001121301421601721902022202322502622802034486118466388981821921962202382442854681041161361801902102202402502782943743904164264544705105285741270[[#This Row],[Total time]]</f>
        <v>#REF!</v>
      </c>
    </row>
  </sheetData>
  <dataConsolidate/>
  <hyperlinks>
    <hyperlink ref="A1" location="Planning!A1" display="Go back to 'Planning' sheet" xr:uid="{75186B84-E33D-45BD-A758-7E1C38A3B877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4AD07-AA5D-4E14-91EA-E1C90C84BBD8}">
  <sheetPr codeName="TaskSheetTemplate3"/>
  <dimension ref="A1:M25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134</v>
      </c>
    </row>
    <row r="3" spans="1:13" x14ac:dyDescent="0.25">
      <c r="A3" t="s">
        <v>79</v>
      </c>
      <c r="B3" s="2">
        <v>0.25</v>
      </c>
      <c r="C3" t="s">
        <v>4</v>
      </c>
    </row>
    <row r="4" spans="1:13" x14ac:dyDescent="0.25">
      <c r="A4" t="s">
        <v>0</v>
      </c>
      <c r="B4" s="2">
        <f>SUM(D:D)</f>
        <v>2.500277777609881</v>
      </c>
      <c r="C4" t="s">
        <v>4</v>
      </c>
    </row>
    <row r="5" spans="1:13" x14ac:dyDescent="0.25">
      <c r="A5" t="s">
        <v>14</v>
      </c>
      <c r="B5" s="5" t="s">
        <v>97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132</v>
      </c>
    </row>
    <row r="8" spans="1:13" x14ac:dyDescent="0.25">
      <c r="A8" t="s">
        <v>16</v>
      </c>
      <c r="B8" s="5" t="s">
        <v>97</v>
      </c>
    </row>
    <row r="9" spans="1:13" x14ac:dyDescent="0.25">
      <c r="A9" t="s">
        <v>2</v>
      </c>
      <c r="B9" t="s">
        <v>192</v>
      </c>
    </row>
    <row r="10" spans="1:13" x14ac:dyDescent="0.25">
      <c r="A10" t="s">
        <v>47</v>
      </c>
      <c r="B10" t="s">
        <v>133</v>
      </c>
    </row>
    <row r="11" spans="1:13" x14ac:dyDescent="0.25">
      <c r="A11" t="s">
        <v>5</v>
      </c>
      <c r="B11" s="2">
        <f>B3/B4</f>
        <v>9.9988890130034008E-2</v>
      </c>
      <c r="C11" t="s">
        <v>6</v>
      </c>
    </row>
    <row r="12" spans="1:13" x14ac:dyDescent="0.25">
      <c r="A12" t="s">
        <v>100</v>
      </c>
      <c r="B12" t="s">
        <v>145</v>
      </c>
    </row>
    <row r="13" spans="1:13" x14ac:dyDescent="0.25">
      <c r="A13" t="s">
        <v>101</v>
      </c>
      <c r="B13" t="s">
        <v>193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A15" t="s">
        <v>94</v>
      </c>
      <c r="B15" s="1">
        <v>43877.685219907406</v>
      </c>
      <c r="C15" s="1">
        <v>43877.695636574077</v>
      </c>
      <c r="D15" s="2">
        <f t="shared" ref="D15:D24" si="0">MAX((C15-B15)*24,0)</f>
        <v>0.25000000011641532</v>
      </c>
      <c r="F15" s="42" t="s">
        <v>109</v>
      </c>
      <c r="G15" s="23" t="s">
        <v>110</v>
      </c>
      <c r="I15" t="s">
        <v>94</v>
      </c>
      <c r="J15" s="15">
        <v>0.05</v>
      </c>
      <c r="K15" s="2">
        <v>2.5000000000000001E-2</v>
      </c>
      <c r="L15" s="2" t="e">
        <f>#REF!</f>
        <v>#REF!</v>
      </c>
      <c r="M15" s="16" t="e">
        <f>Tabelle7367922445776163446708096108122136152166182196212226242256272286302316332346362376392406422183448658096110126140156170186200216230246260276183046571634597694174188216228446194110172186202216232246266290320322362386408422442466556566602612616631274[[#This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time]]/Tabelle7367922445776163446708096108122136152166182196212226242256272286302316332346362376392406422183448658096110126140156170186200216230246260276183046571634597694174188216228446194110172186202216232246266290320322362386408422442466556566602612616631274[[#This Row],[Total time]]</f>
        <v>#REF!</v>
      </c>
    </row>
    <row r="16" spans="1:13" x14ac:dyDescent="0.25">
      <c r="A16" t="s">
        <v>98</v>
      </c>
      <c r="B16" s="1">
        <v>43877.685219907406</v>
      </c>
      <c r="C16" s="1">
        <v>43877.695636574077</v>
      </c>
      <c r="D16" s="2">
        <f t="shared" si="0"/>
        <v>0.25000000011641532</v>
      </c>
      <c r="F16" s="42" t="s">
        <v>109</v>
      </c>
      <c r="G16" s="23" t="s">
        <v>110</v>
      </c>
      <c r="I16" t="s">
        <v>98</v>
      </c>
      <c r="J16" s="15">
        <v>0.2</v>
      </c>
      <c r="K16" s="2">
        <v>2.5000000000000001E-2</v>
      </c>
      <c r="L16" s="2" t="e">
        <f>#REF!</f>
        <v>#REF!</v>
      </c>
      <c r="M16" s="16" t="e">
        <f>Tabelle7367922445776163446708096108122136152166182196212226242256272286302316332346362376392406422183448658096110126140156170186200216230246260276183046571634597694174188216228446194110172186202216232246266290320322362386408422442466556566602612616631274[[#This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time]]/Tabelle7367922445776163446708096108122136152166182196212226242256272286302316332346362376392406422183448658096110126140156170186200216230246260276183046571634597694174188216228446194110172186202216232246266290320322362386408422442466556566602612616631274[[#This Row],[Total time]]</f>
        <v>#REF!</v>
      </c>
    </row>
    <row r="17" spans="1:13" x14ac:dyDescent="0.25">
      <c r="A17" t="s">
        <v>99</v>
      </c>
      <c r="B17" s="1">
        <v>43877.685219907406</v>
      </c>
      <c r="C17" s="1">
        <v>43877.695636574077</v>
      </c>
      <c r="D17" s="2">
        <f t="shared" si="0"/>
        <v>0.25000000011641532</v>
      </c>
      <c r="F17" s="42" t="s">
        <v>109</v>
      </c>
      <c r="G17" s="23" t="s">
        <v>110</v>
      </c>
      <c r="I17" t="s">
        <v>99</v>
      </c>
      <c r="J17" s="15">
        <v>0.35</v>
      </c>
      <c r="K17" s="2">
        <v>2.5000000000000001E-2</v>
      </c>
      <c r="L17" s="2" t="e">
        <f>#REF!</f>
        <v>#REF!</v>
      </c>
      <c r="M17" s="16" t="e">
        <f>Tabelle7367922445776163446708096108122136152166182196212226242256272286302316332346362376392406422183448658096110126140156170186200216230246260276183046571634597694174188216228446194110172186202216232246266290320322362386408422442466556566602612616631274[[#This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time]]/Tabelle7367922445776163446708096108122136152166182196212226242256272286302316332346362376392406422183448658096110126140156170186200216230246260276183046571634597694174188216228446194110172186202216232246266290320322362386408422442466556566602612616631274[[#This Row],[Total time]]</f>
        <v>#REF!</v>
      </c>
    </row>
    <row r="18" spans="1:13" x14ac:dyDescent="0.25">
      <c r="A18" t="s">
        <v>102</v>
      </c>
      <c r="B18" s="1">
        <v>43877.685231481482</v>
      </c>
      <c r="C18" s="1">
        <v>43877.695648148147</v>
      </c>
      <c r="D18" s="2">
        <f t="shared" si="0"/>
        <v>0.24999999994179234</v>
      </c>
      <c r="F18" s="42" t="s">
        <v>109</v>
      </c>
      <c r="G18" s="23" t="s">
        <v>110</v>
      </c>
      <c r="I18" t="s">
        <v>102</v>
      </c>
      <c r="J18" s="15">
        <v>0.5</v>
      </c>
      <c r="K18" s="2">
        <v>2.5000000000000001E-2</v>
      </c>
      <c r="L18" s="2" t="e">
        <f>#REF!</f>
        <v>#REF!</v>
      </c>
      <c r="M18" s="16" t="e">
        <f>Tabelle7367922445776163446708096108122136152166182196212226242256272286302316332346362376392406422183448658096110126140156170186200216230246260276183046571634597694174188216228446194110172186202216232246266290320322362386408422442466556566602612616631274[[#This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time]]/Tabelle7367922445776163446708096108122136152166182196212226242256272286302316332346362376392406422183448658096110126140156170186200216230246260276183046571634597694174188216228446194110172186202216232246266290320322362386408422442466556566602612616631274[[#This Row],[Total time]]</f>
        <v>#REF!</v>
      </c>
    </row>
    <row r="19" spans="1:13" x14ac:dyDescent="0.25">
      <c r="A19" t="s">
        <v>103</v>
      </c>
      <c r="B19" s="1">
        <v>43877.685231481482</v>
      </c>
      <c r="C19" s="1">
        <v>43877.695648148147</v>
      </c>
      <c r="D19" s="2">
        <f t="shared" si="0"/>
        <v>0.24999999994179234</v>
      </c>
      <c r="F19" s="42" t="s">
        <v>109</v>
      </c>
      <c r="G19" s="23" t="s">
        <v>110</v>
      </c>
      <c r="I19" t="s">
        <v>103</v>
      </c>
      <c r="J19" s="15">
        <v>0.65</v>
      </c>
      <c r="K19" s="2">
        <v>2.5000000000000001E-2</v>
      </c>
      <c r="L19" s="2" t="e">
        <f>#REF!</f>
        <v>#REF!</v>
      </c>
      <c r="M19" s="16" t="e">
        <f>Tabelle7367922445776163446708096108122136152166182196212226242256272286302316332346362376392406422183448658096110126140156170186200216230246260276183046571634597694174188216228446194110172186202216232246266290320322362386408422442466556566602612616631274[[#This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time]]/Tabelle7367922445776163446708096108122136152166182196212226242256272286302316332346362376392406422183448658096110126140156170186200216230246260276183046571634597694174188216228446194110172186202216232246266290320322362386408422442466556566602612616631274[[#This Row],[Total time]]</f>
        <v>#REF!</v>
      </c>
    </row>
    <row r="20" spans="1:13" x14ac:dyDescent="0.25">
      <c r="A20" t="s">
        <v>118</v>
      </c>
      <c r="B20" s="1">
        <v>43877.685231481482</v>
      </c>
      <c r="C20" s="1">
        <v>43877.695648148147</v>
      </c>
      <c r="D20" s="2">
        <f t="shared" si="0"/>
        <v>0.24999999994179234</v>
      </c>
      <c r="F20" s="42" t="s">
        <v>109</v>
      </c>
      <c r="G20" s="23" t="s">
        <v>110</v>
      </c>
      <c r="I20" t="s">
        <v>118</v>
      </c>
      <c r="J20" s="15">
        <v>0.8</v>
      </c>
      <c r="K20" s="2">
        <v>2.5000000000000001E-2</v>
      </c>
      <c r="L20" s="2" t="e">
        <f>#REF!</f>
        <v>#REF!</v>
      </c>
      <c r="M20" s="16" t="e">
        <f>Tabelle7367922445776163446708096108122136152166182196212226242256272286302316332346362376392406422183448658096110126140156170186200216230246260276183046571634597694174188216228446194110172186202216232246266290320322362386408422442466556566602612616631274[[#This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time]]/Tabelle7367922445776163446708096108122136152166182196212226242256272286302316332346362376392406422183448658096110126140156170186200216230246260276183046571634597694174188216228446194110172186202216232246266290320322362386408422442466556566602612616631274[[#This Row],[Total time]]</f>
        <v>#REF!</v>
      </c>
    </row>
    <row r="21" spans="1:13" x14ac:dyDescent="0.25">
      <c r="A21" t="s">
        <v>119</v>
      </c>
      <c r="B21" s="1">
        <v>43877.685231481482</v>
      </c>
      <c r="C21" s="1">
        <v>43877.695648148147</v>
      </c>
      <c r="D21" s="2">
        <f t="shared" si="0"/>
        <v>0.24999999994179234</v>
      </c>
      <c r="F21" s="42" t="s">
        <v>109</v>
      </c>
      <c r="G21" s="23" t="s">
        <v>110</v>
      </c>
      <c r="I21" t="s">
        <v>119</v>
      </c>
      <c r="J21" s="15">
        <v>0.95</v>
      </c>
      <c r="K21" s="2">
        <v>2.5000000000000001E-2</v>
      </c>
      <c r="L21" s="2" t="e">
        <f>#REF!</f>
        <v>#REF!</v>
      </c>
      <c r="M21" s="16" t="e">
        <f>Tabelle7367922445776163446708096108122136152166182196212226242256272286302316332346362376392406422183448658096110126140156170186200216230246260276183046571634597694174188216228446194110172186202216232246266290320322362386408422442466556566602612616631274[[#This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time]]/Tabelle7367922445776163446708096108122136152166182196212226242256272286302316332346362376392406422183448658096110126140156170186200216230246260276183046571634597694174188216228446194110172186202216232246266290320322362386408422442466556566602612616631274[[#This Row],[Total time]]</f>
        <v>#REF!</v>
      </c>
    </row>
    <row r="22" spans="1:13" x14ac:dyDescent="0.25">
      <c r="A22" t="s">
        <v>182</v>
      </c>
      <c r="B22" s="1">
        <v>43877.685231481482</v>
      </c>
      <c r="C22" s="1">
        <v>43877.695648148147</v>
      </c>
      <c r="D22" s="2">
        <f t="shared" si="0"/>
        <v>0.24999999994179234</v>
      </c>
      <c r="F22" s="42" t="s">
        <v>109</v>
      </c>
      <c r="G22" s="23" t="s">
        <v>110</v>
      </c>
    </row>
    <row r="23" spans="1:13" x14ac:dyDescent="0.25">
      <c r="A23" t="s">
        <v>183</v>
      </c>
      <c r="B23" s="1">
        <v>43877.685243055559</v>
      </c>
      <c r="C23" s="1">
        <v>43877.695659722223</v>
      </c>
      <c r="D23" s="2">
        <f t="shared" si="0"/>
        <v>0.24999999994179234</v>
      </c>
      <c r="F23" s="42" t="s">
        <v>109</v>
      </c>
      <c r="G23" s="23" t="s">
        <v>110</v>
      </c>
    </row>
    <row r="24" spans="1:13" x14ac:dyDescent="0.25">
      <c r="A24" t="s">
        <v>184</v>
      </c>
      <c r="B24" s="1">
        <v>43877.685243055559</v>
      </c>
      <c r="C24" s="1">
        <v>43877.695659722223</v>
      </c>
      <c r="D24" s="2">
        <f t="shared" si="0"/>
        <v>0.24999999994179234</v>
      </c>
      <c r="F24" s="42" t="s">
        <v>109</v>
      </c>
      <c r="G24" s="23" t="s">
        <v>110</v>
      </c>
    </row>
    <row r="25" spans="1:13" x14ac:dyDescent="0.25">
      <c r="A25" t="s">
        <v>129</v>
      </c>
      <c r="B25" s="1">
        <v>43877.807962962965</v>
      </c>
      <c r="C25" s="1">
        <v>43877.807974537034</v>
      </c>
      <c r="D25" s="2">
        <f>MAX((C25-B25)*24,0)</f>
        <v>2.7777766808867455E-4</v>
      </c>
      <c r="F25" s="42" t="s">
        <v>109</v>
      </c>
      <c r="G25" s="23" t="s">
        <v>110</v>
      </c>
    </row>
  </sheetData>
  <dataConsolidate/>
  <hyperlinks>
    <hyperlink ref="A1" location="Planning!A1" display="Go back to 'Planning' sheet" xr:uid="{5BC3E476-0CFA-48A3-94F8-A7DE2A4EBC88}"/>
    <hyperlink ref="F15" location="$F$15" display="$F$15" xr:uid="{E92FBE2E-8F32-4D8D-B131-B49C427A6E6B}"/>
    <hyperlink ref="G15" location="$G$15" display="$G$15" xr:uid="{03BE4B8B-4210-456E-846C-3B6F29B65018}"/>
    <hyperlink ref="F16" location="$F$16" display="$F$16" xr:uid="{2E789B2C-D79B-4321-961D-525C80EC81CA}"/>
    <hyperlink ref="G16" location="$G$16" display="$G$16" xr:uid="{5EB4F609-2071-4FDF-9DBF-F64A37F49B7D}"/>
    <hyperlink ref="F17" location="$F$17" display="$F$17" xr:uid="{39CC9372-7DB2-448A-9033-A85B6CFE7814}"/>
    <hyperlink ref="G17" location="$G$17" display="$G$17" xr:uid="{5CC390CE-3DB7-4A13-87F1-AE9973162540}"/>
    <hyperlink ref="F18" location="$F$18" display="$F$18" xr:uid="{E34B85D3-B6BA-4F9D-9C10-3574B0592BEA}"/>
    <hyperlink ref="G18" location="$G$18" display="$G$18" xr:uid="{6AFDC7E5-642D-495D-9C36-116C7EE466DC}"/>
    <hyperlink ref="F19" location="$F$19" display="$F$19" xr:uid="{9F667E3F-BD92-4E28-9A68-E9B540EA7BF4}"/>
    <hyperlink ref="G19" location="$G$19" display="$G$19" xr:uid="{94C4DE25-F462-4FD3-A6AA-EBE52F3AE930}"/>
    <hyperlink ref="F20" location="$F$20" display="$F$20" xr:uid="{15933119-6339-4841-B025-5D193EA0A3FF}"/>
    <hyperlink ref="G20" location="$G$20" display="$G$20" xr:uid="{44D6C713-53D0-4FC2-8865-A2706FDC32E0}"/>
    <hyperlink ref="F21" location="$F$21" display="$F$21" xr:uid="{1250C526-8F45-4F68-BC04-7AFBAAE2CAAA}"/>
    <hyperlink ref="G21" location="$G$21" display="$G$21" xr:uid="{2015B179-7655-40D4-BF10-179FEC4FFCA3}"/>
    <hyperlink ref="F22" location="$F$22" display="$F$22" xr:uid="{A1BFE96C-E2C9-43FF-80F8-3726231AD6E3}"/>
    <hyperlink ref="G22" location="$G$22" display="$G$22" xr:uid="{A8979AD6-8966-4D2B-A6FB-A61785EE6944}"/>
    <hyperlink ref="F23" location="$F$23" display="$F$23" xr:uid="{BCD9131B-B644-4FA3-BE6A-5340961D087A}"/>
    <hyperlink ref="G23" location="$G$23" display="$G$23" xr:uid="{418187A3-EC9C-490D-9E1F-9806F3369A70}"/>
    <hyperlink ref="F24" location="$F$24" display="$F$24" xr:uid="{E0B19C19-44C0-463E-8DA9-FCADEDF59EA6}"/>
    <hyperlink ref="G24" location="$G$24" display="$G$24" xr:uid="{607262F2-3761-4E8A-BAE1-CEED4B87A9A5}"/>
    <hyperlink ref="F25" location="$F$25" display="$F$25" xr:uid="{1D5D9A9F-F554-4D29-AF48-D8ADC4A80052}"/>
    <hyperlink ref="G25" location="$G$25" display="$G$25" xr:uid="{E6813696-3087-4BB5-AB8D-62CE19F291BC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68D97-C621-416E-AC11-6E38B42B44A9}">
  <sheetPr codeName="EbsSheetTemplate1"/>
  <dimension ref="A15:T48"/>
  <sheetViews>
    <sheetView workbookViewId="0">
      <selection activeCell="C30" sqref="C30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44" t="s">
        <v>76</v>
      </c>
      <c r="G15" s="45"/>
      <c r="H15" s="45"/>
    </row>
    <row r="16" spans="5:8" x14ac:dyDescent="0.25">
      <c r="E16" s="14" t="s">
        <v>74</v>
      </c>
      <c r="F16" s="44" t="s">
        <v>37</v>
      </c>
      <c r="G16" s="45"/>
      <c r="H16" s="45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A19" t="s">
        <v>94</v>
      </c>
      <c r="B19" s="17">
        <v>43876.76703703704</v>
      </c>
      <c r="C19" t="s">
        <v>167</v>
      </c>
      <c r="D19" t="s">
        <v>27</v>
      </c>
      <c r="E19" t="s">
        <v>96</v>
      </c>
      <c r="F19" t="s">
        <v>177</v>
      </c>
      <c r="G19" t="s">
        <v>178</v>
      </c>
      <c r="H19" t="s">
        <v>166</v>
      </c>
      <c r="J19" t="s">
        <v>94</v>
      </c>
      <c r="K19" t="s">
        <v>133</v>
      </c>
      <c r="L19">
        <v>4</v>
      </c>
      <c r="M19" s="2">
        <v>0</v>
      </c>
      <c r="N19" s="2">
        <v>0.25</v>
      </c>
      <c r="O19" t="s">
        <v>164</v>
      </c>
      <c r="P19" t="s">
        <v>164</v>
      </c>
      <c r="Q19" t="s">
        <v>164</v>
      </c>
      <c r="R19" t="s">
        <v>96</v>
      </c>
      <c r="S19" t="s">
        <v>170</v>
      </c>
      <c r="T19" t="s">
        <v>171</v>
      </c>
    </row>
    <row r="20" spans="1:20" x14ac:dyDescent="0.25">
      <c r="B20" s="17"/>
      <c r="J20" t="s">
        <v>98</v>
      </c>
      <c r="K20" t="s">
        <v>106</v>
      </c>
      <c r="L20">
        <v>3</v>
      </c>
      <c r="M20" s="2">
        <v>3.0555555713363E-3</v>
      </c>
      <c r="N20" s="2">
        <v>2</v>
      </c>
      <c r="O20" t="s">
        <v>165</v>
      </c>
      <c r="P20" t="s">
        <v>172</v>
      </c>
      <c r="Q20" t="s">
        <v>173</v>
      </c>
      <c r="R20" t="s">
        <v>96</v>
      </c>
      <c r="S20" t="s">
        <v>174</v>
      </c>
      <c r="T20" t="s">
        <v>175</v>
      </c>
    </row>
    <row r="21" spans="1:20" x14ac:dyDescent="0.25">
      <c r="B21" s="17"/>
      <c r="J21" t="s">
        <v>99</v>
      </c>
      <c r="K21" t="s">
        <v>104</v>
      </c>
      <c r="L21">
        <v>2</v>
      </c>
      <c r="M21" s="2">
        <v>0</v>
      </c>
      <c r="N21" s="2">
        <v>1</v>
      </c>
      <c r="O21" t="s">
        <v>163</v>
      </c>
      <c r="P21" t="s">
        <v>163</v>
      </c>
      <c r="Q21" t="s">
        <v>176</v>
      </c>
      <c r="R21" t="s">
        <v>96</v>
      </c>
      <c r="S21" t="s">
        <v>177</v>
      </c>
      <c r="T21" t="s">
        <v>178</v>
      </c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  <c r="M24" s="2"/>
      <c r="N24" s="2"/>
    </row>
    <row r="25" spans="1:20" x14ac:dyDescent="0.25">
      <c r="B25" s="17"/>
      <c r="M25" s="2"/>
      <c r="N25" s="2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49" priority="1" operator="containsText" text="No">
      <formula>NOT(ISERROR(SEARCH("No",D1)))</formula>
    </cfRule>
    <cfRule type="containsText" dxfId="48" priority="2" operator="containsText" text="Yes">
      <formula>NOT(ISERROR(SEARCH("Yes",D1)))</formula>
    </cfRule>
  </conditionalFormatting>
  <dataValidations count="3">
    <dataValidation type="list" allowBlank="1" showInputMessage="1" showErrorMessage="1" sqref="D19" xr:uid="{652FE7B9-644E-4188-BD13-F78B05607475}">
      <formula1>"Yes,No"</formula1>
    </dataValidation>
    <dataValidation type="list" allowBlank="1" showInputMessage="1" showErrorMessage="1" sqref="F16" xr:uid="{22838F88-98E0-41A8-86EB-92282807CFF8}">
      <formula1>"Time,Date"</formula1>
    </dataValidation>
    <dataValidation type="list" allowBlank="1" showInputMessage="1" showErrorMessage="1" sqref="F15:H15" xr:uid="{363CBBC3-CE68-4DB6-BB51-8A5DB5F8BF95}">
      <formula1>"Last, Last 100 days, All"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9"/>
  <sheetViews>
    <sheetView workbookViewId="0">
      <selection activeCell="B5" sqref="B5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0" t="s">
        <v>122</v>
      </c>
    </row>
    <row r="2" spans="1:4" x14ac:dyDescent="0.25">
      <c r="A2" s="10"/>
    </row>
    <row r="3" spans="1:4" x14ac:dyDescent="0.25">
      <c r="A3" t="s">
        <v>123</v>
      </c>
      <c r="B3" s="31">
        <v>43817.077002314814</v>
      </c>
      <c r="C3" s="29"/>
      <c r="D3" s="29"/>
    </row>
    <row r="4" spans="1:4" x14ac:dyDescent="0.25">
      <c r="A4" t="s">
        <v>124</v>
      </c>
      <c r="B4" s="31">
        <v>43862</v>
      </c>
      <c r="C4" s="29"/>
      <c r="D4" s="29"/>
    </row>
    <row r="5" spans="1:4" x14ac:dyDescent="0.25">
      <c r="A5" t="s">
        <v>125</v>
      </c>
      <c r="B5" s="28" t="s">
        <v>169</v>
      </c>
      <c r="C5" s="29"/>
      <c r="D5" s="29"/>
    </row>
    <row r="6" spans="1:4" ht="27" customHeight="1" x14ac:dyDescent="0.25"/>
    <row r="8" spans="1:4" ht="15.75" thickBot="1" x14ac:dyDescent="0.3">
      <c r="A8" s="30" t="s">
        <v>127</v>
      </c>
      <c r="B8" s="30" t="s">
        <v>121</v>
      </c>
      <c r="C8" s="35" t="s">
        <v>120</v>
      </c>
      <c r="D8" s="30" t="s">
        <v>126</v>
      </c>
    </row>
    <row r="9" spans="1:4" x14ac:dyDescent="0.25">
      <c r="A9" s="32"/>
      <c r="B9" s="33"/>
      <c r="C9" s="33"/>
      <c r="D9" s="34"/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4"/>
  <sheetViews>
    <sheetView workbookViewId="0">
      <selection activeCell="C5" sqref="C5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25</v>
      </c>
    </row>
    <row r="2" spans="1:10" x14ac:dyDescent="0.25">
      <c r="H2" s="27" t="s">
        <v>117</v>
      </c>
    </row>
    <row r="3" spans="1:10" x14ac:dyDescent="0.25">
      <c r="A3" t="s">
        <v>15</v>
      </c>
      <c r="B3" s="2" t="s">
        <v>61</v>
      </c>
      <c r="C3" s="2" t="s">
        <v>89</v>
      </c>
      <c r="D3" s="2" t="s">
        <v>90</v>
      </c>
      <c r="E3" s="2" t="s">
        <v>66</v>
      </c>
      <c r="F3" t="s">
        <v>63</v>
      </c>
      <c r="G3" t="s">
        <v>64</v>
      </c>
      <c r="H3" t="s">
        <v>62</v>
      </c>
      <c r="I3" t="s">
        <v>68</v>
      </c>
      <c r="J3" t="s">
        <v>67</v>
      </c>
    </row>
    <row r="4" spans="1:10" x14ac:dyDescent="0.25">
      <c r="A4" t="s">
        <v>19</v>
      </c>
      <c r="B4" s="12" t="s">
        <v>168</v>
      </c>
      <c r="C4" t="s">
        <v>189</v>
      </c>
      <c r="D4" t="s">
        <v>188</v>
      </c>
      <c r="E4" s="13" t="s">
        <v>84</v>
      </c>
      <c r="F4" s="13">
        <v>0.33333333333333331</v>
      </c>
      <c r="G4" s="13">
        <v>0.77083333333333337</v>
      </c>
      <c r="H4" t="s">
        <v>65</v>
      </c>
      <c r="I4" s="2">
        <v>0.25</v>
      </c>
      <c r="J4" s="2">
        <f>5/60</f>
        <v>8.3333333333333329E-2</v>
      </c>
    </row>
    <row r="5" spans="1:10" x14ac:dyDescent="0.25">
      <c r="B5" s="12"/>
      <c r="E5" s="13"/>
      <c r="F5" s="13"/>
      <c r="G5" s="13"/>
      <c r="I5" s="2"/>
      <c r="J5" s="2"/>
    </row>
    <row r="6" spans="1:10" x14ac:dyDescent="0.25">
      <c r="A6" t="s">
        <v>131</v>
      </c>
      <c r="B6" s="20" t="s">
        <v>128</v>
      </c>
      <c r="E6" s="13"/>
      <c r="F6" s="13"/>
      <c r="G6" s="13"/>
      <c r="I6" s="2"/>
      <c r="J6" s="2"/>
    </row>
    <row r="7" spans="1:10" x14ac:dyDescent="0.25">
      <c r="B7" s="5"/>
      <c r="C7" s="5"/>
      <c r="D7" s="5"/>
      <c r="E7" s="5"/>
    </row>
    <row r="8" spans="1:10" x14ac:dyDescent="0.25">
      <c r="A8" t="s">
        <v>80</v>
      </c>
      <c r="B8" s="20"/>
      <c r="C8" s="5"/>
      <c r="D8" s="5"/>
      <c r="E8" s="5"/>
    </row>
    <row r="9" spans="1:10" x14ac:dyDescent="0.25">
      <c r="A9" t="s">
        <v>81</v>
      </c>
      <c r="B9" s="22"/>
      <c r="C9" s="5"/>
      <c r="D9" s="5"/>
    </row>
    <row r="10" spans="1:10" x14ac:dyDescent="0.25">
      <c r="A10" t="s">
        <v>82</v>
      </c>
      <c r="B10" s="21"/>
      <c r="C10" s="5"/>
      <c r="D10" s="5"/>
      <c r="E10" s="5"/>
    </row>
    <row r="12" spans="1:10" x14ac:dyDescent="0.25">
      <c r="B12" t="s">
        <v>92</v>
      </c>
      <c r="C12" t="s">
        <v>185</v>
      </c>
    </row>
    <row r="13" spans="1:10" x14ac:dyDescent="0.25">
      <c r="B13" t="s">
        <v>91</v>
      </c>
      <c r="C13" t="s">
        <v>186</v>
      </c>
      <c r="D13" s="2"/>
      <c r="E13" s="2"/>
    </row>
    <row r="14" spans="1:10" x14ac:dyDescent="0.25">
      <c r="B14" s="2" t="s">
        <v>93</v>
      </c>
      <c r="C14" s="12" t="s">
        <v>187</v>
      </c>
    </row>
    <row r="17" spans="1:2" x14ac:dyDescent="0.25">
      <c r="A17" t="s">
        <v>85</v>
      </c>
    </row>
    <row r="24" spans="1:2" x14ac:dyDescent="0.25">
      <c r="A24" t="s">
        <v>146</v>
      </c>
      <c r="B24" s="20" t="s">
        <v>152</v>
      </c>
    </row>
  </sheetData>
  <hyperlinks>
    <hyperlink ref="A1" location="Planning!A1" display="Go back to 'Planning' sheet" xr:uid="{D2DA156D-5AF1-4194-A684-BD3896B6772A}"/>
    <hyperlink ref="C14" r:id="rId1" display="\\your.mail@provider.com\Calendar" xr:uid="{18307CDB-A2D2-4AD5-8301-7C34BF2D1214}"/>
    <hyperlink ref="B4" r:id="rId2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6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7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8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0</xdr:col>
                    <xdr:colOff>1638300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9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20</xdr:row>
                    <xdr:rowOff>180975</xdr:rowOff>
                  </from>
                  <to>
                    <xdr:col>0</xdr:col>
                    <xdr:colOff>1638300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10" sqref="C10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46.140625" bestFit="1" customWidth="1"/>
    <col min="4" max="4" width="28.7109375" customWidth="1"/>
    <col min="5" max="5" width="10.5703125" bestFit="1" customWidth="1"/>
  </cols>
  <sheetData>
    <row r="3" spans="1:5" x14ac:dyDescent="0.25">
      <c r="A3" t="s">
        <v>147</v>
      </c>
      <c r="B3" t="s">
        <v>150</v>
      </c>
      <c r="C3" t="s">
        <v>148</v>
      </c>
      <c r="D3" t="s">
        <v>151</v>
      </c>
      <c r="E3" t="s">
        <v>149</v>
      </c>
    </row>
    <row r="4" spans="1:5" x14ac:dyDescent="0.25">
      <c r="B4" s="1"/>
    </row>
  </sheetData>
  <conditionalFormatting sqref="E4">
    <cfRule type="containsText" dxfId="32" priority="1" operator="containsText" text="Verbose">
      <formula>NOT(ISERROR(SEARCH("Verbose",E4)))</formula>
    </cfRule>
    <cfRule type="containsText" dxfId="31" priority="2" operator="containsText" text="Info">
      <formula>NOT(ISERROR(SEARCH("Info",E4)))</formula>
    </cfRule>
    <cfRule type="containsText" dxfId="30" priority="3" operator="containsText" text="Warning">
      <formula>NOT(ISERROR(SEARCH("Warning",E4)))</formula>
    </cfRule>
    <cfRule type="containsText" dxfId="29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5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97</v>
      </c>
    </row>
    <row r="3" spans="1:13" x14ac:dyDescent="0.25">
      <c r="A3" t="s">
        <v>79</v>
      </c>
      <c r="B3" s="2" t="s">
        <v>97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97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95</v>
      </c>
    </row>
    <row r="8" spans="1:13" x14ac:dyDescent="0.25">
      <c r="A8" t="s">
        <v>16</v>
      </c>
      <c r="B8" s="5" t="s">
        <v>97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97</v>
      </c>
    </row>
    <row r="11" spans="1:13" x14ac:dyDescent="0.25">
      <c r="A11" t="s">
        <v>5</v>
      </c>
      <c r="B11" s="2" t="e">
        <f>B3/B4</f>
        <v>#VALUE!</v>
      </c>
      <c r="C11" t="s">
        <v>6</v>
      </c>
    </row>
    <row r="12" spans="1:13" x14ac:dyDescent="0.25">
      <c r="A12" t="s">
        <v>100</v>
      </c>
    </row>
    <row r="13" spans="1:13" x14ac:dyDescent="0.25">
      <c r="A13" t="s">
        <v>101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>
        <f>MAX((C15-B15)*24,0)</f>
        <v>0</v>
      </c>
      <c r="J15" s="15"/>
      <c r="K15" s="2"/>
      <c r="L15" s="2">
        <f>$B$4</f>
        <v>0</v>
      </c>
      <c r="M15" s="16" t="e">
        <f>Tabelle7367[[#This Row],[EBS self time]]/Tabelle7367[[#This Row],[Total time]]</f>
        <v>#DIV/0!</v>
      </c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B14" sqref="B14"/>
    </sheetView>
  </sheetViews>
  <sheetFormatPr baseColWidth="10" defaultColWidth="11.42578125" defaultRowHeight="15" x14ac:dyDescent="0.25"/>
  <sheetData>
    <row r="1" spans="1:2" x14ac:dyDescent="0.25">
      <c r="A1" s="10" t="s">
        <v>34</v>
      </c>
    </row>
    <row r="2" spans="1:2" x14ac:dyDescent="0.25">
      <c r="A2" t="s">
        <v>20</v>
      </c>
    </row>
    <row r="3" spans="1:2" x14ac:dyDescent="0.25">
      <c r="A3" t="s">
        <v>21</v>
      </c>
    </row>
    <row r="8" spans="1:2" x14ac:dyDescent="0.25">
      <c r="A8" s="10" t="s">
        <v>153</v>
      </c>
    </row>
    <row r="9" spans="1:2" x14ac:dyDescent="0.25">
      <c r="A9" s="6" t="s">
        <v>29</v>
      </c>
    </row>
    <row r="10" spans="1:2" x14ac:dyDescent="0.25">
      <c r="B10" t="s">
        <v>154</v>
      </c>
    </row>
    <row r="11" spans="1:2" x14ac:dyDescent="0.25">
      <c r="B11" t="s">
        <v>155</v>
      </c>
    </row>
    <row r="12" spans="1:2" x14ac:dyDescent="0.25">
      <c r="B12" t="s">
        <v>158</v>
      </c>
    </row>
    <row r="13" spans="1:2" x14ac:dyDescent="0.25">
      <c r="B13" t="s">
        <v>194</v>
      </c>
    </row>
    <row r="14" spans="1:2" x14ac:dyDescent="0.25">
      <c r="A14" t="s">
        <v>32</v>
      </c>
    </row>
    <row r="15" spans="1:2" x14ac:dyDescent="0.25">
      <c r="B15" t="s">
        <v>159</v>
      </c>
    </row>
    <row r="16" spans="1:2" x14ac:dyDescent="0.25">
      <c r="A16" s="10" t="s">
        <v>156</v>
      </c>
    </row>
    <row r="17" spans="1:3" x14ac:dyDescent="0.25">
      <c r="B17" t="s">
        <v>157</v>
      </c>
    </row>
    <row r="18" spans="1:3" x14ac:dyDescent="0.25">
      <c r="A18" s="10" t="s">
        <v>112</v>
      </c>
      <c r="B18" s="10"/>
    </row>
    <row r="19" spans="1:3" x14ac:dyDescent="0.25">
      <c r="B19" t="s">
        <v>116</v>
      </c>
    </row>
    <row r="20" spans="1:3" x14ac:dyDescent="0.25">
      <c r="B20" t="s">
        <v>113</v>
      </c>
    </row>
    <row r="21" spans="1:3" x14ac:dyDescent="0.25">
      <c r="B21" t="s">
        <v>114</v>
      </c>
    </row>
    <row r="22" spans="1:3" x14ac:dyDescent="0.25">
      <c r="B22" t="s">
        <v>115</v>
      </c>
    </row>
    <row r="23" spans="1:3" x14ac:dyDescent="0.25">
      <c r="A23" s="10" t="s">
        <v>57</v>
      </c>
    </row>
    <row r="24" spans="1:3" x14ac:dyDescent="0.25">
      <c r="B24" t="s">
        <v>58</v>
      </c>
    </row>
    <row r="25" spans="1:3" x14ac:dyDescent="0.25">
      <c r="A25" s="10" t="s">
        <v>51</v>
      </c>
    </row>
    <row r="26" spans="1:3" x14ac:dyDescent="0.25">
      <c r="B26" t="s">
        <v>52</v>
      </c>
    </row>
    <row r="27" spans="1:3" x14ac:dyDescent="0.25">
      <c r="C27" t="s">
        <v>53</v>
      </c>
    </row>
    <row r="28" spans="1:3" x14ac:dyDescent="0.25">
      <c r="C28" t="s">
        <v>55</v>
      </c>
    </row>
    <row r="29" spans="1:3" x14ac:dyDescent="0.25">
      <c r="B29" t="s">
        <v>56</v>
      </c>
    </row>
    <row r="30" spans="1:3" x14ac:dyDescent="0.25">
      <c r="B30" t="s">
        <v>54</v>
      </c>
    </row>
    <row r="31" spans="1:3" x14ac:dyDescent="0.25">
      <c r="A31" s="10" t="s">
        <v>46</v>
      </c>
    </row>
    <row r="32" spans="1:3" x14ac:dyDescent="0.25">
      <c r="A32" t="s">
        <v>29</v>
      </c>
    </row>
    <row r="33" spans="1:2" x14ac:dyDescent="0.25">
      <c r="B33" t="s">
        <v>45</v>
      </c>
    </row>
    <row r="34" spans="1:2" x14ac:dyDescent="0.25">
      <c r="A34" s="10" t="s">
        <v>28</v>
      </c>
    </row>
    <row r="35" spans="1:2" x14ac:dyDescent="0.25">
      <c r="A35" t="s">
        <v>29</v>
      </c>
    </row>
    <row r="36" spans="1:2" x14ac:dyDescent="0.25">
      <c r="B36" t="s">
        <v>30</v>
      </c>
    </row>
    <row r="37" spans="1:2" x14ac:dyDescent="0.25">
      <c r="B37" t="s">
        <v>31</v>
      </c>
    </row>
    <row r="38" spans="1:2" x14ac:dyDescent="0.25">
      <c r="A38" t="s">
        <v>32</v>
      </c>
    </row>
    <row r="39" spans="1:2" x14ac:dyDescent="0.25">
      <c r="B39" t="s">
        <v>33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44" t="s">
        <v>76</v>
      </c>
      <c r="G15" s="45"/>
      <c r="H15" s="45"/>
    </row>
    <row r="16" spans="5:8" x14ac:dyDescent="0.25">
      <c r="E16" s="14" t="s">
        <v>74</v>
      </c>
      <c r="F16" s="44" t="s">
        <v>37</v>
      </c>
      <c r="G16" s="45"/>
      <c r="H16" s="45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B19" s="17"/>
      <c r="D19" t="s">
        <v>27</v>
      </c>
      <c r="M19" s="2"/>
      <c r="N19" s="2"/>
    </row>
    <row r="20" spans="1:20" x14ac:dyDescent="0.25">
      <c r="B20" s="17"/>
      <c r="M20" s="2"/>
      <c r="N20" s="2"/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22" priority="1" operator="containsText" text="No">
      <formula>NOT(ISERROR(SEARCH("No",D1)))</formula>
    </cfRule>
    <cfRule type="containsText" dxfId="21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VSHEET_STOR_BC2D39</vt:lpstr>
      <vt:lpstr>Planning</vt:lpstr>
      <vt:lpstr>t429885C27F77EA728</vt:lpstr>
      <vt:lpstr>t35EBA085FF3A95514</vt:lpstr>
      <vt:lpstr>t86F89BCDC9F9FA3B4</vt:lpstr>
      <vt:lpstr>EbsSheet (Me)</vt:lpstr>
      <vt:lpstr>Analysis</vt:lpstr>
      <vt:lpstr>Settings</vt:lpstr>
      <vt:lpstr>Messages</vt:lpstr>
      <vt:lpstr>Task sheet template</vt:lpstr>
      <vt:lpstr>Version info</vt:lpstr>
      <vt:lpstr>EbsSheet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2020-02-16T18:31:11Z</dcterms:modified>
  <cp:category/>
  <cp:contentStatus/>
</cp:coreProperties>
</file>