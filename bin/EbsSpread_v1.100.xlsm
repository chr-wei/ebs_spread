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1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esktop\tst\"/>
    </mc:Choice>
  </mc:AlternateContent>
  <xr:revisionPtr revIDLastSave="0" documentId="13_ncr:1_{40D500C7-A824-4B59-9C4D-8EE61BCC5F5D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3EAAC5681780C3894" sheetId="1414" state="hidden" r:id="rId2"/>
    <sheet name="t542BC5542C608ACDC" sheetId="1415" state="hidden" r:id="rId3"/>
    <sheet name="tAAF8231FB67247C24" sheetId="1416" state="hidden" r:id="rId4"/>
    <sheet name="tC5F28114EEBEA0BC0" sheetId="1417" state="hidden" r:id="rId5"/>
    <sheet name="EbsSheet (Me)" sheetId="1405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SHEET_STOR_E65DEF" sheetId="1397" state="hidden" r:id="rId11"/>
    <sheet name="Version info" sheetId="3" r:id="rId12"/>
    <sheet name="EbsSheet template" sheetId="440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417" l="1"/>
  <c r="M21" i="1417" s="1"/>
  <c r="L20" i="1417"/>
  <c r="M20" i="1417" s="1"/>
  <c r="M19" i="1417"/>
  <c r="L19" i="1417"/>
  <c r="M18" i="1417"/>
  <c r="L18" i="1417"/>
  <c r="M17" i="1417"/>
  <c r="L17" i="1417"/>
  <c r="D17" i="1417"/>
  <c r="L16" i="1417"/>
  <c r="M16" i="1417" s="1"/>
  <c r="D16" i="1417"/>
  <c r="M15" i="1417"/>
  <c r="L15" i="1417"/>
  <c r="D15" i="1417"/>
  <c r="B4" i="1417"/>
  <c r="B11" i="1417" s="1"/>
  <c r="D25" i="1416"/>
  <c r="D24" i="1416"/>
  <c r="D23" i="1416"/>
  <c r="D22" i="1416"/>
  <c r="L21" i="1416"/>
  <c r="M21" i="1416" s="1"/>
  <c r="D21" i="1416"/>
  <c r="L20" i="1416"/>
  <c r="M20" i="1416" s="1"/>
  <c r="D20" i="1416"/>
  <c r="L19" i="1416"/>
  <c r="M19" i="1416" s="1"/>
  <c r="D19" i="1416"/>
  <c r="M18" i="1416"/>
  <c r="L18" i="1416"/>
  <c r="D18" i="1416"/>
  <c r="L17" i="1416"/>
  <c r="M17" i="1416" s="1"/>
  <c r="D17" i="1416"/>
  <c r="L16" i="1416"/>
  <c r="M16" i="1416" s="1"/>
  <c r="D16" i="1416"/>
  <c r="M15" i="1416"/>
  <c r="L15" i="1416"/>
  <c r="D15" i="1416"/>
  <c r="B4" i="1416"/>
  <c r="B11" i="1416" s="1"/>
  <c r="L21" i="1415"/>
  <c r="M21" i="1415" s="1"/>
  <c r="L20" i="1415"/>
  <c r="M20" i="1415" s="1"/>
  <c r="M19" i="1415"/>
  <c r="L19" i="1415"/>
  <c r="M18" i="1415"/>
  <c r="L18" i="1415"/>
  <c r="M17" i="1415"/>
  <c r="L17" i="1415"/>
  <c r="M16" i="1415"/>
  <c r="L16" i="1415"/>
  <c r="M15" i="1415"/>
  <c r="L15" i="1415"/>
  <c r="B11" i="1415"/>
  <c r="B4" i="1415"/>
  <c r="L21" i="1414"/>
  <c r="M21" i="1414" s="1"/>
  <c r="L20" i="1414"/>
  <c r="M20" i="1414" s="1"/>
  <c r="M19" i="1414"/>
  <c r="L19" i="1414"/>
  <c r="M18" i="1414"/>
  <c r="L18" i="1414"/>
  <c r="M17" i="1414"/>
  <c r="L17" i="1414"/>
  <c r="M16" i="1414"/>
  <c r="L16" i="1414"/>
  <c r="M15" i="1414"/>
  <c r="L15" i="1414"/>
  <c r="B11" i="1414"/>
  <c r="B4" i="1414"/>
  <c r="L45" i="1397"/>
  <c r="M45" i="1397" s="1"/>
  <c r="L44" i="1397"/>
  <c r="M44" i="1397" s="1"/>
  <c r="L43" i="1397"/>
  <c r="M43" i="1397" s="1"/>
  <c r="L42" i="1397"/>
  <c r="M42" i="1397" s="1"/>
  <c r="M41" i="1397"/>
  <c r="L41" i="1397"/>
  <c r="L40" i="1397"/>
  <c r="M40" i="1397" s="1"/>
  <c r="D40" i="1397"/>
  <c r="L39" i="1397"/>
  <c r="M39" i="1397" s="1"/>
  <c r="D39" i="1397"/>
  <c r="L22" i="1397"/>
  <c r="M22" i="1397" s="1"/>
  <c r="M21" i="1397"/>
  <c r="L21" i="1397"/>
  <c r="L20" i="1397"/>
  <c r="M20" i="1397" s="1"/>
  <c r="L19" i="1397"/>
  <c r="M19" i="1397" s="1"/>
  <c r="L18" i="1397"/>
  <c r="M18" i="1397" s="1"/>
  <c r="D18" i="1397"/>
  <c r="L17" i="1397"/>
  <c r="M17" i="1397" s="1"/>
  <c r="D17" i="1397"/>
  <c r="L16" i="1397"/>
  <c r="M16" i="1397" s="1"/>
  <c r="D16" i="1397"/>
  <c r="B5" i="1397" l="1"/>
  <c r="B12" i="1397" s="1"/>
  <c r="B28" i="1397"/>
  <c r="B35" i="1397" s="1"/>
  <c r="J4" i="418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<sst xmlns="http://schemas.openxmlformats.org/spreadsheetml/2006/main" count="603" uniqueCount="201">
  <si>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</si>
  <si>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</si>
  <si>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</si>
  <si>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</si>
  <si>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</si>
  <si>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</si>
  <si>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</si>
  <si>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</si>
  <si>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</si>
  <si>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</si>
  <si>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</si>
  <si>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</si>
  <si>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</si>
  <si>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</si>
  <si>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</si>
  <si>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</si>
  <si>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</si>
  <si>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</si>
  <si>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</si>
  <si>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</si>
  <si>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</si>
  <si>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</si>
  <si>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</si>
  <si>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</si>
  <si>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</si>
  <si>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</si>
  <si>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</si>
  <si>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</si>
  <si>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</si>
  <si>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</si>
  <si>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</si>
  <si>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</si>
  <si>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</si>
  <si>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</si>
  <si>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</si>
  <si>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</si>
  <si>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</si>
  <si>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</si>
  <si>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</si>
  <si>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</si>
  <si>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</si>
  <si>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</si>
  <si>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</si>
  <si>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</si>
  <si>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</si>
  <si>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</si>
  <si>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</si>
  <si>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</si>
  <si>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</si>
  <si>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</si>
  <si>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</si>
  <si>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</si>
  <si>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</si>
  <si>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</si>
  <si>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</si>
  <si>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</si>
  <si>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</si>
  <si>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</si>
  <si>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</si>
  <si>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</si>
  <si>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</si>
  <si>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</si>
  <si>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</si>
  <si>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</si>
  <si>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</si>
  <si>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</si>
  <si>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</si>
  <si>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</si>
  <si>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</si>
  <si>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</si>
  <si>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</si>
  <si>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</si>
  <si>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</si>
  <si>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</si>
  <si>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</si>
  <si>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</si>
  <si>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</si>
  <si>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</si>
  <si>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</si>
  <si>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</si>
  <si>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</si>
  <si>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</si>
  <si>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</si>
  <si>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</si>
  <si>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</si>
  <si>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</si>
  <si>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</si>
  <si>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</si>
  <si>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</si>
  <si>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</si>
  <si>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</si>
  <si>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</si>
  <si>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</si>
  <si>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</si>
  <si>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</si>
  <si>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</si>
  <si>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</si>
  <si>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</si>
  <si>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</si>
  <si>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</si>
  <si>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</si>
  <si>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</si>
  <si>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</si>
  <si>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</si>
  <si>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</si>
  <si>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</si>
  <si>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</si>
  <si>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</si>
  <si>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</si>
  <si>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</si>
  <si>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</si>
  <si>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</si>
  <si>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</si>
  <si>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</si>
  <si>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</si>
  <si>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</si>
  <si>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</si>
  <si>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</si>
  <si>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</si>
  <si>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</si>
  <si>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</si>
  <si>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</si>
  <si>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</si>
  <si>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</si>
  <si>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</si>
  <si>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</si>
  <si>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</si>
  <si>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</si>
  <si>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</si>
  <si>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\\your.mail@provider.com\Calendar</t>
  </si>
  <si>
    <t>Hour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</si>
  <si>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</si>
  <si>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</si>
  <si>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</si>
  <si>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0000000038A1BB1005E5101AA1BB08002B2A56C20030454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</si>
  <si>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00000000F593AB5CD8A4614C8B1EC114C84EFB870100D67807C5E37E4B47A653892DF42F73BD00000000010D0000</t>
  </si>
  <si>
    <t>Add DoEvents for long-running operations</t>
  </si>
  <si>
    <t>VIRTUAL_SHEET_NAME</t>
  </si>
  <si>
    <t>VIRTUAL_SHEET_RANGE_ROWS</t>
  </si>
  <si>
    <t>VIRTUAL_SHEET_RANGE_COLS</t>
  </si>
  <si>
    <t>Take bags</t>
  </si>
  <si>
    <t>Done</t>
  </si>
  <si>
    <t>Take two</t>
  </si>
  <si>
    <t>{%Tag 1;%Tag 3}</t>
  </si>
  <si>
    <t>{important;preparation}</t>
  </si>
  <si>
    <t>#000001</t>
  </si>
  <si>
    <t>SetPlainDelta()</t>
  </si>
  <si>
    <t>SetCalendarDelta()</t>
  </si>
  <si>
    <t>#000002</t>
  </si>
  <si>
    <t>#000003</t>
  </si>
  <si>
    <t>#000004</t>
  </si>
  <si>
    <t>#000005</t>
  </si>
  <si>
    <t>#000006</t>
  </si>
  <si>
    <t>#000007</t>
  </si>
  <si>
    <t>Take umbrella</t>
  </si>
  <si>
    <t>{%Tag 3}</t>
  </si>
  <si>
    <t>{preparation}</t>
  </si>
  <si>
    <t>Buy soy sauce</t>
  </si>
  <si>
    <t>In progress</t>
  </si>
  <si>
    <t>{food}</t>
  </si>
  <si>
    <t>Buy pineapples</t>
  </si>
  <si>
    <t>Pineapples are well hidden</t>
  </si>
  <si>
    <t>{%Tag 2;%Tag 3}</t>
  </si>
  <si>
    <t>{fruit;food}</t>
  </si>
  <si>
    <t>#000008</t>
  </si>
  <si>
    <t>#000009</t>
  </si>
  <si>
    <t>#000010</t>
  </si>
  <si>
    <t>#000011</t>
  </si>
  <si>
    <t>Buy strawberries</t>
  </si>
  <si>
    <t>Have a chat with the store owner</t>
  </si>
  <si>
    <t>{non food}</t>
  </si>
  <si>
    <t>t1B16087FBAFA8F2DD</t>
  </si>
  <si>
    <t>tC5F28114EEBEA0BC0</t>
  </si>
  <si>
    <t>tAAF8231FB67247C24</t>
  </si>
  <si>
    <t>t542BC5542C608ACDC</t>
  </si>
  <si>
    <t>t3EAAC5681780C3894</t>
  </si>
  <si>
    <t>t4397B9B5873422F48</t>
  </si>
  <si>
    <t>preparation</t>
  </si>
  <si>
    <t>food</t>
  </si>
  <si>
    <t>fruit</t>
  </si>
  <si>
    <t>non food</t>
  </si>
  <si>
    <t>important</t>
  </si>
  <si>
    <t>{3,000;3,000;3,000;1,000;3,000;1,000;3,000;3,000;3,000;3,000;3,000;3,000;1,000;3,000;3,000;3,000;1,000;1,000;3,000;3,000;1,000;3,000;1,000;3,000;3,000;1,000;1,000;1,000;3,000;3,000;3,000;1,000;3,000;3,000;1,000;3,000;3,000;1,000;1,000;1,000;1,000;1,000;1,000;3,000;3,000;3,000;3,000;3,000;3,000;1,000}</t>
  </si>
  <si>
    <t>{0,050;0,200;0,350;0,500;0,650;0,800;0,950}</t>
  </si>
  <si>
    <t>{1,000;1,000;1,150;3,000;3,000;3,000;3,000}</t>
  </si>
  <si>
    <t>{18/02/2020 09:00:00;18/02/2020 09:00:00;18/02/2020 09:09:00;18/02/2020 11:00:00;18/02/2020 11:00:00;18/02/2020 11:00:00;18/02/2020 11:00:00}</t>
  </si>
  <si>
    <t>{2,500;2,500;2,500;7,500;2,500;7,500;7,500;2,500;2,500;7,500;2,500;2,500;7,500;7,500;2,500;2,500;2,500;7,500;2,500;7,500;7,500;2,500;2,500;2,500;2,500;2,500;7,500;2,500;2,500;2,500;7,500;7,500;2,500;2,500;7,500;7,500;7,500;7,500;2,500;7,500;7,500;7,500;7,500;2,500;2,500;7,500;7,500;2,500;7,500;7,500}</t>
  </si>
  <si>
    <t>{5,500;5,500;5,500;8,500;5,500;8,500;10,500;5,500;5,500;10,500;5,500;5,500;8,500;10,500;5,500;5,500;3,500;8,500;5,500;10,500;8,500;5,500;3,500;5,500;5,500;3,500;8,500;3,500;5,500;5,500;10,500;8,500;5,500;5,500;8,500;10,500;10,500;8,500;3,500;8,500;8,500;8,500;8,500;5,500;5,500;10,500;10,500;5,500;10,500;8,500}</t>
  </si>
  <si>
    <t>{3,500;5,500;5,500;6,250;8,500;8,700;10,500}</t>
  </si>
  <si>
    <t>{18/02/2020 11:30:00;18/02/2020 13:30:00;18/02/2020 13:30:00;18/02/2020 14:15:00;18/02/2020 16:30:00;18/02/2020 16:42:00;18/02/2020 18:30:00}</t>
  </si>
  <si>
    <t>{0,375;0,375;0,125;0,125;0,125;0,125;0,125;0,375;0,125;0,125;0,375;0,125;0,125;0,125;0,125;0,125;0,125;0,375;0,125;0,375;0,375;0,125;0,125;0,375;0,125;0,125;0,375;0,375;0,125;0,125;0,375;0,375;0,125;0,375;0,375;0,125;0,375;0,125;0,375;0,125;0,375;0,125;0,125;0,125;0,375;0,125;0,375;0,125;0,375;0,375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</si>
  <si>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</si>
  <si>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{18/02/2020 11:30:00;18/02/2020 13:30:00;18/02/2020 13:30:00;18/02/2020 14:15:00;18/02/2020 16:30:00;18/02/2020 16:42:00;19/02/2020 08:00:00}</t>
  </si>
  <si>
    <t>{1,500;0,500;0,500;1,500;1,500;1,500;0,500;0,500;0,500;1,500;1,500;1,500;1,500;0,500;0,500;0,500;1,500;1,500;1,500;1,500;1,500;0,500;0,500;1,500;1,500;0,500;0,500;1,500;1,500;1,500;0,500;1,500;1,500;0,500;0,500;1,500;0,500;1,500;1,500;1,500;1,500;1,500;1,500;1,500;0,500;0,500;1,500;0,500;0,500;1,500}</t>
  </si>
  <si>
    <t>{1,000;0,000;0,000;1,000;1,000;1,000;0,000;0,000;0,000;1,000;1,000;1,000;1,000;0,000;0,000;0,000;1,000;1,000;1,000;1,000;1,000;0,000;0,000;1,000;1,000;0,000;0,000;1,000;1,000;1,000;0,000;1,000;1,000;0,000;0,000;1,000;0,000;1,000;1,000;1,000;1,000;1,000;1,000;1,000;0,000;0,000;1,000;0,000;0,000;1,000}</t>
  </si>
  <si>
    <t>{6,500;5,500;5,500;9,500;6,500;9,500;10,500;5,500;5,500;11,500;6,500;6,500;9,500;10,500;5,500;5,500;4,500;9,500;6,500;11,500;9,500;5,500;3,500;6,500;6,500;3,500;8,500;4,500;6,500;6,500;10,500;9,500;6,500;5,500;8,500;11,500;10,500;9,500;4,500;9,500;9,500;9,500;9,500;6,500;5,500;10,500;11,500;5,500;10,500;9,500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</si>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</sst>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8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22" fontId="3" fillId="0" borderId="0" xfId="0" applyNumberFormat="1" applyFont="1"/>
    <xf numFmtId="0" fontId="7" fillId="10" borderId="0" xfId="2" applyFont="1" applyFill="1"/>
    <xf numFmtId="22" fontId="0" fillId="0" borderId="0" xfId="0" applyNumberFormat="1" applyFill="1"/>
    <xf numFmtId="14" fontId="6" fillId="0" borderId="0" xfId="1" applyNumberFormat="1" applyFill="1"/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04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401C-4C74-89F7-96C38CFE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3.5</c:v>
              </c:pt>
              <c:pt idx="1">
                <c:v>3.5</c:v>
              </c:pt>
              <c:pt idx="2">
                <c:v>4.5</c:v>
              </c:pt>
              <c:pt idx="3">
                <c:v>4.5</c:v>
              </c:pt>
              <c:pt idx="4">
                <c:v>4.5</c:v>
              </c:pt>
              <c:pt idx="5">
                <c:v>5.5</c:v>
              </c:pt>
              <c:pt idx="6">
                <c:v>5.5</c:v>
              </c:pt>
              <c:pt idx="7">
                <c:v>5.5</c:v>
              </c:pt>
              <c:pt idx="8">
                <c:v>5.5</c:v>
              </c:pt>
              <c:pt idx="9">
                <c:v>5.5</c:v>
              </c:pt>
              <c:pt idx="10">
                <c:v>5.5</c:v>
              </c:pt>
              <c:pt idx="11">
                <c:v>5.5</c:v>
              </c:pt>
              <c:pt idx="12">
                <c:v>5.5</c:v>
              </c:pt>
              <c:pt idx="13">
                <c:v>5.5</c:v>
              </c:pt>
              <c:pt idx="14">
                <c:v>5.5</c:v>
              </c:pt>
              <c:pt idx="15">
                <c:v>6.5</c:v>
              </c:pt>
              <c:pt idx="16">
                <c:v>6.5</c:v>
              </c:pt>
              <c:pt idx="17">
                <c:v>6.5</c:v>
              </c:pt>
              <c:pt idx="18">
                <c:v>6.5</c:v>
              </c:pt>
              <c:pt idx="19">
                <c:v>6.5</c:v>
              </c:pt>
              <c:pt idx="20">
                <c:v>6.5</c:v>
              </c:pt>
              <c:pt idx="21">
                <c:v>6.5</c:v>
              </c:pt>
              <c:pt idx="22">
                <c:v>6.5</c:v>
              </c:pt>
              <c:pt idx="23">
                <c:v>6.5</c:v>
              </c:pt>
              <c:pt idx="24">
                <c:v>6.5</c:v>
              </c:pt>
              <c:pt idx="25">
                <c:v>6.5</c:v>
              </c:pt>
              <c:pt idx="26">
                <c:v>8.5</c:v>
              </c:pt>
              <c:pt idx="27">
                <c:v>8.5</c:v>
              </c:pt>
              <c:pt idx="28">
                <c:v>9.5</c:v>
              </c:pt>
              <c:pt idx="29">
                <c:v>9.5</c:v>
              </c:pt>
              <c:pt idx="30">
                <c:v>9.5</c:v>
              </c:pt>
              <c:pt idx="31">
                <c:v>9.5</c:v>
              </c:pt>
              <c:pt idx="32">
                <c:v>9.5</c:v>
              </c:pt>
              <c:pt idx="33">
                <c:v>9.5</c:v>
              </c:pt>
              <c:pt idx="34">
                <c:v>9.5</c:v>
              </c:pt>
              <c:pt idx="35">
                <c:v>9.5</c:v>
              </c:pt>
              <c:pt idx="36">
                <c:v>9.5</c:v>
              </c:pt>
              <c:pt idx="37">
                <c:v>9.5</c:v>
              </c:pt>
              <c:pt idx="38">
                <c:v>9.5</c:v>
              </c:pt>
              <c:pt idx="39">
                <c:v>9.5</c:v>
              </c:pt>
              <c:pt idx="40">
                <c:v>10.5</c:v>
              </c:pt>
              <c:pt idx="41">
                <c:v>10.5</c:v>
              </c:pt>
              <c:pt idx="42">
                <c:v>10.5</c:v>
              </c:pt>
              <c:pt idx="43">
                <c:v>10.5</c:v>
              </c:pt>
              <c:pt idx="44">
                <c:v>10.5</c:v>
              </c:pt>
              <c:pt idx="45">
                <c:v>10.5</c:v>
              </c:pt>
              <c:pt idx="46">
                <c:v>11.5</c:v>
              </c:pt>
              <c:pt idx="47">
                <c:v>11.5</c:v>
              </c:pt>
              <c:pt idx="48">
                <c:v>11.5</c:v>
              </c:pt>
              <c:pt idx="49">
                <c:v>11.5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2A0-48D8-892E-888DDE9AA59D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4.5</c:v>
              </c:pt>
              <c:pt idx="1">
                <c:v>5.5</c:v>
              </c:pt>
              <c:pt idx="2">
                <c:v>6.5</c:v>
              </c:pt>
              <c:pt idx="3">
                <c:v>7</c:v>
              </c:pt>
              <c:pt idx="4">
                <c:v>9.5</c:v>
              </c:pt>
              <c:pt idx="5">
                <c:v>9.6</c:v>
              </c:pt>
              <c:pt idx="6">
                <c:v>11.5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2A0-48D8-892E-888DDE9AA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CF1A2C8-DC85-4D57-BE4F-43D59D1720D9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5993122-B1A7-4258-839E-412C414E3781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000A8ED-386D-4381-9824-3316DE26F357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99FF92A-C0B6-452B-A2CD-4DDD1A0E65C9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0EA2A90-1F63-4307-A56B-17C2D61E06A4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63794CC-9F0E-4262-8681-CC5AC2A6F8EB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FD30AC6-A2FB-43CC-B3D8-C4B173F1CBD8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5943476-C4FA-4E56-96A0-933EADE6B9C5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E1D402D-6302-4187-B4A0-C44BB06D90AE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8BB3BCD-8640-4F1A-B400-BA5F5A63B25C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39D84CB-8A42-4E72-9254-B3540DDC0B3E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6A7BA20-4EBF-4E53-8219-7C7071F03E7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F3ADA2B-2792-4239-86CE-5DBE03850401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AF34D08-6AED-48F2-B1DE-B5EE4AA539DA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D733C64-3C0F-4BE5-81EB-036AF9CC4C94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25E643D-B089-4221-9DBC-39272B1D9057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AA08560-F151-408E-93B0-A243CA147CC6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05E5B9-AE5C-412C-83E4-B3A39229A5C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9C953FF-0C38-4006-BF21-969D79810F01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4CDCB7A-F375-499A-8856-284C864A02E2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EBED439-25A9-4DE8-93CA-C578AEEAA50D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15DF23C-8C8E-4DC9-BFC9-F9BE952C69FA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82F23F7-88BF-41C5-A2F7-6880C6F8FDCF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AE4DB88-2FD7-49BF-97B5-705993B6A476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2122683-8BDD-4C10-8F22-113B1505C1CC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6E7D7CA-660E-444F-A31E-D384F51EC0F4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3AC3950-110D-4E69-80C3-99C47F26D97D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995031E-8A8B-4540-94FD-266860123926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84681CF-768B-408E-9724-200CEC809864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0F26424-2BAF-40DA-8BE6-C1A29714C08C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407A95B-5786-426D-88CC-C7FDA41E9319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698CE6D-E033-49A8-9E21-040125BD744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DD991FE-4FE4-48AF-AD18-08003321D4AF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74AD811-C24D-47CB-8FA6-28322C3A7D9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B464E36-EF59-4289-8F1C-10DA04211981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D17AD79-777D-4208-9EBC-446E2FF8DC65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D9630B7-DBC0-4F01-81B2-85146B6B2AD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664D50C-E06B-4ADE-826A-F9FC60F9DF1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DCF1C86-D4EB-4679-A2AA-2CF25B8DA554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E09412-FA81-432C-B68E-5D7E6FFC1C5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F6B56A5-93F6-44A0-971D-A700CAAE99FC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E06F619-CFB1-47C0-B2C5-CF45DAC98284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7D61DB3-6D38-41AC-B478-CD32FC68E9F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AF96B60-1FC3-4F1E-A166-79FE9216DA3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A93CF74-A2B5-49F7-B7A2-6608099D189A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84E0A68-3257-4BC1-B48D-9635E3351548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C08C35-E413-4BBF-A1A4-13C7DE7A3909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AA5312E-A1FE-4AD1-9039-BECBEA5FFD38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CF63F60-F55B-483F-AE95-0C121ACF206D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A25E5AD-062E-4811-93B7-C34392BD3724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F99CD6B-331F-4E29-8274-9EB50C8A5ED6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8BCC3B5-FA0D-49B1-936A-E907DC976744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B1B36DC-A753-4F3B-8840-C9E66FB68ED7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9EB5209-5AA4-4FAB-A58F-8508E4B612B6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8E45DCA-84F6-42CC-AE94-7F85FE377D57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024467D-D7C2-45A3-8820-C78A4F415513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2293DC-AD88-4328-AA3A-EB5905040DBF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3CDB357-B657-4B36-B904-DB8B1B6CB34B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2F1F5BA-F31A-4BB2-8422-BB0CA545F49D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F84C83B-6B06-4FDC-998B-14E1A915500B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E788FBA-1F55-412B-A4A2-EFD501980E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64724F6-4CC7-4FF0-8DA8-076FE5065ADE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541B020-AEB0-4B8E-8C58-E7A7F5CC14EB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BFDAB7F-0759-4424-B562-7DAAFD44D923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94F457D-F3DD-458C-97B4-2821BC8D6F09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22E9247-BABD-4BB9-B8E8-845D50EADBE6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474D03A-2437-409C-9284-36663835A30A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FD3C29D-EE7C-4D15-AD54-18F4231B366F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09608F7-C7DC-47CD-BD89-E4C78FE814C3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5975853-921A-4B27-9E73-BCE0B1A2D75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1A14EEC-7660-46E5-9356-ECDB32CDAA93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8EC4B82-8D9E-4176-8DFC-36668EE06875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397BB5-E555-4245-A155-0DDD0EAB0AB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C77D3DB-9B87-4769-837F-2B607E2B343D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9B26339-8A5E-4A91-8A6C-D1D430E86C16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FF12293-CEA2-4226-9E5B-1325AADF9EC4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553A484-6449-46DB-98BA-273BDEB3D9BB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94779C1-0EA1-4049-94C6-B23299B568EC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16ECFC3-828B-4388-9255-2B5E28D87BC8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92DAB85-38EA-46F0-BEAC-8FC097B1F1C2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8445D5A-D4D6-4F86-BC1E-347C3918A7D5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ECF5A64-EF08-4B9D-978B-34B7B23BA49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B646E2B-B75E-4456-8D3D-7EFC7ECFBD87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66F9DB0-AFF1-46E2-B3A0-310C99EE6B47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0DFECA3-D170-46A7-B8F8-B622A972EDF6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8471507-0D79-463C-A475-F6632245237C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DA27391-874B-4995-AED2-16E7BDA80B9A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5454405-986F-4853-84DD-842139368734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A108C5E-0794-4190-995C-E2E9935B60E7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D4FC09E-6868-4E82-A59D-71F5817CAE2F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A28E56-9F8F-465B-AD80-B055810611FA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9E4D7C4-DD9D-4DB6-8F80-F3640666C4E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8E137E7-B901-4DCE-9530-52D6CA81136D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75F8B40-FE56-42B8-93B9-F8E4C2436069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A1FA476-8213-4DFD-89E0-F299432FAA78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3FB1F5C-D189-4678-87ED-F093139D4BB1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872BA92-584E-44D1-A032-E8125852F70C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DB37774-6B45-417E-AA38-07B23EC82D37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9BE4625-ED06-4BAA-9F5C-9150BA71365D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7608E79-E553-4279-97ED-A115EDD1D318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3705461-F36D-4DA4-AC5D-D67F135FB6D6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B93CF29-8F32-41FE-A336-91CD83A1F66D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30C61C-CE7E-470A-9FE6-D8E2AC873588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7BB7A05-3B1F-49F5-9C0B-BC3FFF8EB8B5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950B586-22FA-4BF5-BE56-75C3A3810694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2CFBA68C-8E45-4E23-98BB-1D9FD7DFFB6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13777E30-D51E-4435-AC69-DDC1FBA5048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9" totalsRowShown="0" dataDxfId="0">
  <autoFilter ref="A3:Q9" xr:uid="{520F3973-795E-47E6-97CD-1C1265CA838A}"/>
  <sortState xmlns:xlrd2="http://schemas.microsoft.com/office/spreadsheetml/2017/richdata2" ref="A4:Q9">
    <sortCondition descending="1" ref="P3:P9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B2C01B01-4FD0-4140-8F70-81D8831A4391}" name="TimeEntries132347587917374751718310112513715516718519721522724525727528730531733534736537739540742519374969819911112914115917118920121923124926127919334760174562879718119119521923724327536610311513517918920921923924927729337338941542545346950952757361145" displayName="TimeEntries132347587917374751718310112513715516718519721522724525727528730531733534736537739540742519374969819911112914115917118920121923124926127919334760174562879718119119521923724327536610311513517918920921923924927729337338941542545346950952757361145" ref="A14:G15" insertRow="1" totalsRowShown="0">
  <autoFilter ref="A14:G15" xr:uid="{F98D23F4-71DF-4A00-AE61-56A56C9B9388}"/>
  <tableColumns count="7">
    <tableColumn id="1" xr3:uid="{8CA5BD92-CF00-4ADD-B384-8B4729437A40}" name="Time entry no."/>
    <tableColumn id="2" xr3:uid="{1CF1CE84-8828-4087-B562-DBE42277D131}" name="Start time" dataDxfId="63"/>
    <tableColumn id="3" xr3:uid="{F19144CC-C3A3-4715-B60F-8DF080CE21CC}" name="End time" dataDxfId="62"/>
    <tableColumn id="4" xr3:uid="{1EE114A2-6798-4E42-A889-70D16FCDFD20}" name="Time delta in h" dataDxfId="61"/>
    <tableColumn id="5" xr3:uid="{CEC1DB89-FAD1-49AE-99CB-7F6E80270CD9}" name="Indicator"/>
    <tableColumn id="6" xr3:uid="{7ECB42A2-0138-4C34-971A-97D29677B872}" name="Action1" dataDxfId="60" dataCellStyle="Link"/>
    <tableColumn id="7" xr3:uid="{312F23D9-76ED-4BDE-B024-84BCD7E82BA3}" name="Action2" dataDxfId="59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C0579169-1ADD-4F75-BCF4-3BB5253BE780}" name="Tabelle7367142448598018384852728410212613815616818619821622824625827628830631833634836637839640842620385070821001121301421601721902022202322502622802034486118466388981821921962202382442854681041161361801902102202402502782943743904164264544705105285741146" displayName="Tabelle7367142448598018384852728410212613815616818619821622824625827628830631833634836637839640842620385070821001121301421601721902022202322502622802034486118466388981821921962202382442854681041161361801902102202402502782943743904164264544705105285741146" ref="I14:M21" totalsRowShown="0">
  <autoFilter ref="I14:M21" xr:uid="{198630F4-F57C-44FB-8085-200A69112FD7}"/>
  <tableColumns count="5">
    <tableColumn id="1" xr3:uid="{617CCAB4-D138-405B-B486-44046A64E1E0}" name="Comparison entry no."/>
    <tableColumn id="2" xr3:uid="{0F4B00ED-1BD9-4700-9CD3-35F96D5C08A9}" name="Propability Support point" dataDxfId="58"/>
    <tableColumn id="3" xr3:uid="{66A40922-21BA-49C0-8981-85495B5B5A4A}" name="EBS self time" dataDxfId="57"/>
    <tableColumn id="4" xr3:uid="{39ED8360-63C0-4FDC-BF9B-5724F07B1B7E}" name="Total time">
      <calculatedColumnFormula>#REF!</calculatedColumnFormula>
    </tableColumn>
    <tableColumn id="5" xr3:uid="{08CE95BC-99B8-4C6C-8749-7A5C6D330B2B}" name="Total time / Your estimate" dataDxfId="56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88633A6C-CBB3-4119-AA48-96C9D4724C72}" name="TimeEntries619314966825416075871031131311431611731912032212332512632812933113233413533713834014131325435675871051171351471651771952072252372552671325436921396081951771891992212312414962991111751872052172352472712913673874114234474674954975696036196351149" displayName="TimeEntries619314966825416075871031131311431611731912032212332512632812933113233413533713834014131325435675871051171351471651771952072252372552671325436921396081951771891992212312414962991111751872052172352472712913673874114234474674954975696036196351149" ref="A14:G15" insertRow="1" totalsRowShown="0">
  <autoFilter ref="A14:G15" xr:uid="{BBC41E9F-3DED-4DDC-A79A-09B2073CDF98}"/>
  <tableColumns count="7">
    <tableColumn id="1" xr3:uid="{80D35E19-3C55-43DC-B71F-4D9E32BD2AFF}" name="Time entry no."/>
    <tableColumn id="2" xr3:uid="{18E4E060-27A0-45E4-AA1D-A01B8741EE09}" name="Start time" dataDxfId="55"/>
    <tableColumn id="3" xr3:uid="{3909D487-D9B0-4C39-B4FC-ECA365C2CE41}" name="End time" dataDxfId="54"/>
    <tableColumn id="4" xr3:uid="{AC17E9F7-4AC7-4468-B7E6-B03F99A0B942}" name="Time delta in h" dataDxfId="53"/>
    <tableColumn id="5" xr3:uid="{84582073-6800-4ADA-AB9B-F5DA2AA138FC}" name="Indicator"/>
    <tableColumn id="6" xr3:uid="{C766D265-0AEF-4C0E-A065-42FF34BDE75F}" name="Action1" dataDxfId="52" dataCellStyle="Link"/>
    <tableColumn id="7" xr3:uid="{ED7C8B4C-4953-4BDA-B9F0-B5F63D753C4E}" name="Action2" dataDxfId="51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DFAEB328-59F6-44F2-A79B-6E331522A6F8}" name="Tabelle7367720325068926426176881041141321441621741922042222342522642822943123243423543723844024141426445776881061181361481661781962082262382562681426447022406182961781902002222322425063100112176188206218236248272292368388412424448468496498570604620631150" displayName="Tabelle7367720325068926426176881041141321441621741922042222342522642822943123243423543723844024141426445776881061181361481661781962082262382562681426447022406182961781902002222322425063100112176188206218236248272292368388412424448468496498570604620631150" ref="I14:M21" totalsRowShown="0">
  <autoFilter ref="I14:M21" xr:uid="{BC551909-BFB1-42E4-BEFA-144FE790F090}"/>
  <tableColumns count="5">
    <tableColumn id="1" xr3:uid="{5B60A7D9-1160-4EB9-8177-72C39545831F}" name="Comparison entry no."/>
    <tableColumn id="2" xr3:uid="{39FB57BA-9696-4EC4-AE9B-58ACD15BF87C}" name="Propability Support point" dataDxfId="50"/>
    <tableColumn id="3" xr3:uid="{1581C412-B0FE-459E-9959-F509DC6EC07C}" name="EBS self time" dataDxfId="49"/>
    <tableColumn id="4" xr3:uid="{C6121705-CE9C-4143-B9D0-C5706E91A725}" name="Total time">
      <calculatedColumnFormula>#REF!</calculatedColumnFormula>
    </tableColumn>
    <tableColumn id="5" xr3:uid="{92A6DC9D-3F19-4C89-BA17-8508BE857180}" name="Total time / Your estimate" dataDxfId="48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3C372AED-5F02-4C9A-87DE-4F8380B51444}" name="TimeEntries821435675153345697995107121135151165181195211225241255271285301315331345361375391405421173347647995109125139155169185199215229245259275172945561533587593173187215227436093109171185201215231245265289319321361385407421441465555565601611615631153" displayName="TimeEntries821435675153345697995107121135151165181195211225241255271285301315331345361375391405421173347647995109125139155169185199215229245259275172945561533587593173187215227436093109171185201215231245265289319321361385407421441465555565601611615631153" ref="A14:G25" totalsRowShown="0">
  <autoFilter ref="A14:G25" xr:uid="{80F95C9E-318B-46CD-B8B0-A43A6200EB7C}"/>
  <tableColumns count="7">
    <tableColumn id="1" xr3:uid="{74798D92-F9DE-422A-8858-FAB1BC1641A1}" name="Time entry no."/>
    <tableColumn id="2" xr3:uid="{C167F363-48F6-4D85-B63C-9C06FC7CD272}" name="Start time" dataDxfId="47"/>
    <tableColumn id="3" xr3:uid="{CC174025-9F28-4466-81D4-B5ED724400D1}" name="End time" dataDxfId="46"/>
    <tableColumn id="4" xr3:uid="{2903C5D4-08CA-430A-9DEA-8C136EC7AE40}" name="Time delta in h" dataDxfId="45">
      <calculatedColumnFormula>MAX((C15-B15)*24,0)</calculatedColumnFormula>
    </tableColumn>
    <tableColumn id="5" xr3:uid="{74627401-6BE6-4BE8-A089-D98C4F3E4601}" name="Indicator"/>
    <tableColumn id="6" xr3:uid="{5B97BFC8-D529-45D6-8EAD-20026B33E1E8}" name="Action1" dataDxfId="44" dataCellStyle="Link"/>
    <tableColumn id="7" xr3:uid="{B3248DC4-17DD-4B44-BC3B-D5802BD8E286}" name="Action2" dataDxfId="43" dataCellStyle="Link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D42A9008-2EDF-4102-90EE-CF3B08C562BB}" name="Tabelle7367922445776163446708096108122136152166182196212226242256272286302316332346362376392406422183448658096110126140156170186200216230246260276183046571634597694174188216228446194110172186202216232246266290320322362386408422442466556566602612616631154" displayName="Tabelle7367922445776163446708096108122136152166182196212226242256272286302316332346362376392406422183448658096110126140156170186200216230246260276183046571634597694174188216228446194110172186202216232246266290320322362386408422442466556566602612616631154" ref="I14:M21" totalsRowShown="0">
  <autoFilter ref="I14:M21" xr:uid="{00F15345-A8D1-4D7E-B3CC-82BC3F105C05}"/>
  <tableColumns count="5">
    <tableColumn id="1" xr3:uid="{7D18611F-DE2F-450F-AFC9-7CC4750E1C54}" name="Comparison entry no."/>
    <tableColumn id="2" xr3:uid="{4491789E-92E3-48FD-8870-C3F15EE4A8F8}" name="Propability Support point" dataDxfId="42"/>
    <tableColumn id="3" xr3:uid="{31F7601B-4807-40CF-AA3E-CDFB7CA7F1FE}" name="EBS self time" dataDxfId="41"/>
    <tableColumn id="4" xr3:uid="{E411A068-3B83-48D7-9029-D1E333E1A594}" name="Total time">
      <calculatedColumnFormula>#REF!</calculatedColumnFormula>
    </tableColumn>
    <tableColumn id="5" xr3:uid="{9A11968D-54FF-4C8E-B4C8-38A64CFC84F3}" name="Total time / Your estimate" dataDxfId="40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4288824-DFF6-4BF4-8CC0-4DECEEF27C31}" name="TimeEntries152539537113294364779110511713314716317719320722323725326728329731332734335737338740341715294560779110712113715116718119721122724125727115374964192756699116918520922537588710716718319721322724325928735538340341943546355156359760963164166161157" displayName="TimeEntries152539537113294364779110511713314716317719320722323725326728329731332734335737338740341715294560779110712113715116718119721122724125727115374964192756699116918520922537588710716718319721322724325928735538340341943546355156359760963164166161157" ref="A14:G17" totalsRowShown="0">
  <autoFilter ref="A14:G17" xr:uid="{C365088E-E76F-453C-AD64-4E94AE592E37}"/>
  <tableColumns count="7">
    <tableColumn id="1" xr3:uid="{3FF0DF63-1D5E-4483-B4F3-BBA7D7F9A558}" name="Time entry no."/>
    <tableColumn id="2" xr3:uid="{483C5E2F-E8D6-48BF-8133-7193E890FA83}" name="Start time" dataDxfId="39"/>
    <tableColumn id="3" xr3:uid="{4AC76972-D471-4785-AAB3-60EA71D8AFAB}" name="End time" dataDxfId="38"/>
    <tableColumn id="4" xr3:uid="{ADB03635-9242-4891-B43F-A6FDAC4B2B41}" name="Time delta in h" dataDxfId="37">
      <calculatedColumnFormula>MAX((C15-B15)*24,0)</calculatedColumnFormula>
    </tableColumn>
    <tableColumn id="5" xr3:uid="{28633E6F-C7BA-4388-BCF3-4C32A5CF1633}" name="Indicator"/>
    <tableColumn id="6" xr3:uid="{3A09E599-4B21-45BE-B329-2E11D2A5B3AF}" name="Action1" dataDxfId="36" dataCellStyle="Link"/>
    <tableColumn id="7" xr3:uid="{D6610EBE-03D3-4E35-95B8-F9C27A28E0BA}" name="Action2" dataDxfId="35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8D8365CB-0DFE-4D0E-8159-2FC2BC174B38}" name="Tabelle7367162840547214304465789210611813414816417819420822423825426828429831432834435837438840441816304661789210812213815216818219821222824225827216385065202857709217018621022638598810816818419821422824426028835638440442043646455256459861063264266261158" displayName="Tabelle7367162840547214304465789210611813414816417819420822423825426828429831432834435837438840441816304661789210812213815216818219821222824225827216385065202857709217018621022638598810816818419821422824426028835638440442043646455256459861063264266261158" ref="I14:M21" totalsRowShown="0">
  <autoFilter ref="I14:M21" xr:uid="{9CB221AF-6CCD-4669-93F7-EC6BD53521EA}"/>
  <tableColumns count="5">
    <tableColumn id="1" xr3:uid="{2D54E428-8289-42BA-9EC8-14F8D37B105E}" name="Comparison entry no."/>
    <tableColumn id="2" xr3:uid="{63A9BF35-88B8-466A-B200-C9FC41D28D5E}" name="Propability Support point" dataDxfId="34"/>
    <tableColumn id="3" xr3:uid="{332962AF-39E7-4251-9CF9-59C40BD16374}" name="EBS self time" dataDxfId="33"/>
    <tableColumn id="4" xr3:uid="{013FA4B1-174B-4A36-9040-5850B09589B5}" name="Total time">
      <calculatedColumnFormula>#REF!</calculatedColumnFormula>
    </tableColumn>
    <tableColumn id="5" xr3:uid="{8B4C9889-9851-429B-9E5D-D4DD0796FB10}" name="Total time / Your estimate" dataDxfId="32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19" totalsRowShown="0">
  <autoFilter ref="A18:H19" xr:uid="{1948C160-1F52-48A7-8061-8AFF06D47134}"/>
  <tableColumns count="8">
    <tableColumn id="1" xr3:uid="{E6BEF93E-0B5C-43B8-89CF-C62D27CA2DAC}" name="EBS entry no."/>
    <tableColumn id="4" xr3:uid="{29329024-2EEE-45EA-B998-5CDBC9E950F5}" name="EBS run date" dataDxfId="82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2" totalsRowShown="0">
  <autoFilter ref="J18:T22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81"/>
    <tableColumn id="4" xr3:uid="{BD24E662-9F4E-4C61-82B5-EAD94B1901CC}" name="User time estimate" dataDxfId="80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9" insertRow="1" totalsRowShown="0" headerRowDxfId="103" dataDxfId="101" headerRowBorderDxfId="102">
  <autoFilter ref="A8:D9" xr:uid="{8E9EC0C1-7901-48B6-A59A-1CE6ABEE7A55}"/>
  <tableColumns count="4">
    <tableColumn id="1" xr3:uid="{58BB2187-C79D-4A1A-A9A3-DA2F074C476C}" name="Split entry no." dataDxfId="100"/>
    <tableColumn id="2" xr3:uid="{A755482D-FFF4-43D8-8021-1956CE3A7021}" name="Split start" dataDxfId="99"/>
    <tableColumn id="3" xr3:uid="{FE0A0B8D-1F8A-4CEC-9FB3-C945A45F99BF}" name="Split end" dataDxfId="98"/>
    <tableColumn id="4" xr3:uid="{5443222D-0CE3-4625-9EDB-D13B87B6C388}" name="Time spent" dataDxfId="97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96" dataCellStyle="Link"/>
    <tableColumn id="9" xr3:uid="{0037D127-E2BA-445A-BC63-1395BA3AC441}" name="Calendar ID" dataDxfId="95" dataCellStyle="Link"/>
    <tableColumn id="10" xr3:uid="{37CA3B7B-8FF0-4042-97C6-E23A79A74325}" name="Store ID"/>
    <tableColumn id="6" xr3:uid="{044D8005-25C5-4D31-940A-B6DE4C6B0EA5}" name="WorkingDays" dataDxfId="94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93"/>
    <tableColumn id="8" xr3:uid="{1177B0FB-46B2-406D-B988-C64E0ABA6972}" name="AppointmentOffsetHours" dataDxfId="92">
      <calculatedColumnFormula>5/60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91"/>
    <tableColumn id="3" xr3:uid="{78DABF02-3853-48FF-81AD-5801C74BED1B}" name="End time" dataDxfId="90"/>
    <tableColumn id="4" xr3:uid="{76C994F9-216A-4848-9FB6-16BAF8B0EEEA}" name="Time delta in h" dataDxfId="89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88"/>
    <tableColumn id="3" xr3:uid="{A62B365F-400F-45A4-B789-FE7B5FDBD312}" name="EBS self time" dataDxfId="87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86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6F33A442-EC44-4652-9FFD-3D2617BF2CA1}" name="TimeEntries213751699510512513513915719921722924727128317192139607393107127139" displayName="TimeEntries213751699510512513513915719921722924727128317192139607393107127139" ref="A15:G18" totalsRowShown="0">
  <autoFilter ref="A15:G18" xr:uid="{6F099947-6335-4D95-8EF8-838012950EE6}"/>
  <tableColumns count="7">
    <tableColumn id="1" xr3:uid="{0B0C8575-A231-4DF8-8CA5-E63D6C8FB6CD}" name="Time entry no."/>
    <tableColumn id="2" xr3:uid="{240D9C9D-3530-4328-9040-528B2B5E24A5}" name="Start time" dataDxfId="79"/>
    <tableColumn id="3" xr3:uid="{1121AD8C-DDF6-4DF7-A16C-26365D958138}" name="End time" dataDxfId="78"/>
    <tableColumn id="4" xr3:uid="{BBDC475A-1960-4740-A311-35BA45E8EB5B}" name="Time delta in h" dataDxfId="77">
      <calculatedColumnFormula>MAX((C16-B16)*24,0)</calculatedColumnFormula>
    </tableColumn>
    <tableColumn id="5" xr3:uid="{E515E47B-6D9B-4272-A451-6ED723312D79}" name="Indicator"/>
    <tableColumn id="6" xr3:uid="{C576EA84-83AE-4724-B3CF-5FB1424B0D6D}" name="Action1" dataDxfId="76" dataCellStyle="Link"/>
    <tableColumn id="7" xr3:uid="{9F235DBD-5EDB-4C9C-94DB-F77FBEBEEC01}" name="Action2" dataDxfId="75" dataCellStyle="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FED70D8F-8371-471C-AE7C-EC94449BC975}" name="Tabelle7367223852709610612613614015820021823024827228418202240617494108128140" displayName="Tabelle7367223852709610612613614015820021823024827228418202240617494108128140" ref="I15:M22" totalsRowShown="0">
  <autoFilter ref="I15:M22" xr:uid="{93877637-0AF6-443B-9CD0-F86BCEBA1651}"/>
  <tableColumns count="5">
    <tableColumn id="1" xr3:uid="{A236BFC2-7076-4F68-9DAB-89EDCC3FC360}" name="Comparison entry no."/>
    <tableColumn id="2" xr3:uid="{A583E26D-9D3A-4F2F-8119-B9D73A8890CC}" name="Propability Support point" dataDxfId="74"/>
    <tableColumn id="3" xr3:uid="{10456EC4-B7C9-4B14-AFFD-2E562CA83815}" name="EBS self time" dataDxfId="73"/>
    <tableColumn id="4" xr3:uid="{BE73FBCF-C26B-4A4D-B27F-F1ABB32FCAD7}" name="Total time">
      <calculatedColumnFormula>#REF!</calculatedColumnFormula>
    </tableColumn>
    <tableColumn id="5" xr3:uid="{386688F7-A1DD-4193-A3DB-D0438540E734}" name="Total time / Your estimate" dataDxfId="72">
      <calculatedColumnFormula>Tabelle7367223852709610612613614015820021823024827228418202240617494108128140[[#This Row],[EBS self time]]/Tabelle7367223852709610612613614015820021823024827228418202240617494108128140[[#This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16F43094-FEFA-47B5-A014-D40367E95AFB}" name="TimeEntries217355162621395673991091291391591691891992192292492592792893093193393493693793994098214151738310311313314316317319320322323325326382141518235164165183203223315681105163181193211223241253285337381399417429461521533593607627639657669687699711141" displayName="TimeEntries217355162621395673991091291391591691891992192292492592792893093193393493693793994098214151738310311313314316317319320322323325326382141518235164165183203223315681105163181193211223241253285337381399417429461521533593607627639657669687699711141" ref="A38:G40" totalsRowShown="0">
  <autoFilter ref="A38:G40" xr:uid="{36E862F0-42EC-40C3-BAF6-883F87512897}"/>
  <tableColumns count="7">
    <tableColumn id="1" xr3:uid="{5E816E6F-E271-4E42-B404-AD7089FCEEB4}" name="Time entry no."/>
    <tableColumn id="2" xr3:uid="{88EEF8F4-F741-4AE8-ACAD-FCD617C8536F}" name="Start time" dataDxfId="71"/>
    <tableColumn id="3" xr3:uid="{9ACE7B1D-6E43-4F0F-8F96-A7992F044ED5}" name="End time" dataDxfId="70"/>
    <tableColumn id="4" xr3:uid="{0CAC825D-114A-44AC-96B2-9AB687CF2A44}" name="Time delta in h" dataDxfId="69">
      <calculatedColumnFormula>MAX((C39-B39)*24,0)</calculatedColumnFormula>
    </tableColumn>
    <tableColumn id="5" xr3:uid="{299181F5-F75A-4BB0-9725-A51F355B1289}" name="Indicator"/>
    <tableColumn id="6" xr3:uid="{EE009820-B9F2-4F19-971D-C4BE1D51A97C}" name="Action1" dataDxfId="68" dataCellStyle="Link"/>
    <tableColumn id="7" xr3:uid="{417B3BD0-4431-41B0-A47A-7956C60519D5}" name="Action2" dataDxfId="67" dataCellStyle="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566615DD-40EC-4CDC-A817-F3E33FF9759E}" name="Tabelle7367518365263722405774100110130140160170190200220230250260280290310320340350370380400410922425274841041141341441641741942042242342542649224252924526516618420422432578210616418219421222424225428633838240041843046252253459460862864065867068870071142" displayName="Tabelle7367518365263722405774100110130140160170190200220230250260280290310320340350370380400410922425274841041141341441641741942042242342542649224252924526516618420422432578210616418219421222424225428633838240041843046252253459460862864065867068870071142" ref="I38:M45" totalsRowShown="0">
  <autoFilter ref="I38:M45" xr:uid="{4E02D372-B341-473E-9B50-457D7B707D52}"/>
  <tableColumns count="5">
    <tableColumn id="1" xr3:uid="{AC5703F6-2DE2-4542-BF60-17F440588E4D}" name="Comparison entry no."/>
    <tableColumn id="2" xr3:uid="{2FF524E1-E350-4C8F-A0CC-4EAF9FECECE3}" name="Propability Support point" dataDxfId="66"/>
    <tableColumn id="3" xr3:uid="{F3039D6A-A8F6-4FA8-8FDC-ECEB5CA88744}" name="EBS self time" dataDxfId="65"/>
    <tableColumn id="4" xr3:uid="{819AA2AE-E459-4426-A083-F358AE52D0EE}" name="Total time">
      <calculatedColumnFormula>#REF!</calculatedColumnFormula>
    </tableColumn>
    <tableColumn id="5" xr3:uid="{549A54A8-A92A-45E8-B7D9-787D6F914DEB}" name="Total time / Your estimate" dataDxfId="64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85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84"/>
    <tableColumn id="4" xr3:uid="{F9EDA55E-5206-49A7-A846-6A0B14C04CAF}" name="User time estimate" dataDxfId="83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mail@provider.com\Calendar" TargetMode="External"/><Relationship Id="rId1" Type="http://schemas.openxmlformats.org/officeDocument/2006/relationships/hyperlink" Target="file:///\\your.mail@provider.com\Calendar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3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4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C1" zoomScaleNormal="100" workbookViewId="0">
      <selection activeCell="E17" sqref="E17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9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customWidth="1" outlineLevel="1"/>
    <col min="12" max="12" width="15" style="10" customWidth="1" outlineLevel="1"/>
    <col min="13" max="13" width="15.7109375" style="10" customWidth="1" outlineLevel="1"/>
    <col min="14" max="14" width="15.7109375" style="39" customWidth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8" t="s">
        <v>78</v>
      </c>
      <c r="M2" s="38" t="s">
        <v>78</v>
      </c>
      <c r="O2" s="8"/>
      <c r="P2" s="8"/>
      <c r="Q2" s="8"/>
      <c r="U2"/>
    </row>
    <row r="3" spans="1:22" x14ac:dyDescent="0.25">
      <c r="A3" s="6" t="s">
        <v>12</v>
      </c>
      <c r="B3" s="39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9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145</v>
      </c>
      <c r="B4" s="36"/>
      <c r="C4" s="23" t="s">
        <v>154</v>
      </c>
      <c r="D4" s="23"/>
      <c r="E4" s="24"/>
      <c r="F4" s="24"/>
      <c r="G4" s="24" t="s">
        <v>177</v>
      </c>
      <c r="H4" s="24" t="s">
        <v>141</v>
      </c>
      <c r="I4" s="25">
        <v>0.5</v>
      </c>
      <c r="J4" s="25">
        <v>0.75</v>
      </c>
      <c r="K4" s="26">
        <v>43877.967650462961</v>
      </c>
      <c r="L4" s="25" t="s">
        <v>95</v>
      </c>
      <c r="M4" s="26" t="s">
        <v>95</v>
      </c>
      <c r="N4" s="36" t="s">
        <v>95</v>
      </c>
      <c r="O4" s="24" t="s">
        <v>19</v>
      </c>
      <c r="P4" s="24" t="s">
        <v>95</v>
      </c>
      <c r="Q4" s="24" t="s">
        <v>171</v>
      </c>
      <c r="U4"/>
    </row>
    <row r="5" spans="1:22" x14ac:dyDescent="0.25">
      <c r="A5" s="40" t="s">
        <v>152</v>
      </c>
      <c r="B5" s="36"/>
      <c r="C5" s="23" t="s">
        <v>140</v>
      </c>
      <c r="D5" s="23" t="s">
        <v>142</v>
      </c>
      <c r="E5" s="24" t="s">
        <v>181</v>
      </c>
      <c r="F5" s="40"/>
      <c r="G5" s="40" t="s">
        <v>177</v>
      </c>
      <c r="H5" s="40" t="s">
        <v>141</v>
      </c>
      <c r="I5" s="41">
        <v>1</v>
      </c>
      <c r="J5" s="41">
        <v>0.50000000005820799</v>
      </c>
      <c r="K5" s="46">
        <v>43876.756701388891</v>
      </c>
      <c r="L5" s="40" t="s">
        <v>95</v>
      </c>
      <c r="M5" s="40" t="s">
        <v>95</v>
      </c>
      <c r="N5" s="36" t="s">
        <v>95</v>
      </c>
      <c r="O5" s="40" t="s">
        <v>19</v>
      </c>
      <c r="P5" s="40" t="s">
        <v>95</v>
      </c>
      <c r="Q5" s="40" t="s">
        <v>176</v>
      </c>
      <c r="U5"/>
    </row>
    <row r="6" spans="1:22" x14ac:dyDescent="0.25">
      <c r="A6" s="40" t="s">
        <v>151</v>
      </c>
      <c r="B6" s="36"/>
      <c r="C6" s="23" t="s">
        <v>169</v>
      </c>
      <c r="D6" s="23"/>
      <c r="E6" s="24"/>
      <c r="F6" s="40"/>
      <c r="G6" s="40" t="s">
        <v>180</v>
      </c>
      <c r="H6" s="40" t="s">
        <v>94</v>
      </c>
      <c r="I6" s="41">
        <v>2</v>
      </c>
      <c r="J6" s="41">
        <v>0</v>
      </c>
      <c r="K6" s="40" t="s">
        <v>95</v>
      </c>
      <c r="L6" s="41">
        <v>2.0750000000000002</v>
      </c>
      <c r="M6" s="46">
        <v>43879.419791666667</v>
      </c>
      <c r="N6" s="36" t="s">
        <v>95</v>
      </c>
      <c r="O6" s="40" t="s">
        <v>19</v>
      </c>
      <c r="P6" s="40">
        <v>4</v>
      </c>
      <c r="Q6" s="40" t="s">
        <v>175</v>
      </c>
      <c r="U6"/>
    </row>
    <row r="7" spans="1:22" x14ac:dyDescent="0.25">
      <c r="A7" s="40" t="s">
        <v>150</v>
      </c>
      <c r="B7" s="36"/>
      <c r="C7" s="23" t="s">
        <v>168</v>
      </c>
      <c r="D7" s="23"/>
      <c r="E7" s="24"/>
      <c r="F7" s="40" t="s">
        <v>179</v>
      </c>
      <c r="G7" s="40" t="s">
        <v>178</v>
      </c>
      <c r="H7" s="40" t="s">
        <v>94</v>
      </c>
      <c r="I7" s="41">
        <v>5</v>
      </c>
      <c r="J7" s="41">
        <v>0</v>
      </c>
      <c r="K7" s="40" t="s">
        <v>95</v>
      </c>
      <c r="L7" s="41">
        <v>7</v>
      </c>
      <c r="M7" s="46">
        <v>43879.625</v>
      </c>
      <c r="N7" s="36" t="s">
        <v>95</v>
      </c>
      <c r="O7" s="40" t="s">
        <v>19</v>
      </c>
      <c r="P7" s="40">
        <v>3</v>
      </c>
      <c r="Q7" s="40" t="s">
        <v>174</v>
      </c>
      <c r="U7"/>
    </row>
    <row r="8" spans="1:22" x14ac:dyDescent="0.25">
      <c r="A8" s="40" t="s">
        <v>149</v>
      </c>
      <c r="B8" s="36"/>
      <c r="C8" s="23" t="s">
        <v>160</v>
      </c>
      <c r="D8" s="23" t="s">
        <v>161</v>
      </c>
      <c r="E8" s="24"/>
      <c r="F8" s="40" t="s">
        <v>179</v>
      </c>
      <c r="G8" s="40" t="s">
        <v>178</v>
      </c>
      <c r="H8" s="40" t="s">
        <v>158</v>
      </c>
      <c r="I8" s="41">
        <v>0.25</v>
      </c>
      <c r="J8" s="41">
        <v>2.5002777776098801</v>
      </c>
      <c r="K8" s="40" t="s">
        <v>95</v>
      </c>
      <c r="L8" s="41">
        <v>7</v>
      </c>
      <c r="M8" s="46">
        <v>43879.625</v>
      </c>
      <c r="N8" s="36" t="s">
        <v>95</v>
      </c>
      <c r="O8" s="40" t="s">
        <v>19</v>
      </c>
      <c r="P8" s="40">
        <v>2</v>
      </c>
      <c r="Q8" s="40" t="s">
        <v>173</v>
      </c>
      <c r="U8"/>
    </row>
    <row r="9" spans="1:22" x14ac:dyDescent="0.25">
      <c r="A9" s="40" t="s">
        <v>148</v>
      </c>
      <c r="B9" s="36"/>
      <c r="C9" s="23" t="s">
        <v>157</v>
      </c>
      <c r="D9" s="23"/>
      <c r="E9" s="24"/>
      <c r="F9" s="40"/>
      <c r="G9" s="40" t="s">
        <v>178</v>
      </c>
      <c r="H9" s="40" t="s">
        <v>158</v>
      </c>
      <c r="I9" s="41">
        <v>1</v>
      </c>
      <c r="J9" s="41">
        <v>0.50000000005820799</v>
      </c>
      <c r="K9" s="40" t="s">
        <v>95</v>
      </c>
      <c r="L9" s="41">
        <v>8</v>
      </c>
      <c r="M9" s="46">
        <v>43879.666666666664</v>
      </c>
      <c r="N9" s="47">
        <v>43877</v>
      </c>
      <c r="O9" s="40" t="s">
        <v>19</v>
      </c>
      <c r="P9" s="40">
        <v>1</v>
      </c>
      <c r="Q9" s="40" t="s">
        <v>172</v>
      </c>
      <c r="U9"/>
    </row>
    <row r="10" spans="1:22" x14ac:dyDescent="0.25">
      <c r="A10" s="40"/>
      <c r="B10" s="36"/>
      <c r="C10" s="23"/>
      <c r="D10" s="23"/>
      <c r="E10" s="24"/>
      <c r="F10" s="40"/>
      <c r="G10" s="40"/>
      <c r="H10" s="40"/>
      <c r="I10" s="41"/>
      <c r="J10" s="40"/>
      <c r="K10" s="40"/>
      <c r="L10" s="40"/>
      <c r="M10" s="40"/>
      <c r="N10" s="37"/>
      <c r="O10" s="40"/>
      <c r="P10" s="40"/>
      <c r="Q10" s="40"/>
      <c r="R10" s="37"/>
      <c r="S10" s="24"/>
      <c r="T10" s="24"/>
    </row>
    <row r="11" spans="1:22" x14ac:dyDescent="0.25">
      <c r="A11" s="24"/>
      <c r="B11" s="36"/>
      <c r="C11" s="23"/>
      <c r="D11" s="23" t="s">
        <v>114</v>
      </c>
      <c r="F11" s="24"/>
      <c r="G11" s="24"/>
      <c r="H11" s="24"/>
      <c r="I11" s="24"/>
      <c r="J11" s="25"/>
      <c r="K11" s="24"/>
      <c r="L11" s="25"/>
      <c r="M11" s="25"/>
      <c r="N11" s="37"/>
      <c r="Q11" s="24"/>
      <c r="R11" s="37"/>
      <c r="S11" s="24"/>
      <c r="T11" s="24"/>
      <c r="V11" s="8"/>
    </row>
    <row r="16" spans="1:22" x14ac:dyDescent="0.25">
      <c r="C16" s="11"/>
    </row>
    <row r="39" spans="22:22" x14ac:dyDescent="0.25">
      <c r="V39" t="s">
        <v>88</v>
      </c>
    </row>
  </sheetData>
  <dataConsolidate/>
  <conditionalFormatting sqref="B4:B9">
    <cfRule type="containsText" dxfId="31" priority="7" operator="containsText" text="&lt;current">
      <formula>NOT(ISERROR(SEARCH("&lt;current",B4)))</formula>
    </cfRule>
  </conditionalFormatting>
  <conditionalFormatting sqref="H4:H9">
    <cfRule type="containsText" dxfId="30" priority="2" operator="containsText" text="Note">
      <formula>NOT(ISERROR(SEARCH("Note",H4)))</formula>
    </cfRule>
    <cfRule type="containsText" dxfId="29" priority="8" operator="containsText" text="Done">
      <formula>NOT(ISERROR(SEARCH("Done",H4)))</formula>
    </cfRule>
    <cfRule type="containsText" dxfId="28" priority="9" operator="containsText" text="In progress">
      <formula>NOT(ISERROR(SEARCH("In progress",H4)))</formula>
    </cfRule>
    <cfRule type="containsText" dxfId="27" priority="10" operator="containsText" text="To do">
      <formula>NOT(ISERROR(SEARCH("To do",H4)))</formula>
    </cfRule>
  </conditionalFormatting>
  <conditionalFormatting sqref="N4:N9">
    <cfRule type="cellIs" dxfId="26" priority="1" operator="lessThan">
      <formula>TODAY()</formula>
    </cfRule>
  </conditionalFormatting>
  <conditionalFormatting sqref="P4:P9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9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9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9" xr:uid="{44D7C114-5165-4862-AB66-340113071D6E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9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9" xr:uid="{5C4CBAB3-B167-44D5-B563-185DD450C460}">
      <formula1>"important"</formula1>
    </dataValidation>
  </dataValidations>
  <hyperlinks>
    <hyperlink ref="C4" location="Planning!A1" display="Planning!A1" xr:uid="{5B5CD1D8-E8BD-4F86-9D8D-50B9A9632EE8}"/>
    <hyperlink ref="C9" location="Planning!A1" display="Planning!A1" xr:uid="{F41690D9-314B-4722-B547-157B5711E165}"/>
    <hyperlink ref="C8" location="Planning!A1" display="Planning!A1" xr:uid="{BC42D341-749E-4974-9703-6AF2E3023CA9}"/>
    <hyperlink ref="C7" location="Planning!A1" display="Planning!A1" xr:uid="{2E2E1D78-1291-4A8A-B39B-9D84FE2709E6}"/>
    <hyperlink ref="C6" location="Planning!A1" display="Planning!A1" xr:uid="{C52ECF19-4604-4FF4-A21A-6F25D9A71A90}"/>
    <hyperlink ref="C5" location="Planning!A1" display="Planning!A1" xr:uid="{0E674BE9-9519-43F9-BD03-7C270522C598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6F1B0-A528-4B9F-AA2F-AC3C48886883}">
  <sheetPr codeName="TaskSheetTemplate1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169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44" t="s">
        <v>95</v>
      </c>
    </row>
    <row r="6" spans="1:13" x14ac:dyDescent="0.25">
      <c r="A6" t="s">
        <v>15</v>
      </c>
      <c r="B6" s="44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44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175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96</v>
      </c>
      <c r="B12" t="s">
        <v>155</v>
      </c>
    </row>
    <row r="13" spans="1:13" x14ac:dyDescent="0.25">
      <c r="A13" t="s">
        <v>97</v>
      </c>
      <c r="B13" t="s">
        <v>170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145</v>
      </c>
      <c r="J15" s="15">
        <v>0.05</v>
      </c>
      <c r="K15" s="2">
        <v>0.2</v>
      </c>
      <c r="L15" s="2" t="e">
        <f>#REF!</f>
        <v>#REF!</v>
      </c>
      <c r="M15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6" spans="1:13" x14ac:dyDescent="0.25">
      <c r="B16" s="1"/>
      <c r="C16" s="1"/>
      <c r="D16" s="2"/>
      <c r="G16" s="23"/>
      <c r="I16" t="s">
        <v>148</v>
      </c>
      <c r="J16" s="15">
        <v>0.2</v>
      </c>
      <c r="K16" s="2">
        <v>0.2</v>
      </c>
      <c r="L16" s="2" t="e">
        <f>#REF!</f>
        <v>#REF!</v>
      </c>
      <c r="M16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7" spans="2:13" x14ac:dyDescent="0.25">
      <c r="B17" s="1"/>
      <c r="C17" s="1"/>
      <c r="D17" s="2"/>
      <c r="G17" s="23"/>
      <c r="I17" t="s">
        <v>149</v>
      </c>
      <c r="J17" s="15">
        <v>0.35</v>
      </c>
      <c r="K17" s="2">
        <v>0.2</v>
      </c>
      <c r="L17" s="2" t="e">
        <f>#REF!</f>
        <v>#REF!</v>
      </c>
      <c r="M17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8" spans="2:13" x14ac:dyDescent="0.25">
      <c r="B18" s="1"/>
      <c r="C18" s="1"/>
      <c r="D18" s="2"/>
      <c r="G18" s="23"/>
      <c r="I18" t="s">
        <v>150</v>
      </c>
      <c r="J18" s="15">
        <v>0.5</v>
      </c>
      <c r="K18" s="2">
        <v>0.2</v>
      </c>
      <c r="L18" s="2" t="e">
        <f>#REF!</f>
        <v>#REF!</v>
      </c>
      <c r="M18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19" spans="2:13" x14ac:dyDescent="0.25">
      <c r="B19" s="1"/>
      <c r="C19" s="1"/>
      <c r="D19" s="2"/>
      <c r="G19" s="23"/>
      <c r="I19" t="s">
        <v>151</v>
      </c>
      <c r="J19" s="15">
        <v>0.65</v>
      </c>
      <c r="K19" s="2">
        <v>0.2</v>
      </c>
      <c r="L19" s="2" t="e">
        <f>#REF!</f>
        <v>#REF!</v>
      </c>
      <c r="M19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20" spans="2:13" x14ac:dyDescent="0.25">
      <c r="B20" s="1"/>
      <c r="C20" s="1"/>
      <c r="D20" s="2"/>
      <c r="G20" s="23"/>
      <c r="I20" t="s">
        <v>152</v>
      </c>
      <c r="J20" s="15">
        <v>0.8</v>
      </c>
      <c r="K20" s="2">
        <v>0.2</v>
      </c>
      <c r="L20" s="2" t="e">
        <f>#REF!</f>
        <v>#REF!</v>
      </c>
      <c r="M20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  <row r="21" spans="2:13" x14ac:dyDescent="0.25">
      <c r="I21" t="s">
        <v>153</v>
      </c>
      <c r="J21" s="15">
        <v>0.95</v>
      </c>
      <c r="K21" s="2">
        <v>0.2</v>
      </c>
      <c r="L21" s="2" t="e">
        <f>#REF!</f>
        <v>#REF!</v>
      </c>
      <c r="M21" s="16" t="e">
        <f>Tabelle7367142448598018384852728410212613815616818619821622824625827628830631833634836637839640842620385070821001121301421601721902022202322502622802034486118466388981821921962202382442854681041161361801902102202402502782943743904164264544705105285741146[[#This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time]]/Tabelle7367142448598018384852728410212613815616818619821622824625827628830631833634836637839640842620385070821001121301421601721902022202322502622802034486118466388981821921962202382442854681041161361801902102202402502782943743904164264544705105285741146[[#This Row],[Total time]]</f>
        <v>#REF!</v>
      </c>
    </row>
  </sheetData>
  <dataConsolidate/>
  <hyperlinks>
    <hyperlink ref="A1" location="Planning!A1" display="Go back to 'Planning' sheet" xr:uid="{6110E9A3-3731-4A5A-AF8D-1C6126D248B6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FA04E-FC01-4813-9AB5-A4D864AB576F}">
  <sheetPr codeName="TaskSheetTemplate2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168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44" t="s">
        <v>95</v>
      </c>
    </row>
    <row r="6" spans="1:13" x14ac:dyDescent="0.25">
      <c r="A6" t="s">
        <v>15</v>
      </c>
      <c r="B6" s="44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44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174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96</v>
      </c>
      <c r="B12" t="s">
        <v>162</v>
      </c>
    </row>
    <row r="13" spans="1:13" x14ac:dyDescent="0.25">
      <c r="A13" t="s">
        <v>97</v>
      </c>
      <c r="B13" t="s">
        <v>163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145</v>
      </c>
      <c r="J15" s="15">
        <v>0.05</v>
      </c>
      <c r="K15" s="2">
        <v>0.5</v>
      </c>
      <c r="L15" s="2" t="e">
        <f>#REF!</f>
        <v>#REF!</v>
      </c>
      <c r="M15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6" spans="1:13" x14ac:dyDescent="0.25">
      <c r="B16" s="1"/>
      <c r="C16" s="1"/>
      <c r="D16" s="2"/>
      <c r="G16" s="23"/>
      <c r="I16" t="s">
        <v>148</v>
      </c>
      <c r="J16" s="15">
        <v>0.2</v>
      </c>
      <c r="K16" s="2">
        <v>0.5</v>
      </c>
      <c r="L16" s="2" t="e">
        <f>#REF!</f>
        <v>#REF!</v>
      </c>
      <c r="M16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7" spans="9:13" x14ac:dyDescent="0.25">
      <c r="I17" t="s">
        <v>149</v>
      </c>
      <c r="J17" s="15">
        <v>0.35</v>
      </c>
      <c r="K17" s="2">
        <v>0.5</v>
      </c>
      <c r="L17" s="2" t="e">
        <f>#REF!</f>
        <v>#REF!</v>
      </c>
      <c r="M17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8" spans="9:13" x14ac:dyDescent="0.25">
      <c r="I18" t="s">
        <v>150</v>
      </c>
      <c r="J18" s="15">
        <v>0.5</v>
      </c>
      <c r="K18" s="2">
        <v>0.5</v>
      </c>
      <c r="L18" s="2" t="e">
        <f>#REF!</f>
        <v>#REF!</v>
      </c>
      <c r="M18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19" spans="9:13" x14ac:dyDescent="0.25">
      <c r="I19" t="s">
        <v>151</v>
      </c>
      <c r="J19" s="15">
        <v>0.65</v>
      </c>
      <c r="K19" s="2">
        <v>0.5</v>
      </c>
      <c r="L19" s="2" t="e">
        <f>#REF!</f>
        <v>#REF!</v>
      </c>
      <c r="M19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20" spans="9:13" x14ac:dyDescent="0.25">
      <c r="I20" t="s">
        <v>152</v>
      </c>
      <c r="J20" s="15">
        <v>0.8</v>
      </c>
      <c r="K20" s="2">
        <v>0.5</v>
      </c>
      <c r="L20" s="2" t="e">
        <f>#REF!</f>
        <v>#REF!</v>
      </c>
      <c r="M20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  <row r="21" spans="9:13" x14ac:dyDescent="0.25">
      <c r="I21" t="s">
        <v>153</v>
      </c>
      <c r="J21" s="15">
        <v>0.95</v>
      </c>
      <c r="K21" s="2">
        <v>0.5</v>
      </c>
      <c r="L21" s="2" t="e">
        <f>#REF!</f>
        <v>#REF!</v>
      </c>
      <c r="M21" s="16" t="e">
        <f>Tabelle7367720325068926426176881041141321441621741922042222342522642822943123243423543723844024141426445776881061181361481661781962082262382562681426447022406182961781902002222322425063100112176188206218236248272292368388412424448468496498570604620631150[[#This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time]]/Tabelle7367720325068926426176881041141321441621741922042222342522642822943123243423543723844024141426445776881061181361481661781962082262382562681426447022406182961781902002222322425063100112176188206218236248272292368388412424448468496498570604620631150[[#This Row],[Total time]]</f>
        <v>#REF!</v>
      </c>
    </row>
  </sheetData>
  <dataConsolidate/>
  <hyperlinks>
    <hyperlink ref="A1" location="Planning!A1" display="Go back to 'Planning' sheet" xr:uid="{D4C74114-C11A-45B5-AF8B-FC3E078ED20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D82C-94E5-48F0-A718-ACE42BEEC12D}">
  <sheetPr codeName="TaskSheetTemplate3"/>
  <dimension ref="A1:M2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160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2.500277777609881</v>
      </c>
      <c r="C4" t="s">
        <v>4</v>
      </c>
    </row>
    <row r="5" spans="1:13" x14ac:dyDescent="0.25">
      <c r="A5" t="s">
        <v>14</v>
      </c>
      <c r="B5" s="44" t="s">
        <v>95</v>
      </c>
    </row>
    <row r="6" spans="1:13" x14ac:dyDescent="0.25">
      <c r="A6" t="s">
        <v>15</v>
      </c>
      <c r="B6" s="44" t="s">
        <v>19</v>
      </c>
    </row>
    <row r="7" spans="1:13" x14ac:dyDescent="0.25">
      <c r="A7" t="s">
        <v>1</v>
      </c>
      <c r="B7" t="s">
        <v>158</v>
      </c>
    </row>
    <row r="8" spans="1:13" x14ac:dyDescent="0.25">
      <c r="A8" t="s">
        <v>16</v>
      </c>
      <c r="B8" s="44" t="s">
        <v>95</v>
      </c>
    </row>
    <row r="9" spans="1:13" x14ac:dyDescent="0.25">
      <c r="A9" t="s">
        <v>2</v>
      </c>
      <c r="B9" t="s">
        <v>161</v>
      </c>
    </row>
    <row r="10" spans="1:13" x14ac:dyDescent="0.25">
      <c r="A10" t="s">
        <v>47</v>
      </c>
      <c r="B10" t="s">
        <v>173</v>
      </c>
    </row>
    <row r="11" spans="1:13" x14ac:dyDescent="0.25">
      <c r="A11" t="s">
        <v>5</v>
      </c>
      <c r="B11" s="2">
        <f>B3/B4</f>
        <v>9.9988890130034008E-2</v>
      </c>
      <c r="C11" t="s">
        <v>6</v>
      </c>
    </row>
    <row r="12" spans="1:13" x14ac:dyDescent="0.25">
      <c r="A12" t="s">
        <v>96</v>
      </c>
      <c r="B12" t="s">
        <v>162</v>
      </c>
    </row>
    <row r="13" spans="1:13" x14ac:dyDescent="0.25">
      <c r="A13" t="s">
        <v>97</v>
      </c>
      <c r="B13" t="s">
        <v>163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145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5" t="s">
        <v>146</v>
      </c>
      <c r="G15" s="23" t="s">
        <v>147</v>
      </c>
      <c r="I15" t="s">
        <v>145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6" spans="1:13" x14ac:dyDescent="0.25">
      <c r="A16" t="s">
        <v>148</v>
      </c>
      <c r="B16" s="1">
        <v>43877.685219907406</v>
      </c>
      <c r="C16" s="1">
        <v>43877.695636574077</v>
      </c>
      <c r="D16" s="2">
        <f t="shared" si="0"/>
        <v>0.25000000011641532</v>
      </c>
      <c r="F16" s="45" t="s">
        <v>146</v>
      </c>
      <c r="G16" s="23" t="s">
        <v>147</v>
      </c>
      <c r="I16" t="s">
        <v>148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7" spans="1:13" x14ac:dyDescent="0.25">
      <c r="A17" t="s">
        <v>149</v>
      </c>
      <c r="B17" s="1">
        <v>43877.685219907406</v>
      </c>
      <c r="C17" s="1">
        <v>43877.695636574077</v>
      </c>
      <c r="D17" s="2">
        <f t="shared" si="0"/>
        <v>0.25000000011641532</v>
      </c>
      <c r="F17" s="45" t="s">
        <v>146</v>
      </c>
      <c r="G17" s="23" t="s">
        <v>147</v>
      </c>
      <c r="I17" t="s">
        <v>149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8" spans="1:13" x14ac:dyDescent="0.25">
      <c r="A18" t="s">
        <v>150</v>
      </c>
      <c r="B18" s="1">
        <v>43877.685231481482</v>
      </c>
      <c r="C18" s="1">
        <v>43877.695648148147</v>
      </c>
      <c r="D18" s="2">
        <f t="shared" si="0"/>
        <v>0.24999999994179234</v>
      </c>
      <c r="F18" s="45" t="s">
        <v>146</v>
      </c>
      <c r="G18" s="23" t="s">
        <v>147</v>
      </c>
      <c r="I18" t="s">
        <v>150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19" spans="1:13" x14ac:dyDescent="0.25">
      <c r="A19" t="s">
        <v>151</v>
      </c>
      <c r="B19" s="1">
        <v>43877.685231481482</v>
      </c>
      <c r="C19" s="1">
        <v>43877.695648148147</v>
      </c>
      <c r="D19" s="2">
        <f t="shared" si="0"/>
        <v>0.24999999994179234</v>
      </c>
      <c r="F19" s="45" t="s">
        <v>146</v>
      </c>
      <c r="G19" s="23" t="s">
        <v>147</v>
      </c>
      <c r="I19" t="s">
        <v>151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20" spans="1:13" x14ac:dyDescent="0.25">
      <c r="A20" t="s">
        <v>152</v>
      </c>
      <c r="B20" s="1">
        <v>43877.685231481482</v>
      </c>
      <c r="C20" s="1">
        <v>43877.695648148147</v>
      </c>
      <c r="D20" s="2">
        <f t="shared" si="0"/>
        <v>0.24999999994179234</v>
      </c>
      <c r="F20" s="45" t="s">
        <v>146</v>
      </c>
      <c r="G20" s="23" t="s">
        <v>147</v>
      </c>
      <c r="I20" t="s">
        <v>152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21" spans="1:13" x14ac:dyDescent="0.25">
      <c r="A21" t="s">
        <v>153</v>
      </c>
      <c r="B21" s="1">
        <v>43877.685231481482</v>
      </c>
      <c r="C21" s="1">
        <v>43877.695648148147</v>
      </c>
      <c r="D21" s="2">
        <f t="shared" si="0"/>
        <v>0.24999999994179234</v>
      </c>
      <c r="F21" s="45" t="s">
        <v>146</v>
      </c>
      <c r="G21" s="23" t="s">
        <v>147</v>
      </c>
      <c r="I21" t="s">
        <v>153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Tabelle7367922445776163446708096108122136152166182196212226242256272286302316332346362376392406422183448658096110126140156170186200216230246260276183046571634597694174188216228446194110172186202216232246266290320322362386408422442466556566602612616631154[[#This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time]]/Tabelle7367922445776163446708096108122136152166182196212226242256272286302316332346362376392406422183448658096110126140156170186200216230246260276183046571634597694174188216228446194110172186202216232246266290320322362386408422442466556566602612616631154[[#This Row],[Total time]]</f>
        <v>#REF!</v>
      </c>
    </row>
    <row r="22" spans="1:13" x14ac:dyDescent="0.25">
      <c r="A22" t="s">
        <v>164</v>
      </c>
      <c r="B22" s="1">
        <v>43877.685231481482</v>
      </c>
      <c r="C22" s="1">
        <v>43877.695648148147</v>
      </c>
      <c r="D22" s="2">
        <f t="shared" si="0"/>
        <v>0.24999999994179234</v>
      </c>
      <c r="F22" s="45" t="s">
        <v>146</v>
      </c>
      <c r="G22" s="23" t="s">
        <v>147</v>
      </c>
    </row>
    <row r="23" spans="1:13" x14ac:dyDescent="0.25">
      <c r="A23" t="s">
        <v>165</v>
      </c>
      <c r="B23" s="1">
        <v>43877.685243055559</v>
      </c>
      <c r="C23" s="1">
        <v>43877.695659722223</v>
      </c>
      <c r="D23" s="2">
        <f t="shared" si="0"/>
        <v>0.24999999994179234</v>
      </c>
      <c r="F23" s="45" t="s">
        <v>146</v>
      </c>
      <c r="G23" s="23" t="s">
        <v>147</v>
      </c>
    </row>
    <row r="24" spans="1:13" x14ac:dyDescent="0.25">
      <c r="A24" t="s">
        <v>166</v>
      </c>
      <c r="B24" s="1">
        <v>43877.685243055559</v>
      </c>
      <c r="C24" s="1">
        <v>43877.695659722223</v>
      </c>
      <c r="D24" s="2">
        <f t="shared" si="0"/>
        <v>0.24999999994179234</v>
      </c>
      <c r="F24" s="45" t="s">
        <v>146</v>
      </c>
      <c r="G24" s="23" t="s">
        <v>147</v>
      </c>
    </row>
    <row r="25" spans="1:13" x14ac:dyDescent="0.25">
      <c r="A25" t="s">
        <v>167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5" t="s">
        <v>146</v>
      </c>
      <c r="G25" s="23" t="s">
        <v>147</v>
      </c>
    </row>
  </sheetData>
  <dataConsolidate/>
  <hyperlinks>
    <hyperlink ref="A1" location="Planning!A1" display="Go back to 'Planning' sheet" xr:uid="{7E19D361-5CA9-4A8A-BFBA-255EA2EE4791}"/>
    <hyperlink ref="F15" location="$F$15" display="$F$15" xr:uid="{601BDA6D-DAE5-4FFF-9BF6-3AAD029DFBC7}"/>
    <hyperlink ref="G15" location="$G$15" display="$G$15" xr:uid="{08F8113B-BFD4-4848-A543-BDB4C7B34524}"/>
    <hyperlink ref="F16" location="$F$16" display="$F$16" xr:uid="{0F93780D-A403-4ED0-B28B-197AD1D72E6E}"/>
    <hyperlink ref="G16" location="$G$16" display="$G$16" xr:uid="{FEA9C82B-119B-46B6-88C2-63C921F9CC34}"/>
    <hyperlink ref="F17" location="$F$17" display="$F$17" xr:uid="{4CE00049-5C70-4CD7-9BA3-11B4FC1F212D}"/>
    <hyperlink ref="G17" location="$G$17" display="$G$17" xr:uid="{CEA95282-41F1-41C7-9430-F27E942EDC7B}"/>
    <hyperlink ref="F18" location="$F$18" display="$F$18" xr:uid="{80AD1601-7B73-45B7-849E-803ADE0B97E9}"/>
    <hyperlink ref="G18" location="$G$18" display="$G$18" xr:uid="{03288503-5C66-4566-BF9D-085AAFA2A1D3}"/>
    <hyperlink ref="F19" location="$F$19" display="$F$19" xr:uid="{A6120267-5DBB-472F-B2CA-7ED3236C4DA5}"/>
    <hyperlink ref="G19" location="$G$19" display="$G$19" xr:uid="{BF31673F-8638-4D9A-B69F-DA9C83B033C3}"/>
    <hyperlink ref="F20" location="$F$20" display="$F$20" xr:uid="{8AFF797E-794E-40CD-AA0C-418B5033FD0E}"/>
    <hyperlink ref="G20" location="$G$20" display="$G$20" xr:uid="{9B476096-3B34-4702-AABD-1F72AA089A6D}"/>
    <hyperlink ref="F21" location="$F$21" display="$F$21" xr:uid="{5CF59372-754C-4874-850F-4A88BBBCA364}"/>
    <hyperlink ref="G21" location="$G$21" display="$G$21" xr:uid="{B185BC0B-A104-4DB8-B72B-A602D880D979}"/>
    <hyperlink ref="F22" location="$F$22" display="$F$22" xr:uid="{061EF634-C2B5-4D35-8932-A5E0E6CA8ECC}"/>
    <hyperlink ref="G22" location="$G$22" display="$G$22" xr:uid="{E68FFBB3-84EA-4669-B7FA-22A13C62FF18}"/>
    <hyperlink ref="F23" location="$F$23" display="$F$23" xr:uid="{0F62A586-5D45-44F5-A185-601273F01B8E}"/>
    <hyperlink ref="G23" location="$G$23" display="$G$23" xr:uid="{9123D1AF-99D7-48D4-9835-9133F8821958}"/>
    <hyperlink ref="F24" location="$F$24" display="$F$24" xr:uid="{59957B70-D696-4846-A82B-49217F270D7B}"/>
    <hyperlink ref="G24" location="$G$24" display="$G$24" xr:uid="{CC496780-D9DD-4DC0-8929-DF75110FF538}"/>
    <hyperlink ref="F25" location="$F$25" display="$F$25" xr:uid="{5F22C45B-DF47-40ED-9747-66A6B037F149}"/>
    <hyperlink ref="G25" location="$G$25" display="$G$25" xr:uid="{1F71CDAE-C9B2-45C8-B4E0-8F47B33D859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2BAA3-67FD-4946-99E9-4316003166FF}">
  <sheetPr codeName="TaskSheetTemplate4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157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0.50000000005820766</v>
      </c>
      <c r="C4" t="s">
        <v>4</v>
      </c>
    </row>
    <row r="5" spans="1:13" x14ac:dyDescent="0.25">
      <c r="A5" t="s">
        <v>14</v>
      </c>
      <c r="B5" s="44">
        <v>43877</v>
      </c>
    </row>
    <row r="6" spans="1:13" x14ac:dyDescent="0.25">
      <c r="A6" t="s">
        <v>15</v>
      </c>
      <c r="B6" s="44" t="s">
        <v>19</v>
      </c>
    </row>
    <row r="7" spans="1:13" x14ac:dyDescent="0.25">
      <c r="A7" t="s">
        <v>1</v>
      </c>
      <c r="B7" t="s">
        <v>158</v>
      </c>
    </row>
    <row r="8" spans="1:13" x14ac:dyDescent="0.25">
      <c r="A8" t="s">
        <v>16</v>
      </c>
      <c r="B8" s="44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172</v>
      </c>
    </row>
    <row r="11" spans="1:13" x14ac:dyDescent="0.25">
      <c r="A11" t="s">
        <v>5</v>
      </c>
      <c r="B11" s="2">
        <f>B3/B4</f>
        <v>1.9999999997671694</v>
      </c>
      <c r="C11" t="s">
        <v>6</v>
      </c>
    </row>
    <row r="12" spans="1:13" x14ac:dyDescent="0.25">
      <c r="A12" t="s">
        <v>96</v>
      </c>
      <c r="B12" t="s">
        <v>155</v>
      </c>
    </row>
    <row r="13" spans="1:13" x14ac:dyDescent="0.25">
      <c r="A13" t="s">
        <v>97</v>
      </c>
      <c r="B13" t="s">
        <v>159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145</v>
      </c>
      <c r="B15" s="1">
        <v>43877.684965277775</v>
      </c>
      <c r="C15" s="1">
        <v>43877.695381944446</v>
      </c>
      <c r="D15" s="2">
        <f>MAX((C15-B15)*24,0)</f>
        <v>0.25000000011641532</v>
      </c>
      <c r="F15" s="45" t="s">
        <v>146</v>
      </c>
      <c r="G15" s="23" t="s">
        <v>147</v>
      </c>
      <c r="I15" t="s">
        <v>145</v>
      </c>
      <c r="J15" s="15">
        <v>0.05</v>
      </c>
      <c r="K15" s="2">
        <v>0.1</v>
      </c>
      <c r="L15" s="2" t="e">
        <f>#REF!</f>
        <v>#REF!</v>
      </c>
      <c r="M15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6" spans="1:13" x14ac:dyDescent="0.25">
      <c r="A16" t="s">
        <v>148</v>
      </c>
      <c r="B16" s="1">
        <v>43877.684976851851</v>
      </c>
      <c r="C16" s="1">
        <v>43877.695393518516</v>
      </c>
      <c r="D16" s="2">
        <f>MAX((C16-B16)*24,0)</f>
        <v>0.24999999994179234</v>
      </c>
      <c r="F16" s="45" t="s">
        <v>146</v>
      </c>
      <c r="G16" s="23" t="s">
        <v>147</v>
      </c>
      <c r="I16" t="s">
        <v>148</v>
      </c>
      <c r="J16" s="15">
        <v>0.2</v>
      </c>
      <c r="K16" s="2">
        <v>0.1</v>
      </c>
      <c r="L16" s="2" t="e">
        <f>#REF!</f>
        <v>#REF!</v>
      </c>
      <c r="M16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7" spans="1:13" x14ac:dyDescent="0.25">
      <c r="A17" t="s">
        <v>149</v>
      </c>
      <c r="B17" s="1">
        <v>43877.695393518516</v>
      </c>
      <c r="C17" s="1">
        <v>43877.695393518516</v>
      </c>
      <c r="D17" s="2">
        <f>MAX((C17-B17)*24,0)</f>
        <v>0</v>
      </c>
      <c r="F17" s="45" t="s">
        <v>146</v>
      </c>
      <c r="G17" s="23" t="s">
        <v>147</v>
      </c>
      <c r="I17" t="s">
        <v>149</v>
      </c>
      <c r="J17" s="15">
        <v>0.35</v>
      </c>
      <c r="K17" s="2">
        <v>0.1</v>
      </c>
      <c r="L17" s="2" t="e">
        <f>#REF!</f>
        <v>#REF!</v>
      </c>
      <c r="M17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8" spans="1:13" x14ac:dyDescent="0.25">
      <c r="I18" t="s">
        <v>150</v>
      </c>
      <c r="J18" s="15">
        <v>0.5</v>
      </c>
      <c r="K18" s="2">
        <v>0.1</v>
      </c>
      <c r="L18" s="2" t="e">
        <f>#REF!</f>
        <v>#REF!</v>
      </c>
      <c r="M18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19" spans="1:13" x14ac:dyDescent="0.25">
      <c r="I19" t="s">
        <v>151</v>
      </c>
      <c r="J19" s="15">
        <v>0.65</v>
      </c>
      <c r="K19" s="2">
        <v>0.1</v>
      </c>
      <c r="L19" s="2" t="e">
        <f>#REF!</f>
        <v>#REF!</v>
      </c>
      <c r="M19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20" spans="1:13" x14ac:dyDescent="0.25">
      <c r="I20" t="s">
        <v>152</v>
      </c>
      <c r="J20" s="15">
        <v>0.8</v>
      </c>
      <c r="K20" s="2">
        <v>0.1</v>
      </c>
      <c r="L20" s="2" t="e">
        <f>#REF!</f>
        <v>#REF!</v>
      </c>
      <c r="M20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  <row r="21" spans="1:13" x14ac:dyDescent="0.25">
      <c r="I21" t="s">
        <v>153</v>
      </c>
      <c r="J21" s="15">
        <v>0.95</v>
      </c>
      <c r="K21" s="2">
        <v>0.1</v>
      </c>
      <c r="L21" s="2" t="e">
        <f>#REF!</f>
        <v>#REF!</v>
      </c>
      <c r="M21" s="16" t="e">
        <f>Tabelle7367162840547214304465789210611813414816417819420822423825426828429831432834435837438840441816304661789210812213815216818219821222824225827216385065202857709217018621022638598810816818419821422824426028835638440442043646455256459861063264266261158[[#This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time]]/Tabelle7367162840547214304465789210611813414816417819420822423825426828429831432834435837438840441816304661789210812213815216818219821222824225827216385065202857709217018621022638598810816818419821422824426028835638440442043646455256459861063264266261158[[#This Row],[Total time]]</f>
        <v>#REF!</v>
      </c>
    </row>
  </sheetData>
  <dataConsolidate/>
  <hyperlinks>
    <hyperlink ref="A1" location="Planning!A1" display="Go back to 'Planning' sheet" xr:uid="{8F34B8AF-E84A-4D1F-A389-4D7566ABFE5C}"/>
    <hyperlink ref="F15" location="$F$15" display="$F$15" xr:uid="{7D429A01-B0A8-4E29-A2C8-957EE3750CC4}"/>
    <hyperlink ref="G15" location="$G$15" display="$G$15" xr:uid="{8FE1A6F1-4493-4198-A60E-1FDE9FD8F625}"/>
    <hyperlink ref="F16" location="$F$16" display="$F$16" xr:uid="{E2487788-7DBA-4A83-AC01-87CF69FFD3A9}"/>
    <hyperlink ref="G16" location="$G$16" display="$G$16" xr:uid="{E7115A6D-F2A9-48F9-8C08-82D0AF870E89}"/>
    <hyperlink ref="F17" location="$F$17" display="$F$17" xr:uid="{181DFF7B-5827-47E5-A3FE-25AA93E718A7}"/>
    <hyperlink ref="G17" location="$G$17" display="$G$17" xr:uid="{8D2FB59B-573F-4D8D-B9B9-7FE1C8C330E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48"/>
  <sheetViews>
    <sheetView workbookViewId="0">
      <selection activeCell="F15" sqref="F15:H15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2" t="s">
        <v>200</v>
      </c>
      <c r="G15" s="43"/>
      <c r="H15" s="43"/>
    </row>
    <row r="16" spans="5:8" x14ac:dyDescent="0.25">
      <c r="E16" s="14" t="s">
        <v>74</v>
      </c>
      <c r="F16" s="42" t="s">
        <v>37</v>
      </c>
      <c r="G16" s="43"/>
      <c r="H16" s="4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145</v>
      </c>
      <c r="B19" s="17">
        <v>43878.817696759259</v>
      </c>
      <c r="C19" t="s">
        <v>199</v>
      </c>
      <c r="D19" t="s">
        <v>27</v>
      </c>
      <c r="E19" t="s">
        <v>183</v>
      </c>
      <c r="F19" t="s">
        <v>196</v>
      </c>
      <c r="G19" t="s">
        <v>197</v>
      </c>
      <c r="H19" t="s">
        <v>198</v>
      </c>
      <c r="J19" t="s">
        <v>145</v>
      </c>
      <c r="K19" t="s">
        <v>175</v>
      </c>
      <c r="L19">
        <v>4</v>
      </c>
      <c r="M19" s="2">
        <v>0</v>
      </c>
      <c r="N19" s="2">
        <v>2</v>
      </c>
      <c r="O19" t="s">
        <v>182</v>
      </c>
      <c r="P19" t="s">
        <v>182</v>
      </c>
      <c r="Q19" t="s">
        <v>182</v>
      </c>
      <c r="R19" t="s">
        <v>183</v>
      </c>
      <c r="S19" t="s">
        <v>184</v>
      </c>
      <c r="T19" t="s">
        <v>185</v>
      </c>
    </row>
    <row r="20" spans="1:20" x14ac:dyDescent="0.25">
      <c r="B20" s="17"/>
      <c r="J20" t="s">
        <v>148</v>
      </c>
      <c r="K20" t="s">
        <v>174</v>
      </c>
      <c r="L20">
        <v>3</v>
      </c>
      <c r="M20" s="2">
        <v>0</v>
      </c>
      <c r="N20" s="2">
        <v>5</v>
      </c>
      <c r="O20" t="s">
        <v>186</v>
      </c>
      <c r="P20" t="s">
        <v>186</v>
      </c>
      <c r="Q20" t="s">
        <v>187</v>
      </c>
      <c r="R20" t="s">
        <v>183</v>
      </c>
      <c r="S20" t="s">
        <v>188</v>
      </c>
      <c r="T20" t="s">
        <v>189</v>
      </c>
    </row>
    <row r="21" spans="1:20" x14ac:dyDescent="0.25">
      <c r="B21" s="17"/>
      <c r="J21" t="s">
        <v>149</v>
      </c>
      <c r="K21" t="s">
        <v>173</v>
      </c>
      <c r="L21">
        <v>2</v>
      </c>
      <c r="M21" s="2">
        <v>2.5002777776098801</v>
      </c>
      <c r="N21" s="2">
        <v>0.25</v>
      </c>
      <c r="O21" t="s">
        <v>190</v>
      </c>
      <c r="P21" t="s">
        <v>191</v>
      </c>
      <c r="Q21" t="s">
        <v>187</v>
      </c>
      <c r="R21" t="s">
        <v>183</v>
      </c>
      <c r="S21" t="s">
        <v>188</v>
      </c>
      <c r="T21" t="s">
        <v>192</v>
      </c>
    </row>
    <row r="22" spans="1:20" x14ac:dyDescent="0.25">
      <c r="B22" s="17"/>
      <c r="J22" t="s">
        <v>150</v>
      </c>
      <c r="K22" t="s">
        <v>172</v>
      </c>
      <c r="L22">
        <v>1</v>
      </c>
      <c r="M22" s="2">
        <v>0.50000000005820799</v>
      </c>
      <c r="N22" s="2">
        <v>1</v>
      </c>
      <c r="O22" t="s">
        <v>193</v>
      </c>
      <c r="P22" t="s">
        <v>194</v>
      </c>
      <c r="Q22" t="s">
        <v>195</v>
      </c>
      <c r="R22" t="s">
        <v>183</v>
      </c>
      <c r="S22" t="s">
        <v>196</v>
      </c>
      <c r="T22" t="s">
        <v>197</v>
      </c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  <c r="M26" s="2"/>
      <c r="N26" s="2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5" priority="1" operator="containsText" text="No">
      <formula>NOT(ISERROR(SEARCH("No",D1)))</formula>
    </cfRule>
    <cfRule type="containsText" dxfId="24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9FCA1A69-2E7C-49D4-9A31-F896EEC2A701}">
      <formula1>"Yes,No"</formula1>
    </dataValidation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9"/>
  <sheetViews>
    <sheetView workbookViewId="0">
      <selection activeCell="B29" sqref="B2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1">
        <v>43817.077002314814</v>
      </c>
      <c r="C3" s="29"/>
      <c r="D3" s="29"/>
    </row>
    <row r="4" spans="1:4" x14ac:dyDescent="0.25">
      <c r="A4" t="s">
        <v>108</v>
      </c>
      <c r="B4" s="31">
        <v>43862</v>
      </c>
      <c r="C4" s="29"/>
      <c r="D4" s="29"/>
    </row>
    <row r="5" spans="1:4" x14ac:dyDescent="0.25">
      <c r="A5" t="s">
        <v>109</v>
      </c>
      <c r="B5" s="28" t="s">
        <v>130</v>
      </c>
      <c r="C5" s="29"/>
      <c r="D5" s="29"/>
    </row>
    <row r="6" spans="1:4" ht="27" customHeight="1" x14ac:dyDescent="0.25"/>
    <row r="8" spans="1:4" ht="15.75" thickBot="1" x14ac:dyDescent="0.3">
      <c r="A8" s="30" t="s">
        <v>111</v>
      </c>
      <c r="B8" s="30" t="s">
        <v>105</v>
      </c>
      <c r="C8" s="35" t="s">
        <v>104</v>
      </c>
      <c r="D8" s="30" t="s">
        <v>110</v>
      </c>
    </row>
    <row r="9" spans="1:4" x14ac:dyDescent="0.25">
      <c r="A9" s="32"/>
      <c r="B9" s="33"/>
      <c r="C9" s="33"/>
      <c r="D9" s="34"/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B18" sqref="B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7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129</v>
      </c>
      <c r="C4" t="s">
        <v>135</v>
      </c>
      <c r="D4" t="s">
        <v>134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131</v>
      </c>
    </row>
    <row r="13" spans="1:10" x14ac:dyDescent="0.25">
      <c r="B13" t="s">
        <v>91</v>
      </c>
      <c r="C13" t="s">
        <v>132</v>
      </c>
      <c r="D13" s="2"/>
      <c r="E13" s="2"/>
    </row>
    <row r="14" spans="1:10" x14ac:dyDescent="0.25">
      <c r="B14" s="2" t="s">
        <v>93</v>
      </c>
      <c r="C14" s="12" t="s">
        <v>133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C14" r:id="rId1" display="\\your.mail@provider.com\Calendar" xr:uid="{18307CDB-A2D2-4AD5-8301-7C34BF2D1214}"/>
    <hyperlink ref="B4" r:id="rId2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0" sqref="C1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23" priority="1" operator="containsText" text="Verbose">
      <formula>NOT(ISERROR(SEARCH("Verbose",E4)))</formula>
    </cfRule>
    <cfRule type="containsText" dxfId="22" priority="2" operator="containsText" text="Info">
      <formula>NOT(ISERROR(SEARCH("Info",E4)))</formula>
    </cfRule>
    <cfRule type="containsText" dxfId="21" priority="3" operator="containsText" text="Warning">
      <formula>NOT(ISERROR(SEARCH("Warning",E4)))</formula>
    </cfRule>
    <cfRule type="containsText" dxfId="20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80F5-A4B3-4998-9B96-139C344798F9}">
  <dimension ref="A1:M45"/>
  <sheetViews>
    <sheetView workbookViewId="0">
      <selection activeCell="A121" sqref="A121:M141"/>
    </sheetView>
  </sheetViews>
  <sheetFormatPr baseColWidth="10" defaultRowHeight="15" x14ac:dyDescent="0.25"/>
  <sheetData>
    <row r="1" spans="1:13" x14ac:dyDescent="0.25">
      <c r="A1" t="s">
        <v>137</v>
      </c>
      <c r="B1" t="s">
        <v>171</v>
      </c>
      <c r="C1" t="s">
        <v>138</v>
      </c>
      <c r="D1">
        <v>21</v>
      </c>
      <c r="E1" t="s">
        <v>139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154</v>
      </c>
    </row>
    <row r="4" spans="1:13" x14ac:dyDescent="0.25">
      <c r="A4" t="s">
        <v>79</v>
      </c>
      <c r="B4" s="2">
        <v>0.5</v>
      </c>
      <c r="C4" t="s">
        <v>4</v>
      </c>
    </row>
    <row r="5" spans="1:13" x14ac:dyDescent="0.25">
      <c r="A5" t="s">
        <v>0</v>
      </c>
      <c r="B5" s="2">
        <f>SUM(D:D)</f>
        <v>43.250000000058208</v>
      </c>
      <c r="C5" t="s">
        <v>4</v>
      </c>
    </row>
    <row r="6" spans="1:13" x14ac:dyDescent="0.25">
      <c r="A6" t="s">
        <v>14</v>
      </c>
      <c r="B6" s="44" t="s">
        <v>95</v>
      </c>
    </row>
    <row r="7" spans="1:13" x14ac:dyDescent="0.25">
      <c r="A7" t="s">
        <v>15</v>
      </c>
      <c r="B7" s="44" t="s">
        <v>19</v>
      </c>
    </row>
    <row r="8" spans="1:13" x14ac:dyDescent="0.25">
      <c r="A8" t="s">
        <v>1</v>
      </c>
      <c r="B8" t="s">
        <v>141</v>
      </c>
    </row>
    <row r="9" spans="1:13" x14ac:dyDescent="0.25">
      <c r="A9" t="s">
        <v>16</v>
      </c>
      <c r="B9" s="44">
        <v>43877.967650462961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171</v>
      </c>
    </row>
    <row r="12" spans="1:13" x14ac:dyDescent="0.25">
      <c r="A12" t="s">
        <v>5</v>
      </c>
      <c r="B12" s="2">
        <f>B4/B5</f>
        <v>1.1560693641602938E-2</v>
      </c>
      <c r="C12" t="s">
        <v>6</v>
      </c>
    </row>
    <row r="13" spans="1:13" x14ac:dyDescent="0.25">
      <c r="A13" t="s">
        <v>96</v>
      </c>
      <c r="B13" t="s">
        <v>155</v>
      </c>
    </row>
    <row r="14" spans="1:13" x14ac:dyDescent="0.25">
      <c r="A14" t="s">
        <v>97</v>
      </c>
      <c r="B14" t="s">
        <v>156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145</v>
      </c>
      <c r="B16" s="1">
        <v>43877.957233796296</v>
      </c>
      <c r="C16" s="1">
        <v>43877.967650462961</v>
      </c>
      <c r="D16" s="2">
        <f>MAX((C16-B16)*24,0)</f>
        <v>0.24999999994179234</v>
      </c>
      <c r="F16" s="45" t="s">
        <v>146</v>
      </c>
      <c r="G16" s="23" t="s">
        <v>147</v>
      </c>
      <c r="I16" t="s">
        <v>145</v>
      </c>
      <c r="J16" s="15">
        <v>0.05</v>
      </c>
      <c r="K16" s="2">
        <v>0.05</v>
      </c>
      <c r="L16" s="2" t="e">
        <f>#REF!</f>
        <v>#REF!</v>
      </c>
      <c r="M16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17" spans="1:13" x14ac:dyDescent="0.25">
      <c r="A17" t="s">
        <v>148</v>
      </c>
      <c r="B17" s="1">
        <v>43877.957696759258</v>
      </c>
      <c r="C17" s="1">
        <v>43877.968113425923</v>
      </c>
      <c r="D17" s="2">
        <f>MAX((C17-B17)*24,0)</f>
        <v>0.24999999994179234</v>
      </c>
      <c r="F17" s="45" t="s">
        <v>146</v>
      </c>
      <c r="G17" s="23" t="s">
        <v>147</v>
      </c>
      <c r="I17" t="s">
        <v>148</v>
      </c>
      <c r="J17" s="15">
        <v>0.2</v>
      </c>
      <c r="K17" s="2">
        <v>0.05</v>
      </c>
      <c r="L17" s="2" t="e">
        <f>#REF!</f>
        <v>#REF!</v>
      </c>
      <c r="M17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18" spans="1:13" x14ac:dyDescent="0.25">
      <c r="A18" t="s">
        <v>149</v>
      </c>
      <c r="B18" s="1">
        <v>43877.957719907405</v>
      </c>
      <c r="C18" s="1">
        <v>43877.968136574076</v>
      </c>
      <c r="D18" s="2">
        <f>MAX((C18-B18)*24,0)</f>
        <v>0.25000000011641532</v>
      </c>
      <c r="F18" s="45" t="s">
        <v>146</v>
      </c>
      <c r="G18" s="23" t="s">
        <v>147</v>
      </c>
      <c r="I18" t="s">
        <v>149</v>
      </c>
      <c r="J18" s="15">
        <v>0.35</v>
      </c>
      <c r="K18" s="2">
        <v>0.05</v>
      </c>
      <c r="L18" s="2" t="e">
        <f>#REF!</f>
        <v>#REF!</v>
      </c>
      <c r="M18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19" spans="1:13" x14ac:dyDescent="0.25">
      <c r="I19" t="s">
        <v>150</v>
      </c>
      <c r="J19" s="15">
        <v>0.5</v>
      </c>
      <c r="K19" s="2">
        <v>0.05</v>
      </c>
      <c r="L19" s="2" t="e">
        <f>#REF!</f>
        <v>#REF!</v>
      </c>
      <c r="M19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0" spans="1:13" x14ac:dyDescent="0.25">
      <c r="I20" t="s">
        <v>151</v>
      </c>
      <c r="J20" s="15">
        <v>0.65</v>
      </c>
      <c r="K20" s="2">
        <v>0.05</v>
      </c>
      <c r="L20" s="2" t="e">
        <f>#REF!</f>
        <v>#REF!</v>
      </c>
      <c r="M20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1" spans="1:13" x14ac:dyDescent="0.25">
      <c r="I21" t="s">
        <v>152</v>
      </c>
      <c r="J21" s="15">
        <v>0.8</v>
      </c>
      <c r="K21" s="2">
        <v>0.05</v>
      </c>
      <c r="L21" s="2" t="e">
        <f>#REF!</f>
        <v>#REF!</v>
      </c>
      <c r="M21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2" spans="1:13" x14ac:dyDescent="0.25">
      <c r="I22" t="s">
        <v>153</v>
      </c>
      <c r="J22" s="15">
        <v>0.95</v>
      </c>
      <c r="K22" s="2">
        <v>0.05</v>
      </c>
      <c r="L22" s="2" t="e">
        <f>#REF!</f>
        <v>#REF!</v>
      </c>
      <c r="M22" s="16" t="e">
        <f>Tabelle7367223852709610612613614015820021823024827228418202240617494108128140[[#This Row],[EBS self time]]/Tabelle7367223852709610612613614015820021823024827228418202240617494108128140[[#This Row],[Total time]]</f>
        <v>#REF!</v>
      </c>
    </row>
    <row r="24" spans="1:13" x14ac:dyDescent="0.25">
      <c r="A24" t="s">
        <v>137</v>
      </c>
      <c r="B24" t="s">
        <v>176</v>
      </c>
      <c r="C24" t="s">
        <v>138</v>
      </c>
      <c r="D24">
        <v>21</v>
      </c>
      <c r="E24" t="s">
        <v>139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140</v>
      </c>
    </row>
    <row r="27" spans="1:13" x14ac:dyDescent="0.25">
      <c r="A27" t="s">
        <v>79</v>
      </c>
      <c r="B27" s="2">
        <v>1</v>
      </c>
      <c r="C27" t="s">
        <v>4</v>
      </c>
    </row>
    <row r="28" spans="1:13" x14ac:dyDescent="0.25">
      <c r="A28" t="s">
        <v>0</v>
      </c>
      <c r="B28" s="2">
        <f>SUM(D:D)</f>
        <v>43.250000000058208</v>
      </c>
      <c r="C28" t="s">
        <v>4</v>
      </c>
    </row>
    <row r="29" spans="1:13" x14ac:dyDescent="0.25">
      <c r="A29" t="s">
        <v>14</v>
      </c>
      <c r="B29" s="44" t="s">
        <v>95</v>
      </c>
    </row>
    <row r="30" spans="1:13" x14ac:dyDescent="0.25">
      <c r="A30" t="s">
        <v>15</v>
      </c>
      <c r="B30" s="44" t="s">
        <v>19</v>
      </c>
    </row>
    <row r="31" spans="1:13" x14ac:dyDescent="0.25">
      <c r="A31" t="s">
        <v>1</v>
      </c>
      <c r="B31" t="s">
        <v>141</v>
      </c>
    </row>
    <row r="32" spans="1:13" x14ac:dyDescent="0.25">
      <c r="A32" t="s">
        <v>16</v>
      </c>
      <c r="B32" s="44">
        <v>43876.756701388891</v>
      </c>
    </row>
    <row r="33" spans="1:13" x14ac:dyDescent="0.25">
      <c r="A33" t="s">
        <v>2</v>
      </c>
      <c r="B33" t="s">
        <v>142</v>
      </c>
    </row>
    <row r="34" spans="1:13" x14ac:dyDescent="0.25">
      <c r="A34" t="s">
        <v>47</v>
      </c>
      <c r="B34" t="s">
        <v>176</v>
      </c>
    </row>
    <row r="35" spans="1:13" x14ac:dyDescent="0.25">
      <c r="A35" t="s">
        <v>5</v>
      </c>
      <c r="B35" s="2">
        <f>B27/B28</f>
        <v>2.3121387283205876E-2</v>
      </c>
      <c r="C35" t="s">
        <v>6</v>
      </c>
    </row>
    <row r="36" spans="1:13" x14ac:dyDescent="0.25">
      <c r="A36" t="s">
        <v>96</v>
      </c>
      <c r="B36" t="s">
        <v>143</v>
      </c>
    </row>
    <row r="37" spans="1:13" x14ac:dyDescent="0.25">
      <c r="A37" t="s">
        <v>97</v>
      </c>
      <c r="B37" t="s">
        <v>144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145</v>
      </c>
      <c r="B39" s="1">
        <v>43876.74627314815</v>
      </c>
      <c r="C39" s="1">
        <v>43876.756689814814</v>
      </c>
      <c r="D39" s="2">
        <f>MAX((C39-B39)*24,0)</f>
        <v>0.24999999994179234</v>
      </c>
      <c r="F39" s="45" t="s">
        <v>146</v>
      </c>
      <c r="G39" s="23" t="s">
        <v>147</v>
      </c>
      <c r="I39" t="s">
        <v>145</v>
      </c>
      <c r="J39" s="15">
        <v>0.05</v>
      </c>
      <c r="K39" s="2">
        <v>0.1</v>
      </c>
      <c r="L39" s="2" t="e">
        <f>#REF!</f>
        <v>#REF!</v>
      </c>
      <c r="M39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0" spans="1:13" x14ac:dyDescent="0.25">
      <c r="A40" t="s">
        <v>148</v>
      </c>
      <c r="B40" s="1">
        <v>43876.74628472222</v>
      </c>
      <c r="C40" s="1">
        <v>43876.756701388891</v>
      </c>
      <c r="D40" s="2">
        <f>MAX((C40-B40)*24,0)</f>
        <v>0.25000000011641532</v>
      </c>
      <c r="F40" s="45" t="s">
        <v>146</v>
      </c>
      <c r="G40" s="23" t="s">
        <v>147</v>
      </c>
      <c r="I40" t="s">
        <v>148</v>
      </c>
      <c r="J40" s="15">
        <v>0.2</v>
      </c>
      <c r="K40" s="2">
        <v>0.1</v>
      </c>
      <c r="L40" s="2" t="e">
        <f>#REF!</f>
        <v>#REF!</v>
      </c>
      <c r="M40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1" spans="1:13" x14ac:dyDescent="0.25">
      <c r="I41" t="s">
        <v>149</v>
      </c>
      <c r="J41" s="15">
        <v>0.35</v>
      </c>
      <c r="K41" s="2">
        <v>0.1</v>
      </c>
      <c r="L41" s="2" t="e">
        <f>#REF!</f>
        <v>#REF!</v>
      </c>
      <c r="M41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2" spans="1:13" x14ac:dyDescent="0.25">
      <c r="I42" t="s">
        <v>150</v>
      </c>
      <c r="J42" s="15">
        <v>0.5</v>
      </c>
      <c r="K42" s="2">
        <v>0.1</v>
      </c>
      <c r="L42" s="2" t="e">
        <f>#REF!</f>
        <v>#REF!</v>
      </c>
      <c r="M42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3" spans="1:13" x14ac:dyDescent="0.25">
      <c r="I43" t="s">
        <v>151</v>
      </c>
      <c r="J43" s="15">
        <v>0.65</v>
      </c>
      <c r="K43" s="2">
        <v>0.1</v>
      </c>
      <c r="L43" s="2" t="e">
        <f>#REF!</f>
        <v>#REF!</v>
      </c>
      <c r="M43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4" spans="1:13" x14ac:dyDescent="0.25">
      <c r="I44" t="s">
        <v>152</v>
      </c>
      <c r="J44" s="15">
        <v>0.8</v>
      </c>
      <c r="K44" s="2">
        <v>0.1</v>
      </c>
      <c r="L44" s="2" t="e">
        <f>#REF!</f>
        <v>#REF!</v>
      </c>
      <c r="M44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  <row r="45" spans="1:13" x14ac:dyDescent="0.25">
      <c r="I45" t="s">
        <v>153</v>
      </c>
      <c r="J45" s="15">
        <v>0.95</v>
      </c>
      <c r="K45" s="2">
        <v>0.1</v>
      </c>
      <c r="L45" s="2" t="e">
        <f>#REF!</f>
        <v>#REF!</v>
      </c>
      <c r="M45" s="16" t="e">
        <f>Tabelle7367518365263722405774100110130140160170190200220230250260280290310320340350370380400410922425274841041141341441641741942042242342542649224252924526516618420422432578210616418219421222424225428633838240041843046252253459460862864065867068870071142[[#This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time]]/Tabelle7367518365263722405774100110130140160170190200220230250260280290310320340350370380400410922425274841041141341441641741942042242342542649224252924526516618420422432578210616418219421222424225428633838240041843046252253459460862864065867068870071142[[#This Row],[Total time]]</f>
        <v>#REF!</v>
      </c>
    </row>
  </sheetData>
  <hyperlinks>
    <hyperlink ref="A2" location="Planning!A1" display="Go back to 'Planning' sheet" xr:uid="{1851CAB1-E4E8-4EEE-B5AB-FC600CF92B3F}"/>
    <hyperlink ref="F16" location="$F$15" display="$F$15" xr:uid="{70FEDCB4-50E0-4AF6-8120-1621E8B54D6D}"/>
    <hyperlink ref="G16" location="$G$15" display="$G$15" xr:uid="{397E32EA-6A64-44D2-B7BE-85C51DDA8DFE}"/>
    <hyperlink ref="F17" location="$F$16" display="$F$16" xr:uid="{D131C812-7701-48E9-B064-EB4693E1E33B}"/>
    <hyperlink ref="G17" location="$G$16" display="$G$16" xr:uid="{96009326-245B-4741-B761-09306997FE27}"/>
    <hyperlink ref="F18" location="$F$17" display="$F$17" xr:uid="{E434F970-730C-409B-892F-CAE08B757477}"/>
    <hyperlink ref="G18" location="$G$17" display="$G$17" xr:uid="{B184CDA1-528D-43E9-8E97-A410F0EDAFD8}"/>
    <hyperlink ref="A25" location="Planning!A1" display="Go back to 'Planning' sheet" xr:uid="{A37FC8D3-CD50-40D4-8C0B-853CE6C01719}"/>
    <hyperlink ref="F39" location="$F$15" display="$F$15" xr:uid="{7A2101E2-3FB4-4374-BEAB-0BBFEF05E102}"/>
    <hyperlink ref="G39" location="$G$15" display="$G$15" xr:uid="{D95DAB09-6AF2-44C5-A279-03F8A2F3553C}"/>
    <hyperlink ref="F40" location="$F$16" display="$F$16" xr:uid="{8B9AC05A-BDEE-44F3-8D23-B5F83142DB35}"/>
    <hyperlink ref="G40" location="$G$16" display="$G$16" xr:uid="{2610C805-1174-41A9-932C-73FD92A820D6}"/>
  </hyperlinks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136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2" t="s">
        <v>76</v>
      </c>
      <c r="G15" s="43"/>
      <c r="H15" s="43"/>
    </row>
    <row r="16" spans="5:8" x14ac:dyDescent="0.25">
      <c r="E16" s="14" t="s">
        <v>74</v>
      </c>
      <c r="F16" s="42" t="s">
        <v>37</v>
      </c>
      <c r="G16" s="43"/>
      <c r="H16" s="4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Planning</vt:lpstr>
      <vt:lpstr>t3EAAC5681780C3894</vt:lpstr>
      <vt:lpstr>t542BC5542C608ACDC</vt:lpstr>
      <vt:lpstr>tAAF8231FB67247C24</vt:lpstr>
      <vt:lpstr>tC5F28114EEBEA0BC0</vt:lpstr>
      <vt:lpstr>EbsSheet (Me)</vt:lpstr>
      <vt:lpstr>Analysis</vt:lpstr>
      <vt:lpstr>Settings</vt:lpstr>
      <vt:lpstr>Messages</vt:lpstr>
      <vt:lpstr>Task sheet template</vt:lpstr>
      <vt:lpstr>VSHEET_STOR_E65DEF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2020-02-17T18:40:09Z</dcterms:modified>
  <cp:category/>
  <cp:contentStatus/>
</cp:coreProperties>
</file>