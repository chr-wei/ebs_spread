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5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ctrlProps/ctrlProp13.xml" ContentType="application/vnd.ms-excel.controlproperties+xml"/>
  <Override PartName="/xl/tables/table14.xml" ContentType="application/vnd.openxmlformats-officedocument.spreadsheetml.table+xml"/>
  <Override PartName="/xl/drawings/drawing8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15.xml" ContentType="application/vnd.openxmlformats-officedocument.spreadsheetml.table+xml"/>
  <Override PartName="/xl/drawings/drawing9.xml" ContentType="application/vnd.openxmlformats-officedocument.drawing+xml"/>
  <Override PartName="/xl/ctrlProps/ctrlProp18.xml" ContentType="application/vnd.ms-excel.controlproperties+xml"/>
  <Override PartName="/xl/tables/table16.xml" ContentType="application/vnd.openxmlformats-officedocument.spreadsheetml.table+xml"/>
  <Override PartName="/xl/drawings/drawing10.xml" ContentType="application/vnd.openxmlformats-officedocument.drawing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11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tian\Documents\GitHub\EbsSpread\bin\"/>
    </mc:Choice>
  </mc:AlternateContent>
  <xr:revisionPtr revIDLastSave="0" documentId="13_ncr:1_{FE22BC7A-24BC-4F45-BBEE-45BD159A93BC}" xr6:coauthVersionLast="45" xr6:coauthVersionMax="45" xr10:uidLastSave="{00000000-0000-0000-0000-000000000000}"/>
  <bookViews>
    <workbookView xWindow="-120" yWindow="-120" windowWidth="24240" windowHeight="13140" tabRatio="813" firstSheet="1" activeTab="1" xr2:uid="{DAA936AD-5BF0-425A-A8EF-49858B3BE9B8}"/>
  </bookViews>
  <sheets>
    <sheet name="VSHEET_STOR_D5D31E" sheetId="1881" state="hidden" r:id="rId1"/>
    <sheet name="Planning" sheetId="1" r:id="rId2"/>
    <sheet name="t5C33AE2C601539DCA" sheetId="1882" state="hidden" r:id="rId3"/>
    <sheet name="t86F89BCDC9F9FA3B4" sheetId="1883" state="hidden" r:id="rId4"/>
    <sheet name="t429885C27F77EA728" sheetId="1884" state="hidden" r:id="rId5"/>
    <sheet name="t35EBA085FF3A95514" sheetId="1885" state="hidden" r:id="rId6"/>
    <sheet name="EbsSheet (Me)" sheetId="1408" r:id="rId7"/>
    <sheet name="Analysis" sheetId="1004" r:id="rId8"/>
    <sheet name="Settings" sheetId="418" r:id="rId9"/>
    <sheet name="Messages" sheetId="1390" r:id="rId10"/>
    <sheet name="Task sheet template" sheetId="5" state="hidden" r:id="rId11"/>
    <sheet name="Version info" sheetId="3" r:id="rId12"/>
    <sheet name="EbsSheet template" sheetId="440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21" i="1885" l="1"/>
  <c r="L21" i="1885"/>
  <c r="M20" i="1885"/>
  <c r="L20" i="1885"/>
  <c r="M19" i="1885"/>
  <c r="L19" i="1885"/>
  <c r="M18" i="1885"/>
  <c r="L18" i="1885"/>
  <c r="M17" i="1885"/>
  <c r="L17" i="1885"/>
  <c r="M16" i="1885"/>
  <c r="L16" i="1885"/>
  <c r="M15" i="1885"/>
  <c r="L15" i="1885"/>
  <c r="B11" i="1885"/>
  <c r="B4" i="1885"/>
  <c r="M21" i="1884"/>
  <c r="L21" i="1884"/>
  <c r="M20" i="1884"/>
  <c r="L20" i="1884"/>
  <c r="M19" i="1884"/>
  <c r="L19" i="1884"/>
  <c r="M18" i="1884"/>
  <c r="L18" i="1884"/>
  <c r="M17" i="1884"/>
  <c r="L17" i="1884"/>
  <c r="M16" i="1884"/>
  <c r="L16" i="1884"/>
  <c r="M15" i="1884"/>
  <c r="L15" i="1884"/>
  <c r="B11" i="1884"/>
  <c r="B4" i="1884"/>
  <c r="D25" i="1883"/>
  <c r="D24" i="1883"/>
  <c r="D23" i="1883"/>
  <c r="D22" i="1883"/>
  <c r="M21" i="1883"/>
  <c r="L21" i="1883"/>
  <c r="D21" i="1883"/>
  <c r="L20" i="1883"/>
  <c r="M20" i="1883" s="1"/>
  <c r="D20" i="1883"/>
  <c r="M19" i="1883"/>
  <c r="L19" i="1883"/>
  <c r="D19" i="1883"/>
  <c r="L18" i="1883"/>
  <c r="M18" i="1883" s="1"/>
  <c r="D18" i="1883"/>
  <c r="M17" i="1883"/>
  <c r="L17" i="1883"/>
  <c r="D17" i="1883"/>
  <c r="L16" i="1883"/>
  <c r="M16" i="1883" s="1"/>
  <c r="D16" i="1883"/>
  <c r="M15" i="1883"/>
  <c r="L15" i="1883"/>
  <c r="D15" i="1883"/>
  <c r="B4" i="1883"/>
  <c r="B11" i="1883" s="1"/>
  <c r="L21" i="1882"/>
  <c r="M21" i="1882" s="1"/>
  <c r="M20" i="1882"/>
  <c r="L20" i="1882"/>
  <c r="M19" i="1882"/>
  <c r="L19" i="1882"/>
  <c r="M18" i="1882"/>
  <c r="L18" i="1882"/>
  <c r="M17" i="1882"/>
  <c r="L17" i="1882"/>
  <c r="D17" i="1882"/>
  <c r="L16" i="1882"/>
  <c r="M16" i="1882" s="1"/>
  <c r="D16" i="1882"/>
  <c r="M15" i="1882"/>
  <c r="L15" i="1882"/>
  <c r="D15" i="1882"/>
  <c r="B4" i="1882"/>
  <c r="B11" i="1882" s="1"/>
  <c r="L22" i="1881"/>
  <c r="M22" i="1881" s="1"/>
  <c r="L21" i="1881"/>
  <c r="M21" i="1881" s="1"/>
  <c r="L20" i="1881"/>
  <c r="M20" i="1881" s="1"/>
  <c r="L19" i="1881"/>
  <c r="M19" i="1881" s="1"/>
  <c r="L18" i="1881"/>
  <c r="M18" i="1881" s="1"/>
  <c r="L17" i="1881"/>
  <c r="M17" i="1881" s="1"/>
  <c r="D17" i="1881"/>
  <c r="L16" i="1881"/>
  <c r="M16" i="1881" s="1"/>
  <c r="D16" i="1881"/>
  <c r="B5" i="1881" l="1"/>
  <c r="B12" i="1881" s="1"/>
  <c r="J4" i="418"/>
  <c r="D15" i="5" l="1"/>
  <c r="B4" i="5" s="1"/>
  <c r="L15" i="5" s="1"/>
  <c r="B11" i="5" l="1"/>
  <c r="M15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tc={D9E72933-13B7-436C-80C5-C0A9531E86AE}</author>
  </authors>
  <commentList>
    <comment ref="P18" authorId="0" shapeId="0" xr:uid="{D9E72933-13B7-436C-80C5-C0A9531E86AE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tc={C7762EB5-6B9C-461B-88DC-2D53F9981F2A}</author>
  </authors>
  <commentList>
    <comment ref="P18" authorId="0" shapeId="0" xr:uid="{C7762EB5-6B9C-461B-88DC-2D53F9981F2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sharedStrings.xml><?xml version="1.0" encoding="utf-8"?>
<sst xmlns="http://schemas.openxmlformats.org/spreadsheetml/2006/main" count="535" uniqueCount="195">
  <si>
    <t>Total time spent in h</t>
  </si>
  <si>
    <t>Kanban list</t>
  </si>
  <si>
    <t>Comment</t>
  </si>
  <si>
    <t>Task name</t>
  </si>
  <si>
    <t>h</t>
  </si>
  <si>
    <t>Current velocity</t>
  </si>
  <si>
    <t>h/h</t>
  </si>
  <si>
    <t>Start time</t>
  </si>
  <si>
    <t>End time</t>
  </si>
  <si>
    <t>Time delta in h</t>
  </si>
  <si>
    <t>Indicator</t>
  </si>
  <si>
    <t>Time entry no.</t>
  </si>
  <si>
    <t>Task no.</t>
  </si>
  <si>
    <t>Priority</t>
  </si>
  <si>
    <t>Due date</t>
  </si>
  <si>
    <t>Contributor</t>
  </si>
  <si>
    <t>Finished on</t>
  </si>
  <si>
    <t>EBS entry no.</t>
  </si>
  <si>
    <t>Logged Priority</t>
  </si>
  <si>
    <t>Me</t>
  </si>
  <si>
    <t>Initial version</t>
  </si>
  <si>
    <t>Most features of main sheet are included</t>
  </si>
  <si>
    <t>%Tag 1</t>
  </si>
  <si>
    <t>%Tag 2</t>
  </si>
  <si>
    <t>%Tag 3</t>
  </si>
  <si>
    <t>Go back to 'Planning' sheet</t>
  </si>
  <si>
    <t>Show pool?</t>
  </si>
  <si>
    <t>Yes</t>
  </si>
  <si>
    <t>v0.92</t>
  </si>
  <si>
    <t>Added:</t>
  </si>
  <si>
    <t>Velocity chart</t>
  </si>
  <si>
    <t>EBS velocity pool building</t>
  </si>
  <si>
    <t>Fixed:</t>
  </si>
  <si>
    <t>Chart now works with hidden cells</t>
  </si>
  <si>
    <t>v0.10</t>
  </si>
  <si>
    <t>[Velocity pool]</t>
  </si>
  <si>
    <t>[Project time estimates]</t>
  </si>
  <si>
    <t>Time</t>
  </si>
  <si>
    <t>[Project date estimates]</t>
  </si>
  <si>
    <t>Time spent so far</t>
  </si>
  <si>
    <t>[Propability support points]</t>
  </si>
  <si>
    <t>[Monte Carlo estimate pool]</t>
  </si>
  <si>
    <t>[Accumulated time pool]</t>
  </si>
  <si>
    <t>[Remaining time pool]</t>
  </si>
  <si>
    <t>RunData of last run</t>
  </si>
  <si>
    <t>EBS main features</t>
  </si>
  <si>
    <t>v0.93</t>
  </si>
  <si>
    <t>tHASH</t>
  </si>
  <si>
    <t>eHASH</t>
  </si>
  <si>
    <t>Data entry no.</t>
  </si>
  <si>
    <t>EBS run date</t>
  </si>
  <si>
    <t>v0.96</t>
  </si>
  <si>
    <t>Extended EBS main features:</t>
  </si>
  <si>
    <t>Saving task estimation data in comments</t>
  </si>
  <si>
    <t>Add Outlook test module</t>
  </si>
  <si>
    <t>Restructured data output in code</t>
  </si>
  <si>
    <t>Add non-library hash generation code</t>
  </si>
  <si>
    <t>v0.97</t>
  </si>
  <si>
    <t>Add Outlook hours to date map feature</t>
  </si>
  <si>
    <t>[Interpolated date estimates]</t>
  </si>
  <si>
    <t>[Interpolated time estimates]</t>
  </si>
  <si>
    <t>Mail</t>
  </si>
  <si>
    <t>ExcludeCategories</t>
  </si>
  <si>
    <t>WorkingHoursStart</t>
  </si>
  <si>
    <t>WorkingHoursEnd</t>
  </si>
  <si>
    <t>[EBS.Blocker]</t>
  </si>
  <si>
    <t>WorkingDays</t>
  </si>
  <si>
    <t>AppointmentOffsetHours</t>
  </si>
  <si>
    <t>AppointmentOnsetHours</t>
  </si>
  <si>
    <t>Propability Support point</t>
  </si>
  <si>
    <t>EBS self time</t>
  </si>
  <si>
    <t>Comparison entry no.</t>
  </si>
  <si>
    <t>Total time</t>
  </si>
  <si>
    <t>Total time / Your estimate</t>
  </si>
  <si>
    <t>Scaling</t>
  </si>
  <si>
    <t>Select ebs runs to show</t>
  </si>
  <si>
    <t>Last 100 days</t>
  </si>
  <si>
    <t>EBS 50% date</t>
  </si>
  <si>
    <t>cumulative</t>
  </si>
  <si>
    <t>User time estimate</t>
  </si>
  <si>
    <t>HighlightColor</t>
  </si>
  <si>
    <t>CommonColor</t>
  </si>
  <si>
    <t>LightColor</t>
  </si>
  <si>
    <t>EBS 50% time</t>
  </si>
  <si>
    <t>{Mon; Tue; Wed; Thu; Fri}</t>
  </si>
  <si>
    <t>Advanced commands:</t>
  </si>
  <si>
    <t>Action1</t>
  </si>
  <si>
    <t>Action2</t>
  </si>
  <si>
    <t>hh</t>
  </si>
  <si>
    <t>Calendar ID</t>
  </si>
  <si>
    <t>Store ID</t>
  </si>
  <si>
    <t>Store ID temp</t>
  </si>
  <si>
    <t>Calendar ID temp</t>
  </si>
  <si>
    <t>Calendar path temp</t>
  </si>
  <si>
    <t>#000001</t>
  </si>
  <si>
    <t>To do</t>
  </si>
  <si>
    <t>{0,050;0,200;0,350;0,500;0,650;0,800;0,950}</t>
  </si>
  <si>
    <t>N/A</t>
  </si>
  <si>
    <t>#000002</t>
  </si>
  <si>
    <t>#000003</t>
  </si>
  <si>
    <t>%Tag * HEADERS</t>
  </si>
  <si>
    <t>%Tag * VALUES</t>
  </si>
  <si>
    <t>#000004</t>
  </si>
  <si>
    <t>#000005</t>
  </si>
  <si>
    <t>t5C33AE2C601539DCA</t>
  </si>
  <si>
    <t>Buy soy sauce</t>
  </si>
  <si>
    <t>t35EBA085FF3A95514</t>
  </si>
  <si>
    <t>tD63F7F4494CABA67B</t>
  </si>
  <si>
    <t>Take bags</t>
  </si>
  <si>
    <t>SetPlainDelta()</t>
  </si>
  <si>
    <t>SetCalendarDelta()</t>
  </si>
  <si>
    <t>Done</t>
  </si>
  <si>
    <t>v1.093</t>
  </si>
  <si>
    <t>Add virtual sheet management</t>
  </si>
  <si>
    <t>Add task import export utils</t>
  </si>
  <si>
    <t>Minor bug fixes</t>
  </si>
  <si>
    <t>Add all prototype features</t>
  </si>
  <si>
    <t>Feature currently disabled</t>
  </si>
  <si>
    <t>#000006</t>
  </si>
  <si>
    <t>#000007</t>
  </si>
  <si>
    <t>Split end</t>
  </si>
  <si>
    <t>Split start</t>
  </si>
  <si>
    <t>Get the time spent of filtered tasks (visible on planning sheet)</t>
  </si>
  <si>
    <t>Span start</t>
  </si>
  <si>
    <t>Span end</t>
  </si>
  <si>
    <t>Split interval</t>
  </si>
  <si>
    <t>Time spent</t>
  </si>
  <si>
    <t>Split entry no.</t>
  </si>
  <si>
    <t>Mon</t>
  </si>
  <si>
    <t>#000011</t>
  </si>
  <si>
    <t>#000012</t>
  </si>
  <si>
    <t>FirstDayOfWeek</t>
  </si>
  <si>
    <t>In progress</t>
  </si>
  <si>
    <t>t86F89BCDC9F9FA3B4</t>
  </si>
  <si>
    <t>Buy pineapples</t>
  </si>
  <si>
    <t>t429885C27F77EA728</t>
  </si>
  <si>
    <t>Buy strawberries</t>
  </si>
  <si>
    <t>fruit</t>
  </si>
  <si>
    <t>important</t>
  </si>
  <si>
    <t>preparation</t>
  </si>
  <si>
    <t>food</t>
  </si>
  <si>
    <t>non food</t>
  </si>
  <si>
    <t>{%Tag 3}</t>
  </si>
  <si>
    <t>{non food}</t>
  </si>
  <si>
    <t>d</t>
  </si>
  <si>
    <t>{%Tag 2;%Tag 3}</t>
  </si>
  <si>
    <t>ImportedTaskPostfix</t>
  </si>
  <si>
    <t>Message no.</t>
  </si>
  <si>
    <t>Message</t>
  </si>
  <si>
    <t>Severity</t>
  </si>
  <si>
    <t>Timestamp</t>
  </si>
  <si>
    <t>Caller</t>
  </si>
  <si>
    <t xml:space="preserve"> (imported2)</t>
  </si>
  <si>
    <t>v1.100</t>
  </si>
  <si>
    <t>Add message handler</t>
  </si>
  <si>
    <t>Replace string collections with dictionaries</t>
  </si>
  <si>
    <t>v1.094</t>
  </si>
  <si>
    <t>Add analysis sheet</t>
  </si>
  <si>
    <t>Change task import export modules to use virtual sheet(s)</t>
  </si>
  <si>
    <t>Copying high user estimate to task sheet value if date was entered in mask</t>
  </si>
  <si>
    <t>VIRTUAL_SHEET_NAME</t>
  </si>
  <si>
    <t>VIRTUAL_SHEET_RANGE_ROWS</t>
  </si>
  <si>
    <t>VIRTUAL_SHEET_RANGE_COLS</t>
  </si>
  <si>
    <t>{0,100;0,100;0,100;0,100;0,100;0,100;0,100;0,100;0,100;0,100;0,100;0,100;0,100;0,100;0,100;0,100;0,100;0,100;0,100;0,100;0,100;0,100;0,100;0,100;0,100;0,100;0,100;0,100;0,100;0,100;0,100;0,100;0,100;0,100;0,100;0,100;0,100;0,100;0,100;0,100;0,100;0,100;0,100;0,100;0,100;0,100;0,100;0,100;0,100;0,100}</t>
  </si>
  <si>
    <t>{0,025;0,025;0,025;0,025;0,025;0,025;0,025;0,025;0,025;0,025;0,025;0,025;0,025;0,025;0,025;0,025;0,025;0,025;0,025;0,025;0,025;0,025;0,025;0,025;0,025;0,025;0,025;0,025;0,025;0,025;0,025;0,025;0,025;0,025;0,025;0,025;0,025;0,025;0,025;0,025;0,025;0,025;0,025;0,025;0,025;0,025;0,025;0,025;0,025;0,025}</t>
  </si>
  <si>
    <t>{0,200;0,200;0,200;0,200;0,200;0,200;0,200;0,200;0,200;0,200;0,200;0,200;0,200;0,200;0,200;0,200;0,200;0,200;0,200;0,200;0,200;0,200;0,200;0,200;0,200;0,200;0,200;0,200;0,200;0,200;0,200;0,200;0,200;0,200;0,200;0,200;0,200;0,200;0,200;0,200;0,200;0,200;0,200;0,200;0,200;0,200;0,200;0,200;0,200;0,200}</t>
  </si>
  <si>
    <t>{10,000}</t>
  </si>
  <si>
    <t>\\your.mail@provider.com\Calendar</t>
  </si>
  <si>
    <t>Hour</t>
  </si>
  <si>
    <t>{%Tag 1;%Tag 3}</t>
  </si>
  <si>
    <t>{important;preparation}</t>
  </si>
  <si>
    <t>{food}</t>
  </si>
  <si>
    <t>#000008</t>
  </si>
  <si>
    <t>#000009</t>
  </si>
  <si>
    <t>#000010</t>
  </si>
  <si>
    <t>00000000F593AB5CD8A4614C8B1EC1E4C84EFB870100D67807C5E37E4B47A653892DF42F73BD00000000010D0000</t>
  </si>
  <si>
    <t>0000000038A1BB1005E5101AA1BB08002B2A56C20000454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</si>
  <si>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\\weihsbach.c@outlook.com\Kalender</t>
  </si>
  <si>
    <t>0000000038A1BB1005E5101AA1BB08002B2A56C20030454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</si>
  <si>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00000000F593AB5CD8A4614C8B1EC114C84EFB870100D67807C5E37E4B47A653892DF42F73BD00000000010D0000</t>
  </si>
  <si>
    <t>Take two</t>
  </si>
  <si>
    <t>Have a chat with the store owner</t>
  </si>
  <si>
    <t>Pineapples are well hidden</t>
  </si>
  <si>
    <t>{fruit;food}</t>
  </si>
  <si>
    <t>Add DoEvents for long-running operations</t>
  </si>
  <si>
    <t>{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}</t>
  </si>
  <si>
    <t>{0,000;0,000;0,000;0,000;0,000;0,000;0,000}</t>
  </si>
  <si>
    <t>{17/02/2020 08:00:00;17/02/2020 08:00:00;17/02/2020 08:00:00;17/02/2020 08:00:00;17/02/2020 08:00:00;17/02/2020 08:00:00;17/02/2020 08:00:00}</t>
  </si>
  <si>
    <t>{0,500;0,500;0,500;0,500;0,500;0,500;0,500;0,500;0,500;0,500;0,500;0,500;0,500;0,500;0,500;0,500;0,500;0,500;0,500;0,500;0,500;0,500;0,500;0,500;0,500;0,500;0,500;0,500;0,500;0,500;0,500;0,500;0,500;0,500;0,500;0,500;0,500;0,500;0,500;0,500;0,500;0,500;0,500;0,500;0,500;0,500;0,500;0,500;0,500;0,500}</t>
  </si>
  <si>
    <t>{0,500;0,500;0,500;0,500;0,500;0,500;0,500}</t>
  </si>
  <si>
    <t>{17/02/2020 08:30:00;17/02/2020 08:30:00;17/02/2020 08:30:00;17/02/2020 08:30:00;17/02/2020 08:30:00;17/02/2020 08:30:00;17/02/2020 08:30:00}</t>
  </si>
  <si>
    <t>{0,700;0,700;0,700;0,700;0,700;0,700;0,700;0,700;0,700;0,700;0,700;0,700;0,700;0,700;0,700;0,700;0,700;0,700;0,700;0,700;0,700;0,700;0,700;0,700;0,700;0,700;0,700;0,700;0,700;0,700;0,700;0,700;0,700;0,700;0,700;0,700;0,700;0,700;0,700;0,700;0,700;0,700;0,700;0,700;0,700;0,700;0,700;0,700;0,700;0,700}</t>
  </si>
  <si>
    <t>{0,700;0,700;0,700;0,700;0,700;0,700;0,700}</t>
  </si>
  <si>
    <t>{17/02/2020 08:42:00;17/02/2020 08:42:00;17/02/2020 08:42:00;17/02/2020 08:42:00;17/02/2020 08:42:00;17/02/2020 08:42:00;17/02/2020 08:42:00}</t>
  </si>
  <si>
    <t>eFA9C29B09D00495B1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</si>
</sst>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0"/>
      <color theme="1"/>
      <name val="Monospac821 BT"/>
      <family val="3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Monospac821 BT"/>
      <family val="3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93D07B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medium">
        <color theme="0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" fillId="2" borderId="1" applyNumberFormat="0" applyAlignment="0" applyProtection="0"/>
    <xf numFmtId="0" fontId="11" fillId="7" borderId="0" applyNumberFormat="0" applyBorder="0" applyAlignment="0" applyProtection="0"/>
  </cellStyleXfs>
  <cellXfs count="46">
    <xf numFmtId="0" fontId="0" fillId="0" borderId="0" xfId="0"/>
    <xf numFmtId="22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2"/>
    <xf numFmtId="22" fontId="3" fillId="0" borderId="0" xfId="0" applyNumberFormat="1" applyFont="1" applyFill="1"/>
    <xf numFmtId="0" fontId="0" fillId="0" borderId="0" xfId="0" applyFont="1"/>
    <xf numFmtId="0" fontId="0" fillId="0" borderId="0" xfId="0" applyFont="1" applyFill="1"/>
    <xf numFmtId="0" fontId="5" fillId="0" borderId="0" xfId="0" applyFont="1"/>
    <xf numFmtId="0" fontId="4" fillId="0" borderId="0" xfId="0" applyFont="1"/>
    <xf numFmtId="0" fontId="6" fillId="0" borderId="0" xfId="0" applyFont="1"/>
    <xf numFmtId="0" fontId="8" fillId="0" borderId="0" xfId="0" applyFont="1"/>
    <xf numFmtId="2" fontId="2" fillId="0" borderId="0" xfId="2" applyNumberFormat="1"/>
    <xf numFmtId="20" fontId="0" fillId="0" borderId="0" xfId="0" applyNumberFormat="1"/>
    <xf numFmtId="0" fontId="4" fillId="3" borderId="0" xfId="0" applyFont="1" applyFill="1"/>
    <xf numFmtId="9" fontId="0" fillId="0" borderId="0" xfId="0" applyNumberFormat="1"/>
    <xf numFmtId="4" fontId="0" fillId="0" borderId="0" xfId="0" applyNumberFormat="1"/>
    <xf numFmtId="14" fontId="0" fillId="0" borderId="0" xfId="0" applyNumberFormat="1"/>
    <xf numFmtId="2" fontId="0" fillId="0" borderId="0" xfId="0" applyNumberFormat="1" applyFont="1" applyFill="1"/>
    <xf numFmtId="0" fontId="1" fillId="0" borderId="0" xfId="0" applyFont="1" applyFill="1"/>
    <xf numFmtId="0" fontId="0" fillId="4" borderId="0" xfId="0" applyFill="1"/>
    <xf numFmtId="22" fontId="3" fillId="5" borderId="0" xfId="0" applyNumberFormat="1" applyFont="1" applyFill="1"/>
    <xf numFmtId="0" fontId="0" fillId="6" borderId="0" xfId="0" applyFill="1"/>
    <xf numFmtId="0" fontId="7" fillId="0" borderId="0" xfId="2" applyFont="1" applyFill="1"/>
    <xf numFmtId="0" fontId="7" fillId="0" borderId="0" xfId="0" applyFont="1" applyFill="1"/>
    <xf numFmtId="2" fontId="7" fillId="0" borderId="0" xfId="0" applyNumberFormat="1" applyFont="1" applyFill="1"/>
    <xf numFmtId="22" fontId="7" fillId="0" borderId="0" xfId="0" applyNumberFormat="1" applyFont="1" applyFill="1"/>
    <xf numFmtId="0" fontId="11" fillId="7" borderId="0" xfId="4"/>
    <xf numFmtId="0" fontId="0" fillId="8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2" fillId="9" borderId="3" xfId="0" applyFont="1" applyFill="1" applyBorder="1"/>
    <xf numFmtId="14" fontId="0" fillId="8" borderId="0" xfId="0" applyNumberFormat="1" applyFill="1" applyAlignment="1">
      <alignment horizontal="center"/>
    </xf>
    <xf numFmtId="0" fontId="4" fillId="0" borderId="0" xfId="0" applyFont="1" applyFill="1"/>
    <xf numFmtId="22" fontId="4" fillId="0" borderId="0" xfId="0" applyNumberFormat="1" applyFont="1" applyFill="1"/>
    <xf numFmtId="2" fontId="4" fillId="0" borderId="0" xfId="0" applyNumberFormat="1" applyFont="1" applyFill="1"/>
    <xf numFmtId="22" fontId="12" fillId="9" borderId="3" xfId="0" applyNumberFormat="1" applyFont="1" applyFill="1" applyBorder="1"/>
    <xf numFmtId="0" fontId="6" fillId="0" borderId="0" xfId="1" applyFill="1"/>
    <xf numFmtId="22" fontId="6" fillId="0" borderId="0" xfId="1" applyNumberFormat="1" applyFill="1"/>
    <xf numFmtId="0" fontId="6" fillId="4" borderId="0" xfId="0" applyFont="1" applyFill="1" applyAlignment="1">
      <alignment horizontal="center"/>
    </xf>
    <xf numFmtId="0" fontId="6" fillId="0" borderId="0" xfId="1"/>
    <xf numFmtId="0" fontId="0" fillId="0" borderId="0" xfId="0" applyFill="1"/>
    <xf numFmtId="2" fontId="0" fillId="0" borderId="0" xfId="0" applyNumberFormat="1" applyFill="1"/>
    <xf numFmtId="0" fontId="7" fillId="10" borderId="0" xfId="2" applyFont="1" applyFill="1"/>
    <xf numFmtId="22" fontId="0" fillId="0" borderId="0" xfId="0" applyNumberFormat="1" applyFill="1"/>
    <xf numFmtId="0" fontId="4" fillId="4" borderId="2" xfId="3" applyFont="1" applyFill="1" applyBorder="1" applyAlignment="1">
      <alignment horizontal="left"/>
    </xf>
    <xf numFmtId="0" fontId="4" fillId="4" borderId="0" xfId="3" applyFont="1" applyFill="1" applyBorder="1" applyAlignment="1">
      <alignment horizontal="left"/>
    </xf>
  </cellXfs>
  <cellStyles count="5">
    <cellStyle name="Eingabe" xfId="3" builtinId="20"/>
    <cellStyle name="Link" xfId="2" builtinId="8"/>
    <cellStyle name="Schlecht" xfId="4" builtinId="27"/>
    <cellStyle name="Spaltenebene_1" xfId="1" builtinId="2" iLevel="0"/>
    <cellStyle name="Standard" xfId="0" builtinId="0"/>
  </cellStyles>
  <dxfs count="95"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fgColor auto="1"/>
          <bgColor rgb="FF7030A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B0F0"/>
      </font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2" formatCode="0.00"/>
    </dxf>
    <dxf>
      <numFmt numFmtId="2" formatCode="0.00"/>
    </dxf>
    <dxf>
      <numFmt numFmtId="19" formatCode="dd/mm/yyyy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2" formatCode="0.00"/>
    </dxf>
    <dxf>
      <numFmt numFmtId="2" formatCode="0.00"/>
    </dxf>
    <dxf>
      <numFmt numFmtId="25" formatCode="hh:mm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2" formatCode="0.00"/>
    </dxf>
    <dxf>
      <numFmt numFmtId="2" formatCode="0.00"/>
    </dxf>
    <dxf>
      <numFmt numFmtId="19" formatCode="dd/mm/yyyy"/>
    </dxf>
  </dxfs>
  <tableStyles count="0" defaultTableStyle="TableStyleMedium2" defaultPivotStyle="PivotStyleLight16"/>
  <colors>
    <mruColors>
      <color rgb="FFD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16/02/2020 23:01:35</c:v>
          </c:tx>
          <c:spPr>
            <a:ln w="2222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5E84-474B-B4D5-54F22A0E3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20%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1"/>
              <c:pt idx="0">
                <c:v>43877.959432870368</c:v>
              </c:pt>
            </c:numLit>
          </c:xVal>
          <c:yVal>
            <c:numLit>
              <c:formatCode>General</c:formatCode>
              <c:ptCount val="1"/>
              <c:pt idx="0">
                <c:v>0.7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165B-4CA3-AEF1-E2C450E3B5D8}"/>
            </c:ext>
          </c:extLst>
        </c:ser>
        <c:ser>
          <c:idx val="1"/>
          <c:order val="1"/>
          <c:tx>
            <c:v>50%</c:v>
          </c:tx>
          <c:spPr>
            <a:ln w="1587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1"/>
              <c:pt idx="0">
                <c:v>43877.959432870368</c:v>
              </c:pt>
            </c:numLit>
          </c:xVal>
          <c:yVal>
            <c:numLit>
              <c:formatCode>General</c:formatCode>
              <c:ptCount val="1"/>
              <c:pt idx="0">
                <c:v>0.7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165B-4CA3-AEF1-E2C450E3B5D8}"/>
            </c:ext>
          </c:extLst>
        </c:ser>
        <c:ser>
          <c:idx val="2"/>
          <c:order val="2"/>
          <c:tx>
            <c:v>80%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1"/>
              <c:pt idx="0">
                <c:v>43877.959432870368</c:v>
              </c:pt>
            </c:numLit>
          </c:xVal>
          <c:yVal>
            <c:numLit>
              <c:formatCode>General</c:formatCode>
              <c:ptCount val="1"/>
              <c:pt idx="0">
                <c:v>0.7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165B-4CA3-AEF1-E2C450E3B5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EBS estimation time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dd/mm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15/07/2018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0.25</c:v>
              </c:pt>
              <c:pt idx="2">
                <c:v>0.75</c:v>
              </c:pt>
              <c:pt idx="3">
                <c:v>1</c:v>
              </c:pt>
              <c:pt idx="4">
                <c:v>1</c:v>
              </c:pt>
              <c:pt idx="5">
                <c:v>0.5</c:v>
              </c:pt>
              <c:pt idx="6">
                <c:v>0.75</c:v>
              </c:pt>
              <c:pt idx="7">
                <c:v>0.5</c:v>
              </c:pt>
              <c:pt idx="8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FAB-47B4-9A22-7C971F53684F}"/>
            </c:ext>
          </c:extLst>
        </c:ser>
        <c:ser>
          <c:idx val="1"/>
          <c:order val="1"/>
          <c:tx>
            <c:v>Velo pool on: 19/07/2019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AB-47B4-9A22-7C971F53684F}"/>
            </c:ext>
          </c:extLst>
        </c:ser>
        <c:ser>
          <c:idx val="2"/>
          <c:order val="2"/>
          <c:tx>
            <c:v>Velo pool on: 21/07/2019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0.4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0.2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AB-47B4-9A22-7C971F53684F}"/>
            </c:ext>
          </c:extLst>
        </c:ser>
        <c:ser>
          <c:idx val="3"/>
          <c:order val="3"/>
          <c:tx>
            <c:v>Velo pool on: 22/07/2019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0.6</c:v>
              </c:pt>
              <c:pt idx="7">
                <c:v>0.4</c:v>
              </c:pt>
              <c:pt idx="8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AB-47B4-9A22-7C971F53684F}"/>
            </c:ext>
          </c:extLst>
        </c:ser>
        <c:ser>
          <c:idx val="4"/>
          <c:order val="4"/>
          <c:tx>
            <c:v>Velo pool on: 23/07/2019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FAB-47B4-9A22-7C971F53684F}"/>
            </c:ext>
          </c:extLst>
        </c:ser>
        <c:ser>
          <c:idx val="5"/>
          <c:order val="5"/>
          <c:tx>
            <c:v>Velo pool on: 25/07/2019 00:19:23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FAB-47B4-9A22-7C971F53684F}"/>
            </c:ext>
          </c:extLst>
        </c:ser>
        <c:ser>
          <c:idx val="6"/>
          <c:order val="6"/>
          <c:tx>
            <c:v>Velo pool on: 25/07/2019 23:14:01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FAB-47B4-9A22-7C971F53684F}"/>
            </c:ext>
          </c:extLst>
        </c:ser>
        <c:ser>
          <c:idx val="7"/>
          <c:order val="7"/>
          <c:tx>
            <c:v>Velo pool on: 25/07/2019 23:45:44</c:v>
          </c:tx>
          <c:spPr>
            <a:ln w="22225" cap="rnd" cmpd="sng" algn="ctr">
              <a:solidFill>
                <a:srgbClr val="549E39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549E39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FAB-47B4-9A22-7C971F53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549E39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549E39">
                    <a:lumMod val="60000"/>
                    <a:lumOff val="4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2.6354629617053398</c:v>
              </c:pt>
              <c:pt idx="1">
                <c:v>2.8414930555009099</c:v>
              </c:pt>
              <c:pt idx="2">
                <c:v>4.2382407408876999</c:v>
              </c:pt>
              <c:pt idx="3">
                <c:v>4.4052199069556099</c:v>
              </c:pt>
              <c:pt idx="4">
                <c:v>4.7285069448626</c:v>
              </c:pt>
              <c:pt idx="5">
                <c:v>5.0461111103068204</c:v>
              </c:pt>
              <c:pt idx="6">
                <c:v>5.2578541667215202</c:v>
              </c:pt>
              <c:pt idx="7">
                <c:v>5.4626388900505898</c:v>
              </c:pt>
              <c:pt idx="8">
                <c:v>5.5079166673240199</c:v>
              </c:pt>
              <c:pt idx="9">
                <c:v>6.2152314817212799</c:v>
              </c:pt>
              <c:pt idx="10">
                <c:v>6.6193749994563396</c:v>
              </c:pt>
              <c:pt idx="11">
                <c:v>6.6343749987281599</c:v>
              </c:pt>
              <c:pt idx="12">
                <c:v>6.8511111109546698</c:v>
              </c:pt>
              <c:pt idx="13">
                <c:v>7.08974073973949</c:v>
              </c:pt>
              <c:pt idx="14">
                <c:v>7.4495138880738603</c:v>
              </c:pt>
              <c:pt idx="15">
                <c:v>7.6185555543866998</c:v>
              </c:pt>
              <c:pt idx="16">
                <c:v>8.1103819449635903</c:v>
              </c:pt>
              <c:pt idx="17">
                <c:v>8.1534722213109596</c:v>
              </c:pt>
              <c:pt idx="18">
                <c:v>8.2963888886733894</c:v>
              </c:pt>
              <c:pt idx="19">
                <c:v>8.3028356477298093</c:v>
              </c:pt>
              <c:pt idx="20">
                <c:v>8.8664814788644506</c:v>
              </c:pt>
              <c:pt idx="21">
                <c:v>9.38055555598112</c:v>
              </c:pt>
              <c:pt idx="22">
                <c:v>9.4810532425399305</c:v>
              </c:pt>
              <c:pt idx="23">
                <c:v>9.6929861106182305</c:v>
              </c:pt>
              <c:pt idx="24">
                <c:v>10.0433333331312</c:v>
              </c:pt>
              <c:pt idx="25">
                <c:v>10.472027777368201</c:v>
              </c:pt>
              <c:pt idx="26">
                <c:v>10.7179166666611</c:v>
              </c:pt>
              <c:pt idx="27">
                <c:v>10.769409721462599</c:v>
              </c:pt>
              <c:pt idx="28">
                <c:v>11.01498842609</c:v>
              </c:pt>
              <c:pt idx="29">
                <c:v>11.046666665934</c:v>
              </c:pt>
              <c:pt idx="30">
                <c:v>12.138888887129699</c:v>
              </c:pt>
              <c:pt idx="31">
                <c:v>12.589861110580401</c:v>
              </c:pt>
              <c:pt idx="32">
                <c:v>12.958972222136801</c:v>
              </c:pt>
              <c:pt idx="33">
                <c:v>13.5856481473893</c:v>
              </c:pt>
              <c:pt idx="34">
                <c:v>13.617476850267799</c:v>
              </c:pt>
              <c:pt idx="35">
                <c:v>14.158310185768601</c:v>
              </c:pt>
              <c:pt idx="36">
                <c:v>14.900833331805201</c:v>
              </c:pt>
              <c:pt idx="37">
                <c:v>15.0687962946831</c:v>
              </c:pt>
              <c:pt idx="38">
                <c:v>15.7918981470866</c:v>
              </c:pt>
              <c:pt idx="39">
                <c:v>15.8630555549171</c:v>
              </c:pt>
              <c:pt idx="40">
                <c:v>15.988298612072001</c:v>
              </c:pt>
              <c:pt idx="41">
                <c:v>16.8628888882056</c:v>
              </c:pt>
              <c:pt idx="42">
                <c:v>16.981365742816699</c:v>
              </c:pt>
              <c:pt idx="43">
                <c:v>16.9846296293981</c:v>
              </c:pt>
              <c:pt idx="44">
                <c:v>17.431944442098001</c:v>
              </c:pt>
              <c:pt idx="45">
                <c:v>17.484712961735202</c:v>
              </c:pt>
              <c:pt idx="46">
                <c:v>19.672638888892902</c:v>
              </c:pt>
              <c:pt idx="47">
                <c:v>20.371203703805801</c:v>
              </c:pt>
              <c:pt idx="48">
                <c:v>20.6935648151848</c:v>
              </c:pt>
              <c:pt idx="49">
                <c:v>21.8499305548176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19E-46CE-B3D9-F5448D792C9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E3DED1">
                  <a:lumMod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E3DED1">
                    <a:lumMod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4.3133813656182598</c:v>
              </c:pt>
              <c:pt idx="1">
                <c:v>6.5385462959093301</c:v>
              </c:pt>
              <c:pt idx="2">
                <c:v>8.1749097214153199</c:v>
              </c:pt>
              <c:pt idx="3">
                <c:v>10.257680555249699</c:v>
              </c:pt>
              <c:pt idx="4">
                <c:v>12.9036055554034</c:v>
              </c:pt>
              <c:pt idx="5">
                <c:v>15.8881041663481</c:v>
              </c:pt>
              <c:pt idx="6">
                <c:v>20.056849537095001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19E-46CE-B3D9-F5448D79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247649</xdr:colOff>
      <xdr:row>2</xdr:row>
      <xdr:rowOff>0</xdr:rowOff>
    </xdr:from>
    <xdr:to>
      <xdr:col>2</xdr:col>
      <xdr:colOff>1438274</xdr:colOff>
      <xdr:row>4</xdr:row>
      <xdr:rowOff>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last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238125</xdr:colOff>
      <xdr:row>4</xdr:row>
      <xdr:rowOff>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selected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238125</xdr:colOff>
      <xdr:row>4</xdr:row>
      <xdr:rowOff>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1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Stop tracking</a:t>
          </a:r>
        </a:p>
      </xdr:txBody>
    </xdr:sp>
    <xdr:clientData fPrintsWithSheet="0"/>
  </xdr:twoCellAnchor>
  <xdr:twoCellAnchor editAs="oneCell">
    <xdr:from>
      <xdr:col>7</xdr:col>
      <xdr:colOff>0</xdr:colOff>
      <xdr:row>2</xdr:row>
      <xdr:rowOff>0</xdr:rowOff>
    </xdr:from>
    <xdr:to>
      <xdr:col>8</xdr:col>
      <xdr:colOff>752475</xdr:colOff>
      <xdr:row>4</xdr:row>
      <xdr:rowOff>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15</xdr:col>
      <xdr:colOff>0</xdr:colOff>
      <xdr:row>2</xdr:row>
      <xdr:rowOff>0</xdr:rowOff>
    </xdr:from>
    <xdr:to>
      <xdr:col>16</xdr:col>
      <xdr:colOff>857250</xdr:colOff>
      <xdr:row>4</xdr:row>
      <xdr:rowOff>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1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Configure task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76200</xdr:colOff>
          <xdr:row>0</xdr:row>
          <xdr:rowOff>85725</xdr:rowOff>
        </xdr:from>
        <xdr:to>
          <xdr:col>2</xdr:col>
          <xdr:colOff>609600</xdr:colOff>
          <xdr:row>0</xdr:row>
          <xdr:rowOff>304800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(Ctrl+Shift+N)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85725</xdr:rowOff>
        </xdr:from>
        <xdr:to>
          <xdr:col>6</xdr:col>
          <xdr:colOff>161925</xdr:colOff>
          <xdr:row>0</xdr:row>
          <xdr:rowOff>304800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15m (Ctrl+Shift+F)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0</xdr:row>
          <xdr:rowOff>352425</xdr:rowOff>
        </xdr:from>
        <xdr:to>
          <xdr:col>4</xdr:col>
          <xdr:colOff>57150</xdr:colOff>
          <xdr:row>0</xdr:row>
          <xdr:rowOff>571500</xdr:rowOff>
        </xdr:to>
        <xdr:sp macro="" textlink="">
          <xdr:nvSpPr>
            <xdr:cNvPr id="4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task (Ctrl+Shift+X)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0</xdr:row>
          <xdr:rowOff>85725</xdr:rowOff>
        </xdr:from>
        <xdr:to>
          <xdr:col>4</xdr:col>
          <xdr:colOff>57150</xdr:colOff>
          <xdr:row>0</xdr:row>
          <xdr:rowOff>304800</xdr:rowOff>
        </xdr:to>
        <xdr:sp macro="" textlink="">
          <xdr:nvSpPr>
            <xdr:cNvPr id="5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task (Ctrl+Shift+S)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695325</xdr:colOff>
          <xdr:row>0</xdr:row>
          <xdr:rowOff>561975</xdr:rowOff>
        </xdr:from>
        <xdr:to>
          <xdr:col>2</xdr:col>
          <xdr:colOff>2133600</xdr:colOff>
          <xdr:row>0</xdr:row>
          <xdr:rowOff>771525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Del. task (Ctrl+Shift+R)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704850</xdr:colOff>
          <xdr:row>0</xdr:row>
          <xdr:rowOff>85725</xdr:rowOff>
        </xdr:from>
        <xdr:to>
          <xdr:col>3</xdr:col>
          <xdr:colOff>0</xdr:colOff>
          <xdr:row>0</xdr:row>
          <xdr:rowOff>304800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1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task (Ctrl+Shift+C)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200025</xdr:colOff>
          <xdr:row>0</xdr:row>
          <xdr:rowOff>76200</xdr:rowOff>
        </xdr:from>
        <xdr:to>
          <xdr:col>8</xdr:col>
          <xdr:colOff>9525</xdr:colOff>
          <xdr:row>0</xdr:row>
          <xdr:rowOff>295275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(Ctrl+Shift+ '+')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200025</xdr:colOff>
          <xdr:row>0</xdr:row>
          <xdr:rowOff>333375</xdr:rowOff>
        </xdr:from>
        <xdr:to>
          <xdr:col>8</xdr:col>
          <xdr:colOff>9525</xdr:colOff>
          <xdr:row>0</xdr:row>
          <xdr:rowOff>552450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1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 (Ctrl+Shift+ '-')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66675</xdr:colOff>
          <xdr:row>0</xdr:row>
          <xdr:rowOff>66675</xdr:rowOff>
        </xdr:from>
        <xdr:to>
          <xdr:col>9</xdr:col>
          <xdr:colOff>781050</xdr:colOff>
          <xdr:row>0</xdr:row>
          <xdr:rowOff>285750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EBS (Ctrl+Shift+M)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66675</xdr:colOff>
          <xdr:row>0</xdr:row>
          <xdr:rowOff>333375</xdr:rowOff>
        </xdr:from>
        <xdr:to>
          <xdr:col>9</xdr:col>
          <xdr:colOff>781050</xdr:colOff>
          <xdr:row>0</xdr:row>
          <xdr:rowOff>552450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total times (Ctrl+Shift+T)</a:t>
              </a:r>
            </a:p>
          </xdr:txBody>
        </xdr:sp>
        <xdr:clientData fPrintsWithSheet="0"/>
      </xdr:twoCellAnchor>
    </mc:Choice>
    <mc:Fallback/>
  </mc:AlternateContent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0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0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0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0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0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0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0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0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352425</xdr:rowOff>
        </xdr:from>
        <xdr:to>
          <xdr:col>6</xdr:col>
          <xdr:colOff>161925</xdr:colOff>
          <xdr:row>0</xdr:row>
          <xdr:rowOff>571500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0m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200025</xdr:colOff>
          <xdr:row>0</xdr:row>
          <xdr:rowOff>590550</xdr:rowOff>
        </xdr:from>
        <xdr:to>
          <xdr:col>8</xdr:col>
          <xdr:colOff>9525</xdr:colOff>
          <xdr:row>0</xdr:row>
          <xdr:rowOff>809625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Gather (Ctrl+Shift+G)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B445122-17DD-48AF-9514-21A6849BFFF3}"/>
            </a:ext>
          </a:extLst>
        </xdr:cNvPr>
        <xdr:cNvSpPr/>
      </xdr:nvSpPr>
      <xdr:spPr bwMode="auto">
        <a:xfrm>
          <a:off x="7600950" y="24765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21DBD55-393C-41E4-9AAA-B56F49D61231}"/>
            </a:ext>
          </a:extLst>
        </xdr:cNvPr>
        <xdr:cNvSpPr/>
      </xdr:nvSpPr>
      <xdr:spPr bwMode="auto">
        <a:xfrm>
          <a:off x="9096375" y="2476500"/>
          <a:ext cx="426720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A4602D0D-3BBC-4519-85B4-CB37E9762182}"/>
            </a:ext>
          </a:extLst>
        </xdr:cNvPr>
        <xdr:cNvSpPr/>
      </xdr:nvSpPr>
      <xdr:spPr bwMode="auto">
        <a:xfrm>
          <a:off x="7600950" y="24765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CBB6542C-3085-4717-A62F-90E8D3389BF1}"/>
            </a:ext>
          </a:extLst>
        </xdr:cNvPr>
        <xdr:cNvSpPr/>
      </xdr:nvSpPr>
      <xdr:spPr bwMode="auto">
        <a:xfrm>
          <a:off x="9096375" y="2476500"/>
          <a:ext cx="426720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E6007453-EEC1-45A0-8EEA-0F2F4156A8B5}"/>
            </a:ext>
          </a:extLst>
        </xdr:cNvPr>
        <xdr:cNvSpPr/>
      </xdr:nvSpPr>
      <xdr:spPr bwMode="auto">
        <a:xfrm>
          <a:off x="7600950" y="24765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4E2CD3A0-4E3B-4970-887D-1771978147DF}"/>
            </a:ext>
          </a:extLst>
        </xdr:cNvPr>
        <xdr:cNvSpPr/>
      </xdr:nvSpPr>
      <xdr:spPr bwMode="auto">
        <a:xfrm>
          <a:off x="9096375" y="2476500"/>
          <a:ext cx="426720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52D0E797-2253-4BA5-A675-F6330F59F57D}"/>
            </a:ext>
          </a:extLst>
        </xdr:cNvPr>
        <xdr:cNvSpPr/>
      </xdr:nvSpPr>
      <xdr:spPr bwMode="auto">
        <a:xfrm>
          <a:off x="7600950" y="24765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54499743-06B5-426E-B6C3-3E4CCCC48C8F}"/>
            </a:ext>
          </a:extLst>
        </xdr:cNvPr>
        <xdr:cNvSpPr/>
      </xdr:nvSpPr>
      <xdr:spPr bwMode="auto">
        <a:xfrm>
          <a:off x="9096375" y="2476500"/>
          <a:ext cx="426720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99" name="Diagramm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0" name="Diagramm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</xdr:row>
          <xdr:rowOff>57150</xdr:rowOff>
        </xdr:from>
        <xdr:to>
          <xdr:col>1</xdr:col>
          <xdr:colOff>314325</xdr:colOff>
          <xdr:row>5</xdr:row>
          <xdr:rowOff>285750</xdr:rowOff>
        </xdr:to>
        <xdr:sp macro="" textlink="">
          <xdr:nvSpPr>
            <xdr:cNvPr id="863233" name="Button 1" hidden="1">
              <a:extLst>
                <a:ext uri="{63B3BB69-23CF-44E3-9099-C40C66FF867C}">
                  <a14:compatExt spid="_x0000_s863233"/>
                </a:ext>
                <a:ext uri="{FF2B5EF4-FFF2-40B4-BE49-F238E27FC236}">
                  <a16:creationId xmlns:a16="http://schemas.microsoft.com/office/drawing/2014/main" id="{00000000-0008-0000-0600-0000012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time spent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15</xdr:row>
          <xdr:rowOff>171450</xdr:rowOff>
        </xdr:from>
        <xdr:to>
          <xdr:col>0</xdr:col>
          <xdr:colOff>1638300</xdr:colOff>
          <xdr:row>17</xdr:row>
          <xdr:rowOff>0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7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(Re)enable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9</xdr:row>
          <xdr:rowOff>171450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739330" name="Button 2" hidden="1">
              <a:extLst>
                <a:ext uri="{63B3BB69-23CF-44E3-9099-C40C66FF867C}">
                  <a14:compatExt spid="_x0000_s739330"/>
                </a:ext>
                <a:ext uri="{FF2B5EF4-FFF2-40B4-BE49-F238E27FC236}">
                  <a16:creationId xmlns:a16="http://schemas.microsoft.com/office/drawing/2014/main" id="{00000000-0008-0000-0700-000002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selected calendar's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18</xdr:row>
          <xdr:rowOff>171450</xdr:rowOff>
        </xdr:from>
        <xdr:to>
          <xdr:col>0</xdr:col>
          <xdr:colOff>1638300</xdr:colOff>
          <xdr:row>20</xdr:row>
          <xdr:rowOff>0</xdr:rowOff>
        </xdr:to>
        <xdr:sp macro="" textlink="">
          <xdr:nvSpPr>
            <xdr:cNvPr id="739331" name="Button 3" hidden="1">
              <a:extLst>
                <a:ext uri="{63B3BB69-23CF-44E3-9099-C40C66FF867C}">
                  <a14:compatExt spid="_x0000_s739331"/>
                </a:ext>
                <a:ext uri="{FF2B5EF4-FFF2-40B4-BE49-F238E27FC236}">
                  <a16:creationId xmlns:a16="http://schemas.microsoft.com/office/drawing/2014/main" id="{00000000-0008-0000-0700-000003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visible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20</xdr:row>
          <xdr:rowOff>180975</xdr:rowOff>
        </xdr:from>
        <xdr:to>
          <xdr:col>0</xdr:col>
          <xdr:colOff>1638300</xdr:colOff>
          <xdr:row>22</xdr:row>
          <xdr:rowOff>9525</xdr:rowOff>
        </xdr:to>
        <xdr:sp macro="" textlink="">
          <xdr:nvSpPr>
            <xdr:cNvPr id="739332" name="Button 4" hidden="1">
              <a:extLst>
                <a:ext uri="{63B3BB69-23CF-44E3-9099-C40C66FF867C}">
                  <a14:compatExt spid="_x0000_s739332"/>
                </a:ext>
                <a:ext uri="{FF2B5EF4-FFF2-40B4-BE49-F238E27FC236}">
                  <a16:creationId xmlns:a16="http://schemas.microsoft.com/office/drawing/2014/main" id="{00000000-0008-0000-0700-000004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tasks of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76200</xdr:rowOff>
        </xdr:from>
        <xdr:to>
          <xdr:col>1</xdr:col>
          <xdr:colOff>533400</xdr:colOff>
          <xdr:row>1</xdr:row>
          <xdr:rowOff>114300</xdr:rowOff>
        </xdr:to>
        <xdr:sp macro="" textlink="">
          <xdr:nvSpPr>
            <xdr:cNvPr id="869377" name="Button 1" hidden="1">
              <a:extLst>
                <a:ext uri="{63B3BB69-23CF-44E3-9099-C40C66FF867C}">
                  <a14:compatExt spid="_x0000_s869377"/>
                </a:ext>
                <a:ext uri="{FF2B5EF4-FFF2-40B4-BE49-F238E27FC236}">
                  <a16:creationId xmlns:a16="http://schemas.microsoft.com/office/drawing/2014/main" id="{00000000-0008-0000-0800-0000014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messages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 bwMode="auto">
        <a:xfrm>
          <a:off x="6267450" y="2286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 bwMode="auto">
        <a:xfrm>
          <a:off x="7762875" y="2286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3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3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4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41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42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44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45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46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48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4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4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4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4D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4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5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5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52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54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55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56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58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59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5A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5C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5D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5E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60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61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62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63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64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65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0000000-0008-0000-0B00-00006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6" name="Diagramm 105">
          <a:extLst>
            <a:ext uri="{FF2B5EF4-FFF2-40B4-BE49-F238E27FC236}">
              <a16:creationId xmlns:a16="http://schemas.microsoft.com/office/drawing/2014/main" id="{00000000-0008-0000-0B00-00006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Weihsbach" id="{A4D22A76-B9FC-4D2E-B5A8-50C4ED2AB033}" userId="c07faeae48d2e87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CCCDFF49-708B-4C4C-8BB7-11CAFC96F9CD}" name="TimeEntries217355162621395673991091291391591691891992192292492592792893093193393493693793994098214151738310311313314316317319320322323325326382141518235164165183203223315681105163181193211223241253285337381399417429461521533593607627639657669687699711256" displayName="TimeEntries217355162621395673991091291391591691891992192292492592792893093193393493693793994098214151738310311313314316317319320322323325326382141518235164165183203223315681105163181193211223241253285337381399417429461521533593607627639657669687699711256" ref="A15:G17" totalsRowShown="0">
  <autoFilter ref="A15:G17" xr:uid="{EE457F59-3670-4A0E-88AF-A6504DB1108C}"/>
  <tableColumns count="7">
    <tableColumn id="1" xr3:uid="{0280891E-40A6-4D21-B7A6-ACF03E331D43}" name="Time entry no."/>
    <tableColumn id="2" xr3:uid="{9EBCEBE9-215D-441B-B4FC-3E54C4A17A1D}" name="Start time" dataDxfId="70"/>
    <tableColumn id="3" xr3:uid="{F6FE132F-3592-42B3-A931-EB1D123303C8}" name="End time" dataDxfId="69"/>
    <tableColumn id="4" xr3:uid="{98CCD7D0-348E-4307-8FB6-D72CEC61D890}" name="Time delta in h" dataDxfId="68">
      <calculatedColumnFormula>MAX((C16-B16)*24,0)</calculatedColumnFormula>
    </tableColumn>
    <tableColumn id="5" xr3:uid="{286CE075-D3B9-43CD-BB5B-09615645FDC8}" name="Indicator"/>
    <tableColumn id="6" xr3:uid="{9F8363D1-2155-494D-A2DE-9B3F60F750D5}" name="Action1" dataDxfId="67" dataCellStyle="Link"/>
    <tableColumn id="7" xr3:uid="{3219DF3F-D707-4ED4-894C-2A5C760FD05A}" name="Action2" dataDxfId="66" dataCellStyle="Link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2F03674B-E475-4CAE-9398-785ADA33B155}" name="Tabelle7367518365263722405774100110130140160170190200220230250260280290310320340350370380400410922425274841041141341441641741942042242342542649224252924526516618420422432578210616418219421222424225428633838240041843046252253459460862864065867068870071257" displayName="Tabelle7367518365263722405774100110130140160170190200220230250260280290310320340350370380400410922425274841041141341441641741942042242342542649224252924526516618420422432578210616418219421222424225428633838240041843046252253459460862864065867068870071257" ref="I15:M22" totalsRowShown="0">
  <autoFilter ref="I15:M22" xr:uid="{2CE2BDB9-AB36-4727-8557-2D78EEB1CA23}"/>
  <tableColumns count="5">
    <tableColumn id="1" xr3:uid="{40B4BF78-23FA-4C89-8298-C40291D5718E}" name="Comparison entry no."/>
    <tableColumn id="2" xr3:uid="{48010960-F5E8-4E9C-B620-4E8B0866D5D3}" name="Propability Support point" dataDxfId="65"/>
    <tableColumn id="3" xr3:uid="{8DD0A959-C07B-4ED6-8393-E884894682D9}" name="EBS self time" dataDxfId="64"/>
    <tableColumn id="4" xr3:uid="{65D270C5-82E2-42A0-ADC6-CE4C233D3376}" name="Total time">
      <calculatedColumnFormula>#REF!</calculatedColumnFormula>
    </tableColumn>
    <tableColumn id="5" xr3:uid="{60B16492-0B95-4C11-B552-C5509798120F}" name="Total time / Your estimate" dataDxfId="63">
      <calculatedColumnFormula>Tabelle7367518365263722405774100110130140160170190200220230250260280290310320340350370380400410922425274841041141341441641741942042242342542649224252924526516618420422432578210616418219421222424225428633838240041843046252253459460862864065867068870071257[[#This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time]]/Tabelle7367518365263722405774100110130140160170190200220230250260280290310320340350370380400410922425274841041141341441641741942042242342542649224252924526516618420422432578210616418219421222424225428633838240041843046252253459460862864065867068870071257[[#This Row],[Total time]]</calculatedColumnFormula>
    </tableColumn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43C864-B4AB-4FA2-8BE0-799F73079C95}" name="TaskOverviewList" displayName="TaskOverviewList" ref="A3:Q8" totalsRowShown="0" dataDxfId="0">
  <autoFilter ref="A3:Q8" xr:uid="{520F3973-795E-47E6-97CD-1C1265CA838A}"/>
  <sortState xmlns:xlrd2="http://schemas.microsoft.com/office/spreadsheetml/2017/richdata2" ref="A4:Q8">
    <sortCondition descending="1" ref="P3:P8"/>
  </sortState>
  <tableColumns count="17">
    <tableColumn id="1" xr3:uid="{78BB2EF9-C626-4B0D-94B3-1781BE57C67F}" name="Task no." dataDxfId="17" dataCellStyle="Standard"/>
    <tableColumn id="3" xr3:uid="{3AD21368-826B-4507-A159-BE8BE5B02C1F}" name="Indicator" dataDxfId="16" dataCellStyle="Spaltenebene_1"/>
    <tableColumn id="2" xr3:uid="{C139B307-7150-4838-B1FD-482AAB7B1208}" name="Task name" dataDxfId="15" dataCellStyle="Link"/>
    <tableColumn id="18" xr3:uid="{3B298737-E571-4F23-9C71-2BC3C2385355}" name="Comment" dataDxfId="14" dataCellStyle="Link"/>
    <tableColumn id="4" xr3:uid="{E2EAEAF6-33EC-4D8C-B42E-C249C36E3D3C}" name="%Tag 1" dataDxfId="13" dataCellStyle="Standard"/>
    <tableColumn id="5" xr3:uid="{1E4EAD98-8B30-4F09-AA64-D7613D00651F}" name="%Tag 2" dataDxfId="12" dataCellStyle="Standard"/>
    <tableColumn id="6" xr3:uid="{9E1E50BB-6DA2-47A1-BB20-8C9FAC4B0DB5}" name="%Tag 3" dataDxfId="11" dataCellStyle="Standard"/>
    <tableColumn id="10" xr3:uid="{85CEF83B-6217-49AE-8974-E4D5953E2637}" name="Kanban list" dataDxfId="10" dataCellStyle="Standard"/>
    <tableColumn id="11" xr3:uid="{E542542F-D34F-488A-95AF-76A724785E5A}" name="User time estimate" dataDxfId="9" dataCellStyle="Standard"/>
    <tableColumn id="12" xr3:uid="{7DA005F8-D924-4031-B65E-6C6F60E3212D}" name="Total time" dataDxfId="8" dataCellStyle="Standard"/>
    <tableColumn id="16" xr3:uid="{209AEE68-BDAE-4E8C-BCF6-6EEA4F9A7FDE}" name="Finished on" dataDxfId="7" dataCellStyle="Standard"/>
    <tableColumn id="8" xr3:uid="{727785B7-29B9-493D-A20B-C319B38E1DF3}" name="EBS 50% time" dataDxfId="6" dataCellStyle="Standard"/>
    <tableColumn id="9" xr3:uid="{B12BA9B8-3C81-408C-AFE4-25993FD8491D}" name="EBS 50% date" dataDxfId="5" dataCellStyle="Standard"/>
    <tableColumn id="20" xr3:uid="{DAE27A09-2EB0-4A47-A9F0-48ED802D8570}" name="Due date" dataDxfId="4" dataCellStyle="Spaltenebene_1"/>
    <tableColumn id="19" xr3:uid="{7A8CB495-6AE9-4A1E-AC5B-8B6487C84135}" name="Contributor" dataDxfId="3" dataCellStyle="Standard"/>
    <tableColumn id="17" xr3:uid="{EF767A93-0B38-4A66-A27B-92321C0E655C}" name="Priority" dataDxfId="2" dataCellStyle="Standard"/>
    <tableColumn id="15" xr3:uid="{2ADBC76B-EB88-4BCD-8956-7B4B22C5A3D4}" name="tHASH" dataDxfId="1" dataCellStyle="Standard"/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314E80CE-35DD-4327-96FA-B46A45728F4A}" name="TimeEntries152539537113294364779110511713314716317719320722323725326728329731332734335737338740341715294560779110712113715116718119721122724125727115374964192756699116918520922537588710716718319721322724325928735538340341943546355156359760963164166161260" displayName="TimeEntries152539537113294364779110511713314716317719320722323725326728329731332734335737338740341715294560779110712113715116718119721122724125727115374964192756699116918520922537588710716718319721322724325928735538340341943546355156359760963164166161260" ref="A14:G17" totalsRowShown="0">
  <autoFilter ref="A14:G17" xr:uid="{42010BCD-A613-4F8A-ADA2-2B8B7D60CEE3}"/>
  <tableColumns count="7">
    <tableColumn id="1" xr3:uid="{676B2C88-EA6D-4211-8FE9-EDD0AFBD607E}" name="Time entry no."/>
    <tableColumn id="2" xr3:uid="{0822D2AB-A66F-49B4-95C4-9BEFEEC285E0}" name="Start time" dataDxfId="62"/>
    <tableColumn id="3" xr3:uid="{575DBD3D-24D5-49EB-BF37-7B86419726C0}" name="End time" dataDxfId="61"/>
    <tableColumn id="4" xr3:uid="{56034857-CA98-429D-8C99-CA15BC127FD0}" name="Time delta in h" dataDxfId="60">
      <calculatedColumnFormula>MAX((C15-B15)*24,0)</calculatedColumnFormula>
    </tableColumn>
    <tableColumn id="5" xr3:uid="{0985DD14-924D-43D9-9AD2-AC0742B7F9AC}" name="Indicator"/>
    <tableColumn id="6" xr3:uid="{3DCB855D-B2FA-4D9A-AD4C-BD60B39F5540}" name="Action1" dataDxfId="59" dataCellStyle="Link"/>
    <tableColumn id="7" xr3:uid="{E82A081E-53A1-42A6-8BE2-DAC3E1FC21F6}" name="Action2" dataDxfId="58" dataCellStyle="Link"/>
  </tableColumns>
  <tableStyleInfo name="TableStyleDark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60DB0CD8-CEDA-4675-AD28-9808F3D075FF}" name="Tabelle7367162840547214304465789210611813414816417819420822423825426828429831432834435837438840441816304661789210812213815216818219821222824225827216385065202857709217018621022638598810816818419821422824426028835638440442043646455256459861063264266261261" displayName="Tabelle7367162840547214304465789210611813414816417819420822423825426828429831432834435837438840441816304661789210812213815216818219821222824225827216385065202857709217018621022638598810816818419821422824426028835638440442043646455256459861063264266261261" ref="I14:M21" totalsRowShown="0">
  <autoFilter ref="I14:M21" xr:uid="{252EF57E-69B9-4A55-8074-C3057D247EDE}"/>
  <tableColumns count="5">
    <tableColumn id="1" xr3:uid="{0375DD04-A9EF-4CF4-80C1-1800C406A22F}" name="Comparison entry no."/>
    <tableColumn id="2" xr3:uid="{1EAC1E6B-6630-4E29-B536-03A3DD808918}" name="Propability Support point" dataDxfId="57"/>
    <tableColumn id="3" xr3:uid="{B2A071EE-8B1E-4CB3-8416-EC1B430D47F0}" name="EBS self time" dataDxfId="56"/>
    <tableColumn id="4" xr3:uid="{65CDCE79-B0D1-4055-904B-26BC420EE3BC}" name="Total time">
      <calculatedColumnFormula>#REF!</calculatedColumnFormula>
    </tableColumn>
    <tableColumn id="5" xr3:uid="{B5F36F50-FBDA-4BA9-B6B1-FA911B0E6CDD}" name="Total time / Your estimate" dataDxfId="55">
      <calculatedColumnFormula>Tabelle7367162840547214304465789210611813414816417819420822423825426828429831432834435837438840441816304661789210812213815216818219821222824225827216385065202857709217018621022638598810816818419821422824426028835638440442043646455256459861063264266261261[[#This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time]]/Tabelle7367162840547214304465789210611813414816417819420822423825426828429831432834435837438840441816304661789210812213815216818219821222824225827216385065202857709217018621022638598810816818419821422824426028835638440442043646455256459861063264266261261[[#This Row],[Total time]]</calculatedColumnFormula>
    </tableColumn>
  </tableColumns>
  <tableStyleInfo name="TableStyleDark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2D24A4CA-EA73-456B-9655-B31E369E1CD6}" name="TimeEntries821435675153345697995107121135151165181195211225241255271285301315331345361375391405421173347647995109125139155169185199215229245259275172945561533587593173187215227436093109171185201215231245265289319321361385407421441465555565601611615631264" displayName="TimeEntries821435675153345697995107121135151165181195211225241255271285301315331345361375391405421173347647995109125139155169185199215229245259275172945561533587593173187215227436093109171185201215231245265289319321361385407421441465555565601611615631264" ref="A14:G25" totalsRowShown="0">
  <autoFilter ref="A14:G25" xr:uid="{1E8C27A3-BBAE-4DE5-B98C-722D8F80C7EC}"/>
  <tableColumns count="7">
    <tableColumn id="1" xr3:uid="{70CB7C2A-C63B-4E26-9663-9B14F3C0D2E5}" name="Time entry no."/>
    <tableColumn id="2" xr3:uid="{1681231D-96CF-451C-A5FE-82E3C1ECCC5B}" name="Start time" dataDxfId="54"/>
    <tableColumn id="3" xr3:uid="{AA1AA10E-AE06-4605-A10E-195F6636B543}" name="End time" dataDxfId="53"/>
    <tableColumn id="4" xr3:uid="{22FBFBEE-C898-46A6-B598-22B41360C29A}" name="Time delta in h" dataDxfId="52">
      <calculatedColumnFormula>MAX((C15-B15)*24,0)</calculatedColumnFormula>
    </tableColumn>
    <tableColumn id="5" xr3:uid="{90495929-7EFE-40EA-B91A-B858157FD07F}" name="Indicator"/>
    <tableColumn id="6" xr3:uid="{BA000B0D-582E-474C-9BC2-00C8426732A1}" name="Action1" dataDxfId="51" dataCellStyle="Link"/>
    <tableColumn id="7" xr3:uid="{187D3BED-6DA9-4A98-A48C-1163ACF6CFA2}" name="Action2" dataDxfId="50" dataCellStyle="Link"/>
  </tableColumns>
  <tableStyleInfo name="TableStyleDark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78FB5E3C-8FEA-424F-AB29-ACFDA60E2C4A}" name="Tabelle7367922445776163446708096108122136152166182196212226242256272286302316332346362376392406422183448658096110126140156170186200216230246260276183046571634597694174188216228446194110172186202216232246266290320322362386408422442466556566602612616631265" displayName="Tabelle7367922445776163446708096108122136152166182196212226242256272286302316332346362376392406422183448658096110126140156170186200216230246260276183046571634597694174188216228446194110172186202216232246266290320322362386408422442466556566602612616631265" ref="I14:M21" totalsRowShown="0">
  <autoFilter ref="I14:M21" xr:uid="{33ACA5D7-7DD9-40DB-B415-5766C763CA62}"/>
  <tableColumns count="5">
    <tableColumn id="1" xr3:uid="{C214A4F4-12EF-4398-ABBA-19E3C0D1F458}" name="Comparison entry no."/>
    <tableColumn id="2" xr3:uid="{09DA995F-679E-45CF-B6A8-4E34E3455F18}" name="Propability Support point" dataDxfId="49"/>
    <tableColumn id="3" xr3:uid="{78A07E45-3D45-40F1-865D-E81D63BF1DEB}" name="EBS self time" dataDxfId="48"/>
    <tableColumn id="4" xr3:uid="{A7C6749E-A33F-4840-B7E9-C0D883B00EAB}" name="Total time">
      <calculatedColumnFormula>#REF!</calculatedColumnFormula>
    </tableColumn>
    <tableColumn id="5" xr3:uid="{71F5BC8E-96D1-4B52-8719-49FC6E58B90E}" name="Total time / Your estimate" dataDxfId="47">
      <calculatedColumnFormula>Tabelle7367922445776163446708096108122136152166182196212226242256272286302316332346362376392406422183448658096110126140156170186200216230246260276183046571634597694174188216228446194110172186202216232246266290320322362386408422442466556566602612616631265[[#This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time]]/Tabelle7367922445776163446708096108122136152166182196212226242256272286302316332346362376392406422183448658096110126140156170186200216230246260276183046571634597694174188216228446194110172186202216232246266290320322362386408422442466556566602612616631265[[#This Row],[Total time]]</calculatedColumnFormula>
    </tableColumn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86BE98B1-0760-4C5C-AC42-F3625D641504}" name="TimeEntries619314966825416075871031131311431611731912032212332512632812933113233413533713834014131325435675871051171351471651771952072252372552671325436921396081951771891992212312414962991111751872052172352472712913673874114234474674954975696036196351269" displayName="TimeEntries619314966825416075871031131311431611731912032212332512632812933113233413533713834014131325435675871051171351471651771952072252372552671325436921396081951771891992212312414962991111751872052172352472712913673874114234474674954975696036196351269" ref="A14:G15" insertRow="1" totalsRowShown="0">
  <autoFilter ref="A14:G15" xr:uid="{4FF0628C-3C3E-4FC4-832D-B2B1C4EF8EFD}"/>
  <tableColumns count="7">
    <tableColumn id="1" xr3:uid="{2D77C92F-BA1B-4D16-BB1D-DCC6715D3A96}" name="Time entry no."/>
    <tableColumn id="2" xr3:uid="{E97C98DE-9B86-4C28-9C9F-EFDDFD7EB7D0}" name="Start time" dataDxfId="46"/>
    <tableColumn id="3" xr3:uid="{39271DE8-BEC6-4D50-8B09-25DC1C08143D}" name="End time" dataDxfId="45"/>
    <tableColumn id="4" xr3:uid="{3099E657-7EF5-4D61-9EEB-502D691432DA}" name="Time delta in h" dataDxfId="44"/>
    <tableColumn id="5" xr3:uid="{220BD096-EE07-45F7-A99D-8E793E820311}" name="Indicator"/>
    <tableColumn id="6" xr3:uid="{3023D486-D1A5-4523-85B7-55F7A54FA3AB}" name="Action1" dataDxfId="43" dataCellStyle="Link"/>
    <tableColumn id="7" xr3:uid="{A5D05618-4217-4EB1-B18D-59D97D579731}" name="Action2" dataDxfId="42" dataCellStyle="Link"/>
  </tableColumns>
  <tableStyleInfo name="TableStyleDark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FDB8D0BE-2FA8-4CD6-99EC-A08D0840C1CF}" name="Tabelle7367720325068926426176881041141321441621741922042222342522642822943123243423543723844024141426445776881061181361481661781962082262382562681426447022406182961781902002222322425063100112176188206218236248272292368388412424448468496498570604620631270" displayName="Tabelle7367720325068926426176881041141321441621741922042222342522642822943123243423543723844024141426445776881061181361481661781962082262382562681426447022406182961781902002222322425063100112176188206218236248272292368388412424448468496498570604620631270" ref="I14:M21" totalsRowShown="0">
  <autoFilter ref="I14:M21" xr:uid="{934DCDB2-C0F5-4A31-80F1-E7E9A729A37B}"/>
  <tableColumns count="5">
    <tableColumn id="1" xr3:uid="{13988C3B-41B9-4DC2-B8B3-910265DF89F6}" name="Comparison entry no."/>
    <tableColumn id="2" xr3:uid="{33DC99EC-6E78-4158-A184-5ED2BD7B1B7A}" name="Propability Support point" dataDxfId="41"/>
    <tableColumn id="3" xr3:uid="{7A7A840A-6FF4-4F52-ACC4-C8769EB71AA7}" name="EBS self time" dataDxfId="40"/>
    <tableColumn id="4" xr3:uid="{9861EE86-535E-40B5-B1BF-060378EBFA13}" name="Total time">
      <calculatedColumnFormula>#REF!</calculatedColumnFormula>
    </tableColumn>
    <tableColumn id="5" xr3:uid="{FEC1F4D8-8BCD-47C7-B6AA-9527FE83C1F1}" name="Total time / Your estimate" dataDxfId="39">
      <calculatedColumnFormula>Tabelle7367720325068926426176881041141321441621741922042222342522642822943123243423543723844024141426445776881061181361481661781962082262382562681426447022406182961781902002222322425063100112176188206218236248272292368388412424448468496498570604620631270[[#This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time]]/Tabelle7367720325068926426176881041141321441621741922042222342522642822943123243423543723844024141426445776881061181361481661781962082262382562681426447022406182961781902002222322425063100112176188206218236248272292368388412424448468496498570604620631270[[#This Row],[Total time]]</calculatedColumnFormula>
    </tableColumn>
  </tableColumns>
  <tableStyleInfo name="TableStyleDark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9E7FC2A5-7143-4E5C-8BE9-D14A5FCD7150}" name="TimeEntries132347587917374751718310112513715516718519721522724525727528730531733534736537739540742519374969819911112914115917118920121923124926127919334760174562879718119119521923724327536610311513517918920921923924927729337338941542545346950952757361273" displayName="TimeEntries132347587917374751718310112513715516718519721522724525727528730531733534736537739540742519374969819911112914115917118920121923124926127919334760174562879718119119521923724327536610311513517918920921923924927729337338941542545346950952757361273" ref="A14:G15" insertRow="1" totalsRowShown="0">
  <autoFilter ref="A14:G15" xr:uid="{ADDE7830-1631-4CC4-A207-C7AC31B9BF23}"/>
  <tableColumns count="7">
    <tableColumn id="1" xr3:uid="{71ABA228-24F2-483D-9818-A2CEFA154B62}" name="Time entry no."/>
    <tableColumn id="2" xr3:uid="{977BCD10-7AB5-4605-8D35-AEE4E084A6E9}" name="Start time" dataDxfId="38"/>
    <tableColumn id="3" xr3:uid="{2CA9015F-9AE9-497D-897A-64FECFE1E881}" name="End time" dataDxfId="37"/>
    <tableColumn id="4" xr3:uid="{15546A7F-5746-48A3-A69F-1E825E88E77C}" name="Time delta in h" dataDxfId="36"/>
    <tableColumn id="5" xr3:uid="{0D3E354E-BB6E-4D21-9C8E-9C526992CC6F}" name="Indicator"/>
    <tableColumn id="6" xr3:uid="{95DC18C9-94FE-422D-86A1-8017AB77EDA6}" name="Action1" dataDxfId="35" dataCellStyle="Link"/>
    <tableColumn id="7" xr3:uid="{6BEB613D-9B05-4CB0-B14E-62450372CD64}" name="Action2" dataDxfId="34" dataCellStyle="Link"/>
  </tableColumns>
  <tableStyleInfo name="TableStyleDark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BD4CA335-335D-471E-8E9F-E73C69833DBC}" name="Tabelle7367142448598018384852728410212613815616818619821622824625827628830631833634836637839640842620385070821001121301421601721902022202322502622802034486118466388981821921962202382442854681041161361801902102202402502782943743904164264544705105285741274" displayName="Tabelle7367142448598018384852728410212613815616818619821622824625827628830631833634836637839640842620385070821001121301421601721902022202322502622802034486118466388981821921962202382442854681041161361801902102202402502782943743904164264544705105285741274" ref="I14:M21" totalsRowShown="0">
  <autoFilter ref="I14:M21" xr:uid="{984740F5-317F-4632-9E13-86522FAA37C2}"/>
  <tableColumns count="5">
    <tableColumn id="1" xr3:uid="{DF7E6948-7B3D-44C5-BCD2-C8935FD1F6E3}" name="Comparison entry no."/>
    <tableColumn id="2" xr3:uid="{8FBDEF3A-B22E-4565-AF97-2E111AE6D0FE}" name="Propability Support point" dataDxfId="33"/>
    <tableColumn id="3" xr3:uid="{C419F13B-D7EC-4288-B6B3-0EAEF9821268}" name="EBS self time" dataDxfId="32"/>
    <tableColumn id="4" xr3:uid="{1B2DB6DC-2817-49CC-B235-F974442BA1AB}" name="Total time">
      <calculatedColumnFormula>#REF!</calculatedColumnFormula>
    </tableColumn>
    <tableColumn id="5" xr3:uid="{46A5245C-2100-4395-9E58-D08BC0A421EC}" name="Total time / Your estimate" dataDxfId="31">
      <calculatedColumnFormula>Tabelle7367142448598018384852728410212613815616818619821622824625827628830631833634836637839640842620385070821001121301421601721902022202322502622802034486118466388981821921962202382442854681041161361801902102202402502782943743904164264544705105285741274[[#This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time]]/Tabelle7367142448598018384852728410212613815616818619821622824625827628830631833634836637839640842620385070821001121301421601721902022202322502622802034486118466388981821921962202382442854681041161361801902102202402502782943743904164264544705105285741274[[#This Row],[Total time]]</calculatedColumnFormula>
    </tableColumn>
  </tableColumns>
  <tableStyleInfo name="TableStyleDark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CBC75B-F660-477E-9C8C-68E8D7EE2FD7}" name="EbsBaseData432627042" displayName="EbsBaseData432627042" ref="A18:H19" totalsRowShown="0">
  <autoFilter ref="A18:H19" xr:uid="{1948C160-1F52-48A7-8061-8AFF06D47134}"/>
  <tableColumns count="8">
    <tableColumn id="1" xr3:uid="{1C3D4A93-94DB-47A6-87F4-CD3F87575F92}" name="EBS entry no."/>
    <tableColumn id="4" xr3:uid="{2C11127A-07AC-4913-A579-51B139837598}" name="EBS run date" dataDxfId="94"/>
    <tableColumn id="8" xr3:uid="{2DAB808F-1090-4A9F-80EB-99DC1ED92578}" name="[Velocity pool]"/>
    <tableColumn id="2" xr3:uid="{5B1B9016-B7E6-4885-9E13-48E645DE05B7}" name="Show pool?"/>
    <tableColumn id="3" xr3:uid="{AE9BC6F0-3789-443A-91B9-130FBB5B62E3}" name="[Propability support points]"/>
    <tableColumn id="5" xr3:uid="{08C6AE7D-335D-4CF1-8EC2-55B8521557F1}" name="[Project time estimates]"/>
    <tableColumn id="6" xr3:uid="{F2F73C4B-1AC7-41F8-A7C6-99240DFD7B8F}" name="[Project date estimates]"/>
    <tableColumn id="7" xr3:uid="{7F71A46E-43C7-4FE6-949E-C38CAA42B961}" name="eHASH"/>
  </tableColumns>
  <tableStyleInfo name="TableStyleDark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AA55595-CE9A-4C5A-BD91-8D1552AD803F}" name="EbsTaskData959271125" displayName="EbsTaskData959271125" ref="J18:T22" totalsRowShown="0">
  <autoFilter ref="J18:T22" xr:uid="{2297DC20-55A3-4C75-B785-3C4ABEF5CB9C}"/>
  <tableColumns count="11">
    <tableColumn id="1" xr3:uid="{5161A4E5-5D48-4173-BAF9-1E9271E180FE}" name="Data entry no."/>
    <tableColumn id="10" xr3:uid="{9882DF68-C8AC-4B08-A9CA-FF961EEBC85E}" name="tHASH"/>
    <tableColumn id="5" xr3:uid="{060C7A46-8044-40DD-81B1-D5D5F6B54049}" name="Logged Priority"/>
    <tableColumn id="7" xr3:uid="{2D423BB4-F80C-4AB1-807A-27967B84991A}" name="Time spent so far" dataDxfId="93"/>
    <tableColumn id="4" xr3:uid="{68826C68-7171-476C-8320-89D1DC212892}" name="User time estimate" dataDxfId="92"/>
    <tableColumn id="3" xr3:uid="{75A46B58-8359-4594-B585-DFF452CA3CE5}" name="[Monte Carlo estimate pool]"/>
    <tableColumn id="2" xr3:uid="{615B1E66-8CBA-4246-B916-B995711C1EE2}" name="[Remaining time pool]"/>
    <tableColumn id="6" xr3:uid="{5FA982C0-17AC-4085-83B9-702953E78593}" name="[Accumulated time pool]"/>
    <tableColumn id="8" xr3:uid="{CCDAD8E5-6279-42AD-8A02-3EBD3A94AE44}" name="[Propability support points]"/>
    <tableColumn id="9" xr3:uid="{5D1713AE-C0D8-4DCE-BA26-1BE36EACDB9D}" name="[Interpolated time estimates]"/>
    <tableColumn id="11" xr3:uid="{1916F7EA-B785-4A16-B9A7-1B9A66312E20}" name="[Interpolated date estimates]"/>
  </tableColumns>
  <tableStyleInfo name="TableStyleDark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681CC-09F3-4670-A132-C5F0FB40C5BA}" name="TotalTimeAnalysesTable" displayName="TotalTimeAnalysesTable" ref="A8:D9" insertRow="1" totalsRowShown="0" headerRowDxfId="91" dataDxfId="89" headerRowBorderDxfId="90">
  <autoFilter ref="A8:D9" xr:uid="{8E9EC0C1-7901-48B6-A59A-1CE6ABEE7A55}"/>
  <tableColumns count="4">
    <tableColumn id="1" xr3:uid="{58BB2187-C79D-4A1A-A9A3-DA2F074C476C}" name="Split entry no." dataDxfId="88"/>
    <tableColumn id="2" xr3:uid="{A755482D-FFF4-43D8-8021-1956CE3A7021}" name="Split start" dataDxfId="87"/>
    <tableColumn id="3" xr3:uid="{FE0A0B8D-1F8A-4CEC-9FB3-C945A45F99BF}" name="Split end" dataDxfId="86"/>
    <tableColumn id="4" xr3:uid="{5443222D-0CE3-4625-9EDB-D13B87B6C388}" name="Time spent" dataDxfId="85"/>
  </tableColumns>
  <tableStyleInfo name="TableStyleDark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9B39FA9-E15E-4CAF-AFE8-F0F2560D5E0D}" name="ContributorSettings" displayName="ContributorSettings" ref="A3:J4" totalsRowShown="0">
  <autoFilter ref="A3:J4" xr:uid="{58D8B01F-246E-40E3-A0C2-60C711C30752}"/>
  <tableColumns count="10">
    <tableColumn id="1" xr3:uid="{3C4BEA62-00D2-435D-9D52-002C142D97DE}" name="Contributor"/>
    <tableColumn id="2" xr3:uid="{96D9B16F-E700-4D4C-A823-C8710801A47C}" name="Mail" dataDxfId="84" dataCellStyle="Link"/>
    <tableColumn id="9" xr3:uid="{0037D127-E2BA-445A-BC63-1395BA3AC441}" name="Calendar ID" dataDxfId="83" dataCellStyle="Link"/>
    <tableColumn id="10" xr3:uid="{37CA3B7B-8FF0-4042-97C6-E23A79A74325}" name="Store ID"/>
    <tableColumn id="6" xr3:uid="{044D8005-25C5-4D31-940A-B6DE4C6B0EA5}" name="WorkingDays" dataDxfId="82" dataCellStyle="Link"/>
    <tableColumn id="3" xr3:uid="{2F135488-4112-46F7-BC3E-96FA8D47C234}" name="WorkingHoursStart"/>
    <tableColumn id="4" xr3:uid="{42344EBF-850E-472C-AC5A-6BB65FE6E39D}" name="WorkingHoursEnd"/>
    <tableColumn id="5" xr3:uid="{F8450CD0-5560-40B8-B260-DB068216A7A0}" name="ExcludeCategories"/>
    <tableColumn id="7" xr3:uid="{F26C3E24-E4C0-4D03-9D5B-F99D9B8F49BC}" name="AppointmentOnsetHours" dataDxfId="81"/>
    <tableColumn id="8" xr3:uid="{1177B0FB-46B2-406D-B988-C64E0ABA6972}" name="AppointmentOffsetHours" dataDxfId="80">
      <calculatedColumnFormula>5/60</calculatedColumnFormula>
    </tableColumn>
  </tableColumns>
  <tableStyleInfo name="TableStyleDark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6" xr:uid="{750FCC88-DA1D-41A3-82A1-A2E99AEB5FE9}" name="MessageList" displayName="MessageList" ref="A3:E4" insertRow="1" totalsRowShown="0">
  <autoFilter ref="A3:E4" xr:uid="{85C184D7-6234-4508-B6F2-12837E025FED}"/>
  <tableColumns count="5">
    <tableColumn id="1" xr3:uid="{93FDB5C1-37DB-4A62-BD42-8EBF4191E1DB}" name="Message no."/>
    <tableColumn id="2" xr3:uid="{21BE37C3-7323-4BF5-BA2E-73BEF15B899B}" name="Timestamp"/>
    <tableColumn id="3" xr3:uid="{44F76451-182F-4B13-B39E-FBB43D0963E4}" name="Message"/>
    <tableColumn id="5" xr3:uid="{33B0ED84-3691-4FA2-9E93-B4BCA48488A5}" name="Caller"/>
    <tableColumn id="4" xr3:uid="{192B57F4-5A4F-4AA1-B2A4-2CDFA4E8F24B}" name="Severity"/>
  </tableColumns>
  <tableStyleInfo name="TableStyleDark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AE2A79-C386-4374-A3EA-46F1CDEAA610}" name="TimeEntries" displayName="TimeEntries" ref="A14:G15" totalsRowShown="0">
  <autoFilter ref="A14:G15" xr:uid="{40D13D02-1E69-496D-8B92-B7ECCFB4FAB3}"/>
  <sortState xmlns:xlrd2="http://schemas.microsoft.com/office/spreadsheetml/2017/richdata2" ref="A15:E15">
    <sortCondition ref="A14:A15"/>
  </sortState>
  <tableColumns count="7">
    <tableColumn id="1" xr3:uid="{79398A77-C401-45B7-A5F3-FD95241DA46D}" name="Time entry no."/>
    <tableColumn id="2" xr3:uid="{B05CE561-2857-4C79-94B9-B743D40A6B9B}" name="Start time" dataDxfId="79"/>
    <tableColumn id="3" xr3:uid="{78DABF02-3853-48FF-81AD-5801C74BED1B}" name="End time" dataDxfId="78"/>
    <tableColumn id="4" xr3:uid="{76C994F9-216A-4848-9FB6-16BAF8B0EEEA}" name="Time delta in h" dataDxfId="77">
      <calculatedColumnFormula>MAX((C15-B15)*24,0)</calculatedColumnFormula>
    </tableColumn>
    <tableColumn id="5" xr3:uid="{7A34D70F-82B8-48DB-B5DE-37BA200663BE}" name="Indicator"/>
    <tableColumn id="6" xr3:uid="{B987E5DF-56EB-4FC9-A927-AB629FBDEAD9}" name="Action1"/>
    <tableColumn id="7" xr3:uid="{53888ED6-DB41-4FAF-9AAE-56497B686EEC}" name="Action2"/>
  </tableColumns>
  <tableStyleInfo name="TableStyleDark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007949E-30C9-40B1-AB9E-DD3A0B076DEB}" name="Tabelle7367" displayName="Tabelle7367" ref="I14:M15" totalsRowShown="0">
  <autoFilter ref="I14:M15" xr:uid="{84675B4D-C39C-4C1D-95DA-B0DAB419A377}"/>
  <tableColumns count="5">
    <tableColumn id="1" xr3:uid="{CE687584-2E42-4115-8BC5-33BBC646DE5F}" name="Comparison entry no."/>
    <tableColumn id="2" xr3:uid="{FA7A8965-5C4D-424B-A7EB-0BC12AFE1758}" name="Propability Support point" dataDxfId="76"/>
    <tableColumn id="3" xr3:uid="{A62B365F-400F-45A4-B789-FE7B5FDBD312}" name="EBS self time" dataDxfId="75"/>
    <tableColumn id="4" xr3:uid="{37AD97D9-9420-42BC-9EA3-73C14A0A1F72}" name="Total time">
      <calculatedColumnFormula>$B$4</calculatedColumnFormula>
    </tableColumn>
    <tableColumn id="5" xr3:uid="{919307D5-98B8-47B0-ABAC-374A91F6BBB0}" name="Total time / Your estimate" dataDxfId="74">
      <calculatedColumnFormula>Tabelle7367[[#This Row],[EBS self time]]/Tabelle7367[[#This Row],[Total time]]</calculatedColumnFormula>
    </tableColumn>
  </tableColumns>
  <tableStyleInfo name="TableStyleDark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944C42-6C39-4A6D-8785-990E1672C25E}" name="EbsBaseData43262704" displayName="EbsBaseData43262704" ref="A18:H19" totalsRowShown="0">
  <autoFilter ref="A18:H19" xr:uid="{1948C160-1F52-48A7-8061-8AFF06D47134}"/>
  <tableColumns count="8">
    <tableColumn id="1" xr3:uid="{A5D309EC-3FEF-4CB2-A7E7-ACB70BB5D814}" name="EBS entry no."/>
    <tableColumn id="4" xr3:uid="{D2112DA1-0D88-4FC9-BDFF-023920774941}" name="EBS run date" dataDxfId="73"/>
    <tableColumn id="8" xr3:uid="{DE257609-2454-4D97-96A0-FA99B09E9149}" name="[Velocity pool]"/>
    <tableColumn id="2" xr3:uid="{9D92C338-FB15-4660-A439-166A5C5DB8EB}" name="Show pool?"/>
    <tableColumn id="3" xr3:uid="{AC1595C2-C3DD-4612-8392-DDFA79003D89}" name="[Propability support points]"/>
    <tableColumn id="5" xr3:uid="{7DF9793D-0BAA-4574-B838-E065ECBA3AE3}" name="[Project time estimates]"/>
    <tableColumn id="6" xr3:uid="{B1179784-A81C-48E4-88C0-6B579DA8E3D9}" name="[Project date estimates]"/>
    <tableColumn id="7" xr3:uid="{53504D48-2369-4A9F-9D7A-DC3F48F3D119}" name="eHASH"/>
  </tableColumns>
  <tableStyleInfo name="TableStyleDark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23397A-5030-4866-B6AF-725F978477BD}" name="EbsTaskData95927112" displayName="EbsTaskData95927112" ref="J18:T19" insertRow="1" totalsRowShown="0">
  <autoFilter ref="J18:T19" xr:uid="{2297DC20-55A3-4C75-B785-3C4ABEF5CB9C}"/>
  <tableColumns count="11">
    <tableColumn id="1" xr3:uid="{4CC38985-AC31-4BD0-98A9-58202A0C98BF}" name="Data entry no."/>
    <tableColumn id="10" xr3:uid="{289B1762-645A-422B-A2A5-CF20744F26D6}" name="tHASH"/>
    <tableColumn id="5" xr3:uid="{C70D232B-F8AC-480F-AF30-39E52C5A137F}" name="Logged Priority"/>
    <tableColumn id="7" xr3:uid="{8E652D00-85E5-4582-8981-6BE0B70D12E9}" name="Time spent so far" dataDxfId="72"/>
    <tableColumn id="4" xr3:uid="{F9EDA55E-5206-49A7-A846-6A0B14C04CAF}" name="User time estimate" dataDxfId="71"/>
    <tableColumn id="3" xr3:uid="{B5D8255C-2E57-4930-8DEC-561609CC3CF3}" name="[Monte Carlo estimate pool]"/>
    <tableColumn id="2" xr3:uid="{D18AE1B2-66A3-43D0-B424-7F91229B2878}" name="[Remaining time pool]"/>
    <tableColumn id="6" xr3:uid="{3BB1A8EE-6702-4538-B460-49770399F254}" name="[Accumulated time pool]"/>
    <tableColumn id="8" xr3:uid="{99192CAB-9896-46B7-93CF-C68E8336C175}" name="[Propability support points]"/>
    <tableColumn id="9" xr3:uid="{F19F0B87-2D89-4482-A70D-1AE28238E7AA}" name="[Interpolated time estimates]"/>
    <tableColumn id="11" xr3:uid="{4DAD613A-AD30-485B-B5B7-E7A973978B06}" name="[Interpolated date estimates]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Benutzerdefiniert 4">
      <a:dk1>
        <a:srgbClr val="474747"/>
      </a:dk1>
      <a:lt1>
        <a:sysClr val="window" lastClr="FFFFFF"/>
      </a:lt1>
      <a:dk2>
        <a:srgbClr val="86A795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D9E72933-13B7-436C-80C5-C0A9531E86AE}">
    <text>The time estimate of the remaining time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7762EB5-6B9C-461B-88DC-2D53F9981F2A}">
    <text>The time estimate of the remaining time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Relationship Id="rId4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printerSettings" Target="../printerSettings/printerSettings6.bin"/><Relationship Id="rId7" Type="http://schemas.openxmlformats.org/officeDocument/2006/relationships/ctrlProp" Target="../ctrlProps/ctrlProp15.xml"/><Relationship Id="rId2" Type="http://schemas.openxmlformats.org/officeDocument/2006/relationships/hyperlink" Target="file:///\\your.mail@provider.com\Calendar" TargetMode="External"/><Relationship Id="rId1" Type="http://schemas.openxmlformats.org/officeDocument/2006/relationships/hyperlink" Target="file:///\\your.mail@provider.com\Calendar" TargetMode="External"/><Relationship Id="rId6" Type="http://schemas.openxmlformats.org/officeDocument/2006/relationships/ctrlProp" Target="../ctrlProps/ctrlProp14.xml"/><Relationship Id="rId5" Type="http://schemas.openxmlformats.org/officeDocument/2006/relationships/vmlDrawing" Target="../drawings/vmlDrawing4.vml"/><Relationship Id="rId10" Type="http://schemas.openxmlformats.org/officeDocument/2006/relationships/table" Target="../tables/table15.xml"/><Relationship Id="rId4" Type="http://schemas.openxmlformats.org/officeDocument/2006/relationships/drawing" Target="../drawings/drawing8.xml"/><Relationship Id="rId9" Type="http://schemas.openxmlformats.org/officeDocument/2006/relationships/ctrlProp" Target="../ctrlProps/ctrlProp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9.xml"/><Relationship Id="rId4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4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1.xm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EAAC9-A4A5-478B-B2FE-90D33C0BE390}">
  <dimension ref="A1:M22"/>
  <sheetViews>
    <sheetView workbookViewId="0">
      <selection activeCell="A98" sqref="A98:M118"/>
    </sheetView>
  </sheetViews>
  <sheetFormatPr baseColWidth="10" defaultRowHeight="15" x14ac:dyDescent="0.25"/>
  <sheetData>
    <row r="1" spans="1:13" x14ac:dyDescent="0.25">
      <c r="A1" t="s">
        <v>160</v>
      </c>
      <c r="B1" t="s">
        <v>107</v>
      </c>
      <c r="C1" t="s">
        <v>161</v>
      </c>
      <c r="D1">
        <v>21</v>
      </c>
      <c r="E1" t="s">
        <v>162</v>
      </c>
      <c r="F1">
        <v>13</v>
      </c>
    </row>
    <row r="2" spans="1:13" x14ac:dyDescent="0.25">
      <c r="A2" s="4" t="s">
        <v>25</v>
      </c>
    </row>
    <row r="3" spans="1:13" x14ac:dyDescent="0.25">
      <c r="A3" t="s">
        <v>3</v>
      </c>
      <c r="B3" t="s">
        <v>108</v>
      </c>
    </row>
    <row r="4" spans="1:13" x14ac:dyDescent="0.25">
      <c r="A4" t="s">
        <v>79</v>
      </c>
      <c r="B4" s="2">
        <v>5</v>
      </c>
      <c r="C4" t="s">
        <v>4</v>
      </c>
    </row>
    <row r="5" spans="1:13" x14ac:dyDescent="0.25">
      <c r="A5" t="s">
        <v>0</v>
      </c>
      <c r="B5" s="2">
        <f>SUM(D:D)</f>
        <v>21.500000000058208</v>
      </c>
      <c r="C5" t="s">
        <v>4</v>
      </c>
    </row>
    <row r="6" spans="1:13" x14ac:dyDescent="0.25">
      <c r="A6" t="s">
        <v>14</v>
      </c>
      <c r="B6" s="5" t="s">
        <v>97</v>
      </c>
    </row>
    <row r="7" spans="1:13" x14ac:dyDescent="0.25">
      <c r="A7" t="s">
        <v>15</v>
      </c>
      <c r="B7" s="5" t="s">
        <v>19</v>
      </c>
    </row>
    <row r="8" spans="1:13" x14ac:dyDescent="0.25">
      <c r="A8" t="s">
        <v>1</v>
      </c>
      <c r="B8" t="s">
        <v>111</v>
      </c>
    </row>
    <row r="9" spans="1:13" x14ac:dyDescent="0.25">
      <c r="A9" t="s">
        <v>16</v>
      </c>
      <c r="B9" s="5">
        <v>43876.756701388891</v>
      </c>
    </row>
    <row r="10" spans="1:13" x14ac:dyDescent="0.25">
      <c r="A10" t="s">
        <v>2</v>
      </c>
      <c r="B10" t="s">
        <v>180</v>
      </c>
    </row>
    <row r="11" spans="1:13" x14ac:dyDescent="0.25">
      <c r="A11" t="s">
        <v>47</v>
      </c>
      <c r="B11" t="s">
        <v>107</v>
      </c>
    </row>
    <row r="12" spans="1:13" x14ac:dyDescent="0.25">
      <c r="A12" t="s">
        <v>5</v>
      </c>
      <c r="B12" s="2">
        <f>B4/B5</f>
        <v>0.23255813953425411</v>
      </c>
      <c r="C12" t="s">
        <v>6</v>
      </c>
    </row>
    <row r="13" spans="1:13" x14ac:dyDescent="0.25">
      <c r="A13" t="s">
        <v>100</v>
      </c>
      <c r="B13" t="s">
        <v>169</v>
      </c>
    </row>
    <row r="14" spans="1:13" x14ac:dyDescent="0.25">
      <c r="A14" t="s">
        <v>101</v>
      </c>
      <c r="B14" t="s">
        <v>170</v>
      </c>
    </row>
    <row r="15" spans="1:13" x14ac:dyDescent="0.25">
      <c r="A15" t="s">
        <v>11</v>
      </c>
      <c r="B15" t="s">
        <v>7</v>
      </c>
      <c r="C15" t="s">
        <v>8</v>
      </c>
      <c r="D15" t="s">
        <v>9</v>
      </c>
      <c r="E15" t="s">
        <v>10</v>
      </c>
      <c r="F15" t="s">
        <v>86</v>
      </c>
      <c r="G15" t="s">
        <v>87</v>
      </c>
      <c r="I15" t="s">
        <v>71</v>
      </c>
      <c r="J15" s="15" t="s">
        <v>69</v>
      </c>
      <c r="K15" s="2" t="s">
        <v>70</v>
      </c>
      <c r="L15" t="s">
        <v>72</v>
      </c>
      <c r="M15" t="s">
        <v>73</v>
      </c>
    </row>
    <row r="16" spans="1:13" x14ac:dyDescent="0.25">
      <c r="A16" t="s">
        <v>94</v>
      </c>
      <c r="B16" s="1">
        <v>43876.74627314815</v>
      </c>
      <c r="C16" s="1">
        <v>43876.756689814814</v>
      </c>
      <c r="D16" s="2">
        <f>MAX((C16-B16)*24,0)</f>
        <v>0.24999999994179234</v>
      </c>
      <c r="F16" s="42" t="s">
        <v>109</v>
      </c>
      <c r="G16" s="23" t="s">
        <v>110</v>
      </c>
      <c r="I16" t="s">
        <v>94</v>
      </c>
      <c r="J16" s="15">
        <v>0.05</v>
      </c>
      <c r="K16" s="2">
        <v>0.5</v>
      </c>
      <c r="L16" s="2" t="e">
        <f>#REF!</f>
        <v>#REF!</v>
      </c>
      <c r="M16" s="16" t="e">
        <f>Tabelle7367518365263722405774100110130140160170190200220230250260280290310320340350370380400410922425274841041141341441641741942042242342542649224252924526516618420422432578210616418219421222424225428633838240041843046252253459460862864065867068870071257[[#This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time]]/Tabelle7367518365263722405774100110130140160170190200220230250260280290310320340350370380400410922425274841041141341441641741942042242342542649224252924526516618420422432578210616418219421222424225428633838240041843046252253459460862864065867068870071257[[#This Row],[Total time]]</f>
        <v>#REF!</v>
      </c>
    </row>
    <row r="17" spans="1:13" x14ac:dyDescent="0.25">
      <c r="A17" t="s">
        <v>98</v>
      </c>
      <c r="B17" s="1">
        <v>43876.74628472222</v>
      </c>
      <c r="C17" s="1">
        <v>43876.756701388891</v>
      </c>
      <c r="D17" s="2">
        <f>MAX((C17-B17)*24,0)</f>
        <v>0.25000000011641532</v>
      </c>
      <c r="F17" s="42" t="s">
        <v>109</v>
      </c>
      <c r="G17" s="23" t="s">
        <v>110</v>
      </c>
      <c r="I17" t="s">
        <v>98</v>
      </c>
      <c r="J17" s="15">
        <v>0.2</v>
      </c>
      <c r="K17" s="2">
        <v>0.5</v>
      </c>
      <c r="L17" s="2" t="e">
        <f>#REF!</f>
        <v>#REF!</v>
      </c>
      <c r="M17" s="16" t="e">
        <f>Tabelle7367518365263722405774100110130140160170190200220230250260280290310320340350370380400410922425274841041141341441641741942042242342542649224252924526516618420422432578210616418219421222424225428633838240041843046252253459460862864065867068870071257[[#This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time]]/Tabelle7367518365263722405774100110130140160170190200220230250260280290310320340350370380400410922425274841041141341441641741942042242342542649224252924526516618420422432578210616418219421222424225428633838240041843046252253459460862864065867068870071257[[#This Row],[Total time]]</f>
        <v>#REF!</v>
      </c>
    </row>
    <row r="18" spans="1:13" x14ac:dyDescent="0.25">
      <c r="I18" t="s">
        <v>99</v>
      </c>
      <c r="J18" s="15">
        <v>0.35</v>
      </c>
      <c r="K18" s="2">
        <v>0.5</v>
      </c>
      <c r="L18" s="2" t="e">
        <f>#REF!</f>
        <v>#REF!</v>
      </c>
      <c r="M18" s="16" t="e">
        <f>Tabelle7367518365263722405774100110130140160170190200220230250260280290310320340350370380400410922425274841041141341441641741942042242342542649224252924526516618420422432578210616418219421222424225428633838240041843046252253459460862864065867068870071257[[#This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time]]/Tabelle7367518365263722405774100110130140160170190200220230250260280290310320340350370380400410922425274841041141341441641741942042242342542649224252924526516618420422432578210616418219421222424225428633838240041843046252253459460862864065867068870071257[[#This Row],[Total time]]</f>
        <v>#REF!</v>
      </c>
    </row>
    <row r="19" spans="1:13" x14ac:dyDescent="0.25">
      <c r="I19" t="s">
        <v>102</v>
      </c>
      <c r="J19" s="15">
        <v>0.5</v>
      </c>
      <c r="K19" s="2">
        <v>0.5</v>
      </c>
      <c r="L19" s="2" t="e">
        <f>#REF!</f>
        <v>#REF!</v>
      </c>
      <c r="M19" s="16" t="e">
        <f>Tabelle7367518365263722405774100110130140160170190200220230250260280290310320340350370380400410922425274841041141341441641741942042242342542649224252924526516618420422432578210616418219421222424225428633838240041843046252253459460862864065867068870071257[[#This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time]]/Tabelle7367518365263722405774100110130140160170190200220230250260280290310320340350370380400410922425274841041141341441641741942042242342542649224252924526516618420422432578210616418219421222424225428633838240041843046252253459460862864065867068870071257[[#This Row],[Total time]]</f>
        <v>#REF!</v>
      </c>
    </row>
    <row r="20" spans="1:13" x14ac:dyDescent="0.25">
      <c r="I20" t="s">
        <v>103</v>
      </c>
      <c r="J20" s="15">
        <v>0.65</v>
      </c>
      <c r="K20" s="2">
        <v>0.5</v>
      </c>
      <c r="L20" s="2" t="e">
        <f>#REF!</f>
        <v>#REF!</v>
      </c>
      <c r="M20" s="16" t="e">
        <f>Tabelle7367518365263722405774100110130140160170190200220230250260280290310320340350370380400410922425274841041141341441641741942042242342542649224252924526516618420422432578210616418219421222424225428633838240041843046252253459460862864065867068870071257[[#This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time]]/Tabelle7367518365263722405774100110130140160170190200220230250260280290310320340350370380400410922425274841041141341441641741942042242342542649224252924526516618420422432578210616418219421222424225428633838240041843046252253459460862864065867068870071257[[#This Row],[Total time]]</f>
        <v>#REF!</v>
      </c>
    </row>
    <row r="21" spans="1:13" x14ac:dyDescent="0.25">
      <c r="I21" t="s">
        <v>118</v>
      </c>
      <c r="J21" s="15">
        <v>0.8</v>
      </c>
      <c r="K21" s="2">
        <v>0.5</v>
      </c>
      <c r="L21" s="2" t="e">
        <f>#REF!</f>
        <v>#REF!</v>
      </c>
      <c r="M21" s="16" t="e">
        <f>Tabelle7367518365263722405774100110130140160170190200220230250260280290310320340350370380400410922425274841041141341441641741942042242342542649224252924526516618420422432578210616418219421222424225428633838240041843046252253459460862864065867068870071257[[#This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time]]/Tabelle7367518365263722405774100110130140160170190200220230250260280290310320340350370380400410922425274841041141341441641741942042242342542649224252924526516618420422432578210616418219421222424225428633838240041843046252253459460862864065867068870071257[[#This Row],[Total time]]</f>
        <v>#REF!</v>
      </c>
    </row>
    <row r="22" spans="1:13" x14ac:dyDescent="0.25">
      <c r="I22" t="s">
        <v>119</v>
      </c>
      <c r="J22" s="15">
        <v>0.95</v>
      </c>
      <c r="K22" s="2">
        <v>0.5</v>
      </c>
      <c r="L22" s="2" t="e">
        <f>#REF!</f>
        <v>#REF!</v>
      </c>
      <c r="M22" s="16" t="e">
        <f>Tabelle7367518365263722405774100110130140160170190200220230250260280290310320340350370380400410922425274841041141341441641741942042242342542649224252924526516618420422432578210616418219421222424225428633838240041843046252253459460862864065867068870071257[[#This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time]]/Tabelle7367518365263722405774100110130140160170190200220230250260280290310320340350370380400410922425274841041141341441641741942042242342542649224252924526516618420422432578210616418219421222424225428633838240041843046252253459460862864065867068870071257[[#This Row],[Total time]]</f>
        <v>#REF!</v>
      </c>
    </row>
  </sheetData>
  <hyperlinks>
    <hyperlink ref="A2" location="Planning!A1" display="Go back to 'Planning' sheet" xr:uid="{824BA309-BF07-4805-8C44-560E453074C7}"/>
    <hyperlink ref="F16" location="$F$15" display="$F$15" xr:uid="{D5CCCEFB-D95A-45BF-8873-70778760E2A2}"/>
    <hyperlink ref="G16" location="$G$15" display="$G$15" xr:uid="{723D341A-9EF4-47B8-A7A8-6D2E415B106B}"/>
    <hyperlink ref="F17" location="$F$16" display="$F$16" xr:uid="{09A1FB1B-AFC7-4636-8B55-6267477C81AA}"/>
    <hyperlink ref="G17" location="$G$16" display="$G$16" xr:uid="{6A9CC07B-BAF9-4D91-B1CF-1DF06CE5A5DD}"/>
  </hyperlinks>
  <pageMargins left="0.7" right="0.7" top="0.78740157499999996" bottom="0.78740157499999996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9745-1D8E-40DB-BAD9-CBB1E140469C}">
  <sheetPr codeName="Planning">
    <outlinePr applyStyles="1"/>
  </sheetPr>
  <dimension ref="A1:V39"/>
  <sheetViews>
    <sheetView tabSelected="1" topLeftCell="B1" zoomScaleNormal="100" workbookViewId="0">
      <selection activeCell="D20" sqref="D20"/>
    </sheetView>
  </sheetViews>
  <sheetFormatPr baseColWidth="10" defaultColWidth="11.42578125" defaultRowHeight="15" outlineLevelCol="1" x14ac:dyDescent="0.25"/>
  <cols>
    <col min="1" max="1" width="10.42578125" style="6" hidden="1" customWidth="1" outlineLevel="1"/>
    <col min="2" max="2" width="13.5703125" style="39" bestFit="1" customWidth="1" collapsed="1"/>
    <col min="3" max="3" width="32.140625" style="9" customWidth="1"/>
    <col min="4" max="4" width="25.7109375" style="9" customWidth="1"/>
    <col min="6" max="6" width="9.28515625" style="7" customWidth="1"/>
    <col min="7" max="7" width="11.42578125" style="7" bestFit="1" customWidth="1"/>
    <col min="8" max="8" width="13" style="7" bestFit="1" customWidth="1"/>
    <col min="9" max="10" width="20.42578125" style="10" bestFit="1" customWidth="1"/>
    <col min="11" max="11" width="15.7109375" style="6" hidden="1" customWidth="1" outlineLevel="1"/>
    <col min="12" max="12" width="15" style="10" hidden="1" customWidth="1" outlineLevel="1"/>
    <col min="13" max="13" width="15.7109375" style="10" hidden="1" customWidth="1" outlineLevel="1"/>
    <col min="14" max="14" width="15.7109375" style="39" customWidth="1" collapsed="1"/>
    <col min="15" max="15" width="13.5703125" customWidth="1" outlineLevel="1"/>
    <col min="16" max="16" width="11.42578125" customWidth="1" outlineLevel="1"/>
    <col min="17" max="17" width="20.28515625" style="6" customWidth="1" outlineLevel="1"/>
    <col min="18" max="18" width="15.7109375" style="39" customWidth="1"/>
    <col min="19" max="19" width="9.85546875" customWidth="1"/>
    <col min="20" max="20" width="15.85546875" customWidth="1"/>
    <col min="21" max="21" width="3.7109375" style="3" customWidth="1"/>
  </cols>
  <sheetData>
    <row r="1" spans="1:22" ht="65.25" customHeight="1" x14ac:dyDescent="0.25">
      <c r="A1" s="3"/>
      <c r="C1" s="8"/>
      <c r="D1" s="8"/>
      <c r="E1" s="19"/>
      <c r="F1" s="19"/>
      <c r="G1" s="19"/>
      <c r="H1" s="10"/>
      <c r="K1" s="3"/>
      <c r="O1" s="3"/>
      <c r="P1" s="3"/>
      <c r="Q1"/>
      <c r="U1"/>
    </row>
    <row r="2" spans="1:22" x14ac:dyDescent="0.25">
      <c r="A2" s="8"/>
      <c r="C2" s="8"/>
      <c r="D2" s="8"/>
      <c r="E2" s="8"/>
      <c r="F2" s="8"/>
      <c r="G2" s="8"/>
      <c r="H2" s="8"/>
      <c r="I2" s="8"/>
      <c r="J2" s="8"/>
      <c r="K2" s="8"/>
      <c r="L2" s="38" t="s">
        <v>78</v>
      </c>
      <c r="M2" s="38" t="s">
        <v>78</v>
      </c>
      <c r="O2" s="8"/>
      <c r="P2" s="8"/>
      <c r="Q2" s="8"/>
      <c r="U2"/>
    </row>
    <row r="3" spans="1:22" x14ac:dyDescent="0.25">
      <c r="A3" s="6" t="s">
        <v>12</v>
      </c>
      <c r="B3" s="39" t="s">
        <v>10</v>
      </c>
      <c r="C3" s="9" t="s">
        <v>3</v>
      </c>
      <c r="D3" s="9" t="s">
        <v>2</v>
      </c>
      <c r="E3" s="7" t="s">
        <v>22</v>
      </c>
      <c r="F3" s="7" t="s">
        <v>23</v>
      </c>
      <c r="G3" s="7" t="s">
        <v>24</v>
      </c>
      <c r="H3" s="10" t="s">
        <v>1</v>
      </c>
      <c r="I3" s="10" t="s">
        <v>79</v>
      </c>
      <c r="J3" s="18" t="s">
        <v>72</v>
      </c>
      <c r="K3" t="s">
        <v>16</v>
      </c>
      <c r="L3" s="7" t="s">
        <v>83</v>
      </c>
      <c r="M3" s="7" t="s">
        <v>77</v>
      </c>
      <c r="N3" s="39" t="s">
        <v>14</v>
      </c>
      <c r="O3" s="6" t="s">
        <v>15</v>
      </c>
      <c r="P3" t="s">
        <v>13</v>
      </c>
      <c r="Q3" t="s">
        <v>47</v>
      </c>
      <c r="U3"/>
    </row>
    <row r="4" spans="1:22" x14ac:dyDescent="0.25">
      <c r="A4" s="24" t="s">
        <v>103</v>
      </c>
      <c r="B4" s="36"/>
      <c r="C4" s="23" t="s">
        <v>108</v>
      </c>
      <c r="D4" s="23" t="s">
        <v>180</v>
      </c>
      <c r="E4" s="24" t="s">
        <v>138</v>
      </c>
      <c r="F4" s="24"/>
      <c r="G4" s="24" t="s">
        <v>139</v>
      </c>
      <c r="H4" s="24" t="s">
        <v>111</v>
      </c>
      <c r="I4" s="25">
        <v>5</v>
      </c>
      <c r="J4" s="25">
        <v>0.50000000005820799</v>
      </c>
      <c r="K4" s="26">
        <v>43876.756701388891</v>
      </c>
      <c r="L4" s="25" t="s">
        <v>97</v>
      </c>
      <c r="M4" s="26" t="s">
        <v>97</v>
      </c>
      <c r="N4" s="36"/>
      <c r="O4" s="24" t="s">
        <v>19</v>
      </c>
      <c r="P4" s="24" t="s">
        <v>97</v>
      </c>
      <c r="Q4" s="24" t="s">
        <v>107</v>
      </c>
      <c r="U4"/>
    </row>
    <row r="5" spans="1:22" x14ac:dyDescent="0.25">
      <c r="A5" s="24" t="s">
        <v>94</v>
      </c>
      <c r="B5" s="36"/>
      <c r="C5" s="23" t="s">
        <v>105</v>
      </c>
      <c r="D5" s="23"/>
      <c r="E5" s="24"/>
      <c r="F5" s="24"/>
      <c r="G5" s="24" t="s">
        <v>140</v>
      </c>
      <c r="H5" s="24" t="s">
        <v>132</v>
      </c>
      <c r="I5" s="25">
        <v>1</v>
      </c>
      <c r="J5" s="25">
        <v>0.50000000005820799</v>
      </c>
      <c r="K5" s="26" t="s">
        <v>97</v>
      </c>
      <c r="L5" s="25">
        <v>0</v>
      </c>
      <c r="M5" s="26">
        <v>43878.333333333336</v>
      </c>
      <c r="N5" s="36"/>
      <c r="O5" s="24" t="s">
        <v>19</v>
      </c>
      <c r="P5" s="24">
        <v>4</v>
      </c>
      <c r="Q5" s="24" t="s">
        <v>104</v>
      </c>
      <c r="U5"/>
    </row>
    <row r="6" spans="1:22" x14ac:dyDescent="0.25">
      <c r="A6" s="40" t="s">
        <v>129</v>
      </c>
      <c r="B6" s="36"/>
      <c r="C6" s="23" t="s">
        <v>134</v>
      </c>
      <c r="D6" s="23" t="s">
        <v>182</v>
      </c>
      <c r="E6" s="24"/>
      <c r="F6" s="40" t="s">
        <v>137</v>
      </c>
      <c r="G6" s="40" t="s">
        <v>140</v>
      </c>
      <c r="H6" s="40" t="s">
        <v>132</v>
      </c>
      <c r="I6" s="41">
        <v>0.25</v>
      </c>
      <c r="J6" s="41">
        <v>2.5002777776098801</v>
      </c>
      <c r="K6" s="40" t="s">
        <v>97</v>
      </c>
      <c r="L6" s="41">
        <v>0</v>
      </c>
      <c r="M6" s="43">
        <v>43878.333333333336</v>
      </c>
      <c r="N6" s="36"/>
      <c r="O6" s="40" t="s">
        <v>19</v>
      </c>
      <c r="P6" s="40">
        <v>3</v>
      </c>
      <c r="Q6" s="40" t="s">
        <v>133</v>
      </c>
      <c r="U6"/>
    </row>
    <row r="7" spans="1:22" x14ac:dyDescent="0.25">
      <c r="A7" s="40" t="s">
        <v>130</v>
      </c>
      <c r="B7" s="36"/>
      <c r="C7" s="23" t="s">
        <v>136</v>
      </c>
      <c r="D7" s="23"/>
      <c r="E7" s="24"/>
      <c r="F7" s="40" t="s">
        <v>137</v>
      </c>
      <c r="G7" s="40" t="s">
        <v>140</v>
      </c>
      <c r="H7" s="40" t="s">
        <v>95</v>
      </c>
      <c r="I7" s="41">
        <v>5</v>
      </c>
      <c r="J7" s="41">
        <v>0</v>
      </c>
      <c r="K7" s="40" t="s">
        <v>97</v>
      </c>
      <c r="L7" s="41">
        <v>0.5</v>
      </c>
      <c r="M7" s="43">
        <v>43878.354166666664</v>
      </c>
      <c r="N7" s="36"/>
      <c r="O7" s="40" t="s">
        <v>19</v>
      </c>
      <c r="P7" s="40">
        <v>2</v>
      </c>
      <c r="Q7" s="40" t="s">
        <v>135</v>
      </c>
      <c r="U7"/>
    </row>
    <row r="8" spans="1:22" x14ac:dyDescent="0.25">
      <c r="A8" s="24" t="s">
        <v>102</v>
      </c>
      <c r="B8" s="36"/>
      <c r="C8" s="23" t="s">
        <v>181</v>
      </c>
      <c r="D8" s="23"/>
      <c r="E8" s="24"/>
      <c r="F8" s="24"/>
      <c r="G8" s="24" t="s">
        <v>141</v>
      </c>
      <c r="H8" s="24" t="s">
        <v>95</v>
      </c>
      <c r="I8" s="25">
        <v>2</v>
      </c>
      <c r="J8" s="25">
        <v>0</v>
      </c>
      <c r="K8" s="26" t="s">
        <v>97</v>
      </c>
      <c r="L8" s="25">
        <v>0.7</v>
      </c>
      <c r="M8" s="26">
        <v>43878.362500000003</v>
      </c>
      <c r="N8" s="36"/>
      <c r="O8" s="24" t="s">
        <v>19</v>
      </c>
      <c r="P8" s="24">
        <v>1</v>
      </c>
      <c r="Q8" s="24" t="s">
        <v>106</v>
      </c>
      <c r="U8"/>
    </row>
    <row r="9" spans="1:22" x14ac:dyDescent="0.25">
      <c r="A9" s="24"/>
      <c r="B9" s="36"/>
      <c r="C9" s="23"/>
      <c r="D9" s="23"/>
      <c r="F9" s="24"/>
      <c r="G9" s="24"/>
      <c r="H9" s="24"/>
      <c r="I9" s="24"/>
      <c r="J9" s="25"/>
      <c r="K9" s="24"/>
      <c r="L9" s="25"/>
      <c r="M9" s="25"/>
      <c r="N9" s="37"/>
      <c r="Q9" s="24"/>
      <c r="U9"/>
    </row>
    <row r="10" spans="1:22" x14ac:dyDescent="0.25">
      <c r="A10" s="24"/>
      <c r="B10" s="36"/>
      <c r="C10" s="23"/>
      <c r="D10" s="23" t="s">
        <v>144</v>
      </c>
      <c r="F10" s="24"/>
      <c r="G10" s="24"/>
      <c r="H10" s="24"/>
      <c r="I10" s="24"/>
      <c r="J10" s="25"/>
      <c r="K10" s="24"/>
      <c r="L10" s="25"/>
      <c r="M10" s="25"/>
      <c r="N10" s="37"/>
      <c r="Q10" s="24"/>
      <c r="R10" s="37"/>
      <c r="S10" s="24"/>
      <c r="T10" s="24"/>
    </row>
    <row r="11" spans="1:22" x14ac:dyDescent="0.25">
      <c r="R11" s="37"/>
      <c r="S11" s="24"/>
      <c r="T11" s="24"/>
      <c r="V11" s="8"/>
    </row>
    <row r="15" spans="1:22" x14ac:dyDescent="0.25">
      <c r="C15" s="11"/>
    </row>
    <row r="39" spans="22:22" x14ac:dyDescent="0.25">
      <c r="V39" t="s">
        <v>88</v>
      </c>
    </row>
  </sheetData>
  <dataConsolidate/>
  <conditionalFormatting sqref="B1 B3:B1048576">
    <cfRule type="containsText" dxfId="30" priority="6" operator="containsText" text="&lt;current">
      <formula>NOT(ISERROR(SEARCH("&lt;current",B1)))</formula>
    </cfRule>
  </conditionalFormatting>
  <conditionalFormatting sqref="N1:O1 H1:K1 H3:I3 L1:M3 I9:M10 Q11:Q1048576 I11:N1048576 J3:K4 N3:O8 H4:L8">
    <cfRule type="containsText" dxfId="29" priority="7" operator="containsText" text="Done">
      <formula>NOT(ISERROR(SEARCH("Done",H1)))</formula>
    </cfRule>
    <cfRule type="containsText" dxfId="28" priority="8" operator="containsText" text="In progress">
      <formula>NOT(ISERROR(SEARCH("In progress",H1)))</formula>
    </cfRule>
    <cfRule type="containsText" dxfId="27" priority="9" operator="containsText" text="To do">
      <formula>NOT(ISERROR(SEARCH("To do",H1)))</formula>
    </cfRule>
  </conditionalFormatting>
  <conditionalFormatting sqref="H4:H8">
    <cfRule type="containsText" dxfId="26" priority="1" operator="containsText" text="Note">
      <formula>NOT(ISERROR(SEARCH("Note",H4)))</formula>
    </cfRule>
  </conditionalFormatting>
  <conditionalFormatting sqref="S10:S1048576 P1 P3:P8">
    <cfRule type="colorScale" priority="1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7">
    <dataValidation type="list" allowBlank="1" showInputMessage="1" showErrorMessage="1" sqref="L2" xr:uid="{97887939-3BEB-4208-B392-81AF3EE745BF}">
      <formula1>"cumulative, single"</formula1>
    </dataValidation>
    <dataValidation type="list" allowBlank="1" showInputMessage="1" showErrorMessage="1" sqref="M2" xr:uid="{AE25932B-CEE6-4C5E-83FE-7FE3F6CE570D}">
      <formula1>"cumulative,single"</formula1>
    </dataValidation>
    <dataValidation type="list" allowBlank="1" showInputMessage="1" showErrorMessage="1" sqref="H4:H8" xr:uid="{6C3476F0-112C-4267-BE3C-B2374FE0AF43}">
      <formula1>"Note,To do,In progress,Done"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O4:O8" xr:uid="{5BC6DE82-994E-4984-9BFB-1292C1A6B6C3}">
      <formula1>"Me,Me3"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E4:E8" xr:uid="{73F6C7BA-14B7-4C80-8AF7-5958FC9ED5A8}">
      <formula1>"important"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F4:F8" xr:uid="{44D7C114-5165-4862-AB66-340113071D6E}">
      <formula1>"fruit"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G4:G8" xr:uid="{E7E21262-DCF3-4A7F-A69D-82B780140A2F}">
      <formula1>"preparation,food,non food"</formula1>
    </dataValidation>
  </dataValidations>
  <hyperlinks>
    <hyperlink ref="C5" location="Planning!A1" display="Planning!A1" xr:uid="{E7E9EB20-9A6A-43A4-85F6-0260588D6383}"/>
    <hyperlink ref="C8" location="Planning!A1" display="Planning!A1" xr:uid="{8CFA1261-F85D-4859-A4DC-8DA15B465660}"/>
    <hyperlink ref="C4" location="Planning!A1" display="Planning!A1" xr:uid="{FB1E17D5-9329-412C-A215-AF443F84EE83}"/>
    <hyperlink ref="C6" location="Planning!A1" display="Planning!A1" xr:uid="{792735B3-7EC6-456B-AA74-6C5BB7D23AF3}"/>
    <hyperlink ref="C7" location="Planning!A1" display="Planning!A1" xr:uid="{9954AE94-97D8-47F5-8117-5885CDB8BC98}"/>
  </hyperlink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locked="0" defaultSize="0" print="0" autoFill="0" autoPict="0" macro="[0]!Planning.UI_AddNewTask">
                <anchor>
                  <from>
                    <xdr:col>1</xdr:col>
                    <xdr:colOff>76200</xdr:colOff>
                    <xdr:row>0</xdr:row>
                    <xdr:rowOff>85725</xdr:rowOff>
                  </from>
                  <to>
                    <xdr:col>2</xdr:col>
                    <xdr:colOff>609600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3">
              <controlPr defaultSize="0" print="0" autoFill="0" autoPict="0" macro="[0]!Planning.UI_AddFiveteenMinutesToSelectedTask">
                <anchor>
                  <from>
                    <xdr:col>4</xdr:col>
                    <xdr:colOff>104775</xdr:colOff>
                    <xdr:row>0</xdr:row>
                    <xdr:rowOff>85725</xdr:rowOff>
                  </from>
                  <to>
                    <xdr:col>6</xdr:col>
                    <xdr:colOff>161925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4">
              <controlPr defaultSize="0" print="0" autoFill="0" autoPict="0" macro="[0]!Planning.UI_EndAllTasks">
                <anchor>
                  <from>
                    <xdr:col>3</xdr:col>
                    <xdr:colOff>333375</xdr:colOff>
                    <xdr:row>0</xdr:row>
                    <xdr:rowOff>352425</xdr:rowOff>
                  </from>
                  <to>
                    <xdr:col>4</xdr:col>
                    <xdr:colOff>57150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5">
              <controlPr defaultSize="0" print="0" autoFill="0" autoPict="0" macro="[0]!Planning.UI_StartSelectedTask">
                <anchor>
                  <from>
                    <xdr:col>3</xdr:col>
                    <xdr:colOff>333375</xdr:colOff>
                    <xdr:row>0</xdr:row>
                    <xdr:rowOff>85725</xdr:rowOff>
                  </from>
                  <to>
                    <xdr:col>4</xdr:col>
                    <xdr:colOff>57150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" name="Button 69">
              <controlPr defaultSize="0" print="0" autoFill="0" autoPict="0" macro="[0]!Planning.UI_DeleteSelectedTask">
                <anchor>
                  <from>
                    <xdr:col>2</xdr:col>
                    <xdr:colOff>695325</xdr:colOff>
                    <xdr:row>0</xdr:row>
                    <xdr:rowOff>561975</xdr:rowOff>
                  </from>
                  <to>
                    <xdr:col>2</xdr:col>
                    <xdr:colOff>2133600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Button 71">
              <controlPr defaultSize="0" print="0" autoFill="0" autoPict="0" macro="[0]!Planning.UI_CopyTask">
                <anchor>
                  <from>
                    <xdr:col>2</xdr:col>
                    <xdr:colOff>704850</xdr:colOff>
                    <xdr:row>0</xdr:row>
                    <xdr:rowOff>85725</xdr:rowOff>
                  </from>
                  <to>
                    <xdr:col>3</xdr:col>
                    <xdr:colOff>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Button 73">
              <controlPr defaultSize="0" print="0" autoFill="0" autoPict="0" macro="[0]!Planning.UI_ShiftTaskUp">
                <anchor>
                  <from>
                    <xdr:col>6</xdr:col>
                    <xdr:colOff>200025</xdr:colOff>
                    <xdr:row>0</xdr:row>
                    <xdr:rowOff>76200</xdr:rowOff>
                  </from>
                  <to>
                    <xdr:col>8</xdr:col>
                    <xdr:colOff>9525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" name="Button 74">
              <controlPr defaultSize="0" print="0" autoFill="0" autoPict="0" macro="[0]!Planning.UI_ShiftTaskDown">
                <anchor>
                  <from>
                    <xdr:col>6</xdr:col>
                    <xdr:colOff>200025</xdr:colOff>
                    <xdr:row>0</xdr:row>
                    <xdr:rowOff>333375</xdr:rowOff>
                  </from>
                  <to>
                    <xdr:col>8</xdr:col>
                    <xdr:colOff>9525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2" name="Button 76">
              <controlPr defaultSize="0" print="0" autoFill="0" autoPict="0" macro="[0]!Planning.UI_RunEbs">
                <anchor>
                  <from>
                    <xdr:col>8</xdr:col>
                    <xdr:colOff>66675</xdr:colOff>
                    <xdr:row>0</xdr:row>
                    <xdr:rowOff>66675</xdr:rowOff>
                  </from>
                  <to>
                    <xdr:col>9</xdr:col>
                    <xdr:colOff>781050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13" name="Button 958">
              <controlPr defaultSize="0" print="0" autoFill="0" autoPict="0" macro="[0]!Planning.UI_CollectTotalTimesSpent">
                <anchor>
                  <from>
                    <xdr:col>8</xdr:col>
                    <xdr:colOff>66675</xdr:colOff>
                    <xdr:row>0</xdr:row>
                    <xdr:rowOff>333375</xdr:rowOff>
                  </from>
                  <to>
                    <xdr:col>9</xdr:col>
                    <xdr:colOff>781050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14" name="Button 959">
              <controlPr defaultSize="0" print="0" autoFill="0" autoPict="0" macro="[0]!Planning.UI_AddZeroMinutesToSelectedTask">
                <anchor>
                  <from>
                    <xdr:col>4</xdr:col>
                    <xdr:colOff>104775</xdr:colOff>
                    <xdr:row>0</xdr:row>
                    <xdr:rowOff>352425</xdr:rowOff>
                  </from>
                  <to>
                    <xdr:col>6</xdr:col>
                    <xdr:colOff>161925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15" name="Button 963">
              <controlPr defaultSize="0" print="0" autoFill="0" autoPict="0" macro="[0]!Planning.UI_GatherTasks">
                <anchor>
                  <from>
                    <xdr:col>6</xdr:col>
                    <xdr:colOff>200025</xdr:colOff>
                    <xdr:row>0</xdr:row>
                    <xdr:rowOff>590550</xdr:rowOff>
                  </from>
                  <to>
                    <xdr:col>8</xdr:col>
                    <xdr:colOff>9525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CC8BE-D220-486E-B6CA-8E3499F6D072}">
  <sheetPr codeName="TaskSheetTemplate1"/>
  <dimension ref="A1:M21"/>
  <sheetViews>
    <sheetView workbookViewId="0">
      <selection sqref="A1:M15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105</v>
      </c>
    </row>
    <row r="3" spans="1:13" x14ac:dyDescent="0.25">
      <c r="A3" t="s">
        <v>79</v>
      </c>
      <c r="B3" s="2">
        <v>1</v>
      </c>
      <c r="C3" t="s">
        <v>4</v>
      </c>
    </row>
    <row r="4" spans="1:13" x14ac:dyDescent="0.25">
      <c r="A4" t="s">
        <v>0</v>
      </c>
      <c r="B4" s="2">
        <f>SUM(D:D)</f>
        <v>0.50000000005820766</v>
      </c>
      <c r="C4" t="s">
        <v>4</v>
      </c>
    </row>
    <row r="5" spans="1:13" x14ac:dyDescent="0.25">
      <c r="A5" t="s">
        <v>14</v>
      </c>
      <c r="B5" s="5" t="s">
        <v>97</v>
      </c>
    </row>
    <row r="6" spans="1:13" x14ac:dyDescent="0.25">
      <c r="A6" t="s">
        <v>15</v>
      </c>
      <c r="B6" s="5" t="s">
        <v>19</v>
      </c>
    </row>
    <row r="7" spans="1:13" x14ac:dyDescent="0.25">
      <c r="A7" t="s">
        <v>1</v>
      </c>
      <c r="B7" t="s">
        <v>132</v>
      </c>
    </row>
    <row r="8" spans="1:13" x14ac:dyDescent="0.25">
      <c r="A8" t="s">
        <v>16</v>
      </c>
      <c r="B8" s="5" t="s">
        <v>97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104</v>
      </c>
    </row>
    <row r="11" spans="1:13" x14ac:dyDescent="0.25">
      <c r="A11" t="s">
        <v>5</v>
      </c>
      <c r="B11" s="2">
        <f>B3/B4</f>
        <v>1.9999999997671694</v>
      </c>
      <c r="C11" t="s">
        <v>6</v>
      </c>
    </row>
    <row r="12" spans="1:13" x14ac:dyDescent="0.25">
      <c r="A12" t="s">
        <v>100</v>
      </c>
      <c r="B12" t="s">
        <v>142</v>
      </c>
    </row>
    <row r="13" spans="1:13" x14ac:dyDescent="0.25">
      <c r="A13" t="s">
        <v>101</v>
      </c>
      <c r="B13" t="s">
        <v>171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5" t="s">
        <v>69</v>
      </c>
      <c r="K14" s="2" t="s">
        <v>70</v>
      </c>
      <c r="L14" t="s">
        <v>72</v>
      </c>
      <c r="M14" t="s">
        <v>73</v>
      </c>
    </row>
    <row r="15" spans="1:13" x14ac:dyDescent="0.25">
      <c r="A15" t="s">
        <v>94</v>
      </c>
      <c r="B15" s="1">
        <v>43877.684965277775</v>
      </c>
      <c r="C15" s="1">
        <v>43877.695381944446</v>
      </c>
      <c r="D15" s="2">
        <f>MAX((C15-B15)*24,0)</f>
        <v>0.25000000011641532</v>
      </c>
      <c r="F15" s="42" t="s">
        <v>109</v>
      </c>
      <c r="G15" s="23" t="s">
        <v>110</v>
      </c>
      <c r="I15" t="s">
        <v>94</v>
      </c>
      <c r="J15" s="15">
        <v>0.05</v>
      </c>
      <c r="K15" s="2">
        <v>0.1</v>
      </c>
      <c r="L15" s="2" t="e">
        <f>#REF!</f>
        <v>#REF!</v>
      </c>
      <c r="M15" s="16" t="e">
        <f>Tabelle7367162840547214304465789210611813414816417819420822423825426828429831432834435837438840441816304661789210812213815216818219821222824225827216385065202857709217018621022638598810816818419821422824426028835638440442043646455256459861063264266261261[[#This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time]]/Tabelle7367162840547214304465789210611813414816417819420822423825426828429831432834435837438840441816304661789210812213815216818219821222824225827216385065202857709217018621022638598810816818419821422824426028835638440442043646455256459861063264266261261[[#This Row],[Total time]]</f>
        <v>#REF!</v>
      </c>
    </row>
    <row r="16" spans="1:13" x14ac:dyDescent="0.25">
      <c r="A16" t="s">
        <v>98</v>
      </c>
      <c r="B16" s="1">
        <v>43877.684976851851</v>
      </c>
      <c r="C16" s="1">
        <v>43877.695393518516</v>
      </c>
      <c r="D16" s="2">
        <f>MAX((C16-B16)*24,0)</f>
        <v>0.24999999994179234</v>
      </c>
      <c r="F16" s="42" t="s">
        <v>109</v>
      </c>
      <c r="G16" s="23" t="s">
        <v>110</v>
      </c>
      <c r="I16" t="s">
        <v>98</v>
      </c>
      <c r="J16" s="15">
        <v>0.2</v>
      </c>
      <c r="K16" s="2">
        <v>0.1</v>
      </c>
      <c r="L16" s="2" t="e">
        <f>#REF!</f>
        <v>#REF!</v>
      </c>
      <c r="M16" s="16" t="e">
        <f>Tabelle7367162840547214304465789210611813414816417819420822423825426828429831432834435837438840441816304661789210812213815216818219821222824225827216385065202857709217018621022638598810816818419821422824426028835638440442043646455256459861063264266261261[[#This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time]]/Tabelle7367162840547214304465789210611813414816417819420822423825426828429831432834435837438840441816304661789210812213815216818219821222824225827216385065202857709217018621022638598810816818419821422824426028835638440442043646455256459861063264266261261[[#This Row],[Total time]]</f>
        <v>#REF!</v>
      </c>
    </row>
    <row r="17" spans="1:13" x14ac:dyDescent="0.25">
      <c r="A17" t="s">
        <v>99</v>
      </c>
      <c r="B17" s="1">
        <v>43877.695393518516</v>
      </c>
      <c r="C17" s="1">
        <v>43877.695393518516</v>
      </c>
      <c r="D17" s="2">
        <f>MAX((C17-B17)*24,0)</f>
        <v>0</v>
      </c>
      <c r="F17" s="42" t="s">
        <v>109</v>
      </c>
      <c r="G17" s="23" t="s">
        <v>110</v>
      </c>
      <c r="I17" t="s">
        <v>99</v>
      </c>
      <c r="J17" s="15">
        <v>0.35</v>
      </c>
      <c r="K17" s="2">
        <v>0.1</v>
      </c>
      <c r="L17" s="2" t="e">
        <f>#REF!</f>
        <v>#REF!</v>
      </c>
      <c r="M17" s="16" t="e">
        <f>Tabelle7367162840547214304465789210611813414816417819420822423825426828429831432834435837438840441816304661789210812213815216818219821222824225827216385065202857709217018621022638598810816818419821422824426028835638440442043646455256459861063264266261261[[#This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time]]/Tabelle7367162840547214304465789210611813414816417819420822423825426828429831432834435837438840441816304661789210812213815216818219821222824225827216385065202857709217018621022638598810816818419821422824426028835638440442043646455256459861063264266261261[[#This Row],[Total time]]</f>
        <v>#REF!</v>
      </c>
    </row>
    <row r="18" spans="1:13" x14ac:dyDescent="0.25">
      <c r="I18" t="s">
        <v>102</v>
      </c>
      <c r="J18" s="15">
        <v>0.5</v>
      </c>
      <c r="K18" s="2">
        <v>0.1</v>
      </c>
      <c r="L18" s="2" t="e">
        <f>#REF!</f>
        <v>#REF!</v>
      </c>
      <c r="M18" s="16" t="e">
        <f>Tabelle7367162840547214304465789210611813414816417819420822423825426828429831432834435837438840441816304661789210812213815216818219821222824225827216385065202857709217018621022638598810816818419821422824426028835638440442043646455256459861063264266261261[[#This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time]]/Tabelle7367162840547214304465789210611813414816417819420822423825426828429831432834435837438840441816304661789210812213815216818219821222824225827216385065202857709217018621022638598810816818419821422824426028835638440442043646455256459861063264266261261[[#This Row],[Total time]]</f>
        <v>#REF!</v>
      </c>
    </row>
    <row r="19" spans="1:13" x14ac:dyDescent="0.25">
      <c r="I19" t="s">
        <v>103</v>
      </c>
      <c r="J19" s="15">
        <v>0.65</v>
      </c>
      <c r="K19" s="2">
        <v>0.1</v>
      </c>
      <c r="L19" s="2" t="e">
        <f>#REF!</f>
        <v>#REF!</v>
      </c>
      <c r="M19" s="16" t="e">
        <f>Tabelle7367162840547214304465789210611813414816417819420822423825426828429831432834435837438840441816304661789210812213815216818219821222824225827216385065202857709217018621022638598810816818419821422824426028835638440442043646455256459861063264266261261[[#This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time]]/Tabelle7367162840547214304465789210611813414816417819420822423825426828429831432834435837438840441816304661789210812213815216818219821222824225827216385065202857709217018621022638598810816818419821422824426028835638440442043646455256459861063264266261261[[#This Row],[Total time]]</f>
        <v>#REF!</v>
      </c>
    </row>
    <row r="20" spans="1:13" x14ac:dyDescent="0.25">
      <c r="I20" t="s">
        <v>118</v>
      </c>
      <c r="J20" s="15">
        <v>0.8</v>
      </c>
      <c r="K20" s="2">
        <v>0.1</v>
      </c>
      <c r="L20" s="2" t="e">
        <f>#REF!</f>
        <v>#REF!</v>
      </c>
      <c r="M20" s="16" t="e">
        <f>Tabelle7367162840547214304465789210611813414816417819420822423825426828429831432834435837438840441816304661789210812213815216818219821222824225827216385065202857709217018621022638598810816818419821422824426028835638440442043646455256459861063264266261261[[#This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time]]/Tabelle7367162840547214304465789210611813414816417819420822423825426828429831432834435837438840441816304661789210812213815216818219821222824225827216385065202857709217018621022638598810816818419821422824426028835638440442043646455256459861063264266261261[[#This Row],[Total time]]</f>
        <v>#REF!</v>
      </c>
    </row>
    <row r="21" spans="1:13" x14ac:dyDescent="0.25">
      <c r="I21" t="s">
        <v>119</v>
      </c>
      <c r="J21" s="15">
        <v>0.95</v>
      </c>
      <c r="K21" s="2">
        <v>0.1</v>
      </c>
      <c r="L21" s="2" t="e">
        <f>#REF!</f>
        <v>#REF!</v>
      </c>
      <c r="M21" s="16" t="e">
        <f>Tabelle7367162840547214304465789210611813414816417819420822423825426828429831432834435837438840441816304661789210812213815216818219821222824225827216385065202857709217018621022638598810816818419821422824426028835638440442043646455256459861063264266261261[[#This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time]]/Tabelle7367162840547214304465789210611813414816417819420822423825426828429831432834435837438840441816304661789210812213815216818219821222824225827216385065202857709217018621022638598810816818419821422824426028835638440442043646455256459861063264266261261[[#This Row],[Total time]]</f>
        <v>#REF!</v>
      </c>
    </row>
  </sheetData>
  <dataConsolidate/>
  <hyperlinks>
    <hyperlink ref="A1" location="Planning!A1" display="Go back to 'Planning' sheet" xr:uid="{6AA0E159-FE57-4944-AF15-586AAEB599DB}"/>
    <hyperlink ref="F15" location="$F$15" display="$F$15" xr:uid="{0077214C-E1CE-409C-8095-CC99ED69637E}"/>
    <hyperlink ref="G15" location="$G$15" display="$G$15" xr:uid="{6DDE1F3F-A963-4387-8FE7-0F6DD3A8461D}"/>
    <hyperlink ref="F16" location="$F$16" display="$F$16" xr:uid="{EB661AF6-8137-4D74-A34F-6BE93FCA2E81}"/>
    <hyperlink ref="G16" location="$G$16" display="$G$16" xr:uid="{31C0220A-A619-4589-81F6-051BE45D9BC8}"/>
    <hyperlink ref="F17" location="$F$17" display="$F$17" xr:uid="{791C0F56-893B-4736-A42A-2742C745BCD8}"/>
    <hyperlink ref="G17" location="$G$17" display="$G$17" xr:uid="{C982DF96-1783-424F-BD49-7319A1DBE009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3950B-49F7-498D-89A9-A189F201F926}">
  <sheetPr codeName="TaskSheetTemplate2"/>
  <dimension ref="A1:M25"/>
  <sheetViews>
    <sheetView workbookViewId="0">
      <selection sqref="A1:M15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134</v>
      </c>
    </row>
    <row r="3" spans="1:13" x14ac:dyDescent="0.25">
      <c r="A3" t="s">
        <v>79</v>
      </c>
      <c r="B3" s="2">
        <v>0.25</v>
      </c>
      <c r="C3" t="s">
        <v>4</v>
      </c>
    </row>
    <row r="4" spans="1:13" x14ac:dyDescent="0.25">
      <c r="A4" t="s">
        <v>0</v>
      </c>
      <c r="B4" s="2">
        <f>SUM(D:D)</f>
        <v>2.500277777609881</v>
      </c>
      <c r="C4" t="s">
        <v>4</v>
      </c>
    </row>
    <row r="5" spans="1:13" x14ac:dyDescent="0.25">
      <c r="A5" t="s">
        <v>14</v>
      </c>
      <c r="B5" s="5" t="s">
        <v>97</v>
      </c>
    </row>
    <row r="6" spans="1:13" x14ac:dyDescent="0.25">
      <c r="A6" t="s">
        <v>15</v>
      </c>
      <c r="B6" s="5" t="s">
        <v>19</v>
      </c>
    </row>
    <row r="7" spans="1:13" x14ac:dyDescent="0.25">
      <c r="A7" t="s">
        <v>1</v>
      </c>
      <c r="B7" t="s">
        <v>132</v>
      </c>
    </row>
    <row r="8" spans="1:13" x14ac:dyDescent="0.25">
      <c r="A8" t="s">
        <v>16</v>
      </c>
      <c r="B8" s="5" t="s">
        <v>97</v>
      </c>
    </row>
    <row r="9" spans="1:13" x14ac:dyDescent="0.25">
      <c r="A9" t="s">
        <v>2</v>
      </c>
      <c r="B9" t="s">
        <v>182</v>
      </c>
    </row>
    <row r="10" spans="1:13" x14ac:dyDescent="0.25">
      <c r="A10" t="s">
        <v>47</v>
      </c>
      <c r="B10" t="s">
        <v>133</v>
      </c>
    </row>
    <row r="11" spans="1:13" x14ac:dyDescent="0.25">
      <c r="A11" t="s">
        <v>5</v>
      </c>
      <c r="B11" s="2">
        <f>B3/B4</f>
        <v>9.9988890130034008E-2</v>
      </c>
      <c r="C11" t="s">
        <v>6</v>
      </c>
    </row>
    <row r="12" spans="1:13" x14ac:dyDescent="0.25">
      <c r="A12" t="s">
        <v>100</v>
      </c>
      <c r="B12" t="s">
        <v>145</v>
      </c>
    </row>
    <row r="13" spans="1:13" x14ac:dyDescent="0.25">
      <c r="A13" t="s">
        <v>101</v>
      </c>
      <c r="B13" t="s">
        <v>183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5" t="s">
        <v>69</v>
      </c>
      <c r="K14" s="2" t="s">
        <v>70</v>
      </c>
      <c r="L14" t="s">
        <v>72</v>
      </c>
      <c r="M14" t="s">
        <v>73</v>
      </c>
    </row>
    <row r="15" spans="1:13" x14ac:dyDescent="0.25">
      <c r="A15" t="s">
        <v>94</v>
      </c>
      <c r="B15" s="1">
        <v>43877.685219907406</v>
      </c>
      <c r="C15" s="1">
        <v>43877.695636574077</v>
      </c>
      <c r="D15" s="2">
        <f t="shared" ref="D15:D24" si="0">MAX((C15-B15)*24,0)</f>
        <v>0.25000000011641532</v>
      </c>
      <c r="F15" s="42" t="s">
        <v>109</v>
      </c>
      <c r="G15" s="23" t="s">
        <v>110</v>
      </c>
      <c r="I15" t="s">
        <v>94</v>
      </c>
      <c r="J15" s="15">
        <v>0.05</v>
      </c>
      <c r="K15" s="2">
        <v>2.5000000000000001E-2</v>
      </c>
      <c r="L15" s="2" t="e">
        <f>#REF!</f>
        <v>#REF!</v>
      </c>
      <c r="M15" s="16" t="e">
        <f>Tabelle7367922445776163446708096108122136152166182196212226242256272286302316332346362376392406422183448658096110126140156170186200216230246260276183046571634597694174188216228446194110172186202216232246266290320322362386408422442466556566602612616631265[[#This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time]]/Tabelle7367922445776163446708096108122136152166182196212226242256272286302316332346362376392406422183448658096110126140156170186200216230246260276183046571634597694174188216228446194110172186202216232246266290320322362386408422442466556566602612616631265[[#This Row],[Total time]]</f>
        <v>#REF!</v>
      </c>
    </row>
    <row r="16" spans="1:13" x14ac:dyDescent="0.25">
      <c r="A16" t="s">
        <v>98</v>
      </c>
      <c r="B16" s="1">
        <v>43877.685219907406</v>
      </c>
      <c r="C16" s="1">
        <v>43877.695636574077</v>
      </c>
      <c r="D16" s="2">
        <f t="shared" si="0"/>
        <v>0.25000000011641532</v>
      </c>
      <c r="F16" s="42" t="s">
        <v>109</v>
      </c>
      <c r="G16" s="23" t="s">
        <v>110</v>
      </c>
      <c r="I16" t="s">
        <v>98</v>
      </c>
      <c r="J16" s="15">
        <v>0.2</v>
      </c>
      <c r="K16" s="2">
        <v>2.5000000000000001E-2</v>
      </c>
      <c r="L16" s="2" t="e">
        <f>#REF!</f>
        <v>#REF!</v>
      </c>
      <c r="M16" s="16" t="e">
        <f>Tabelle7367922445776163446708096108122136152166182196212226242256272286302316332346362376392406422183448658096110126140156170186200216230246260276183046571634597694174188216228446194110172186202216232246266290320322362386408422442466556566602612616631265[[#This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time]]/Tabelle7367922445776163446708096108122136152166182196212226242256272286302316332346362376392406422183448658096110126140156170186200216230246260276183046571634597694174188216228446194110172186202216232246266290320322362386408422442466556566602612616631265[[#This Row],[Total time]]</f>
        <v>#REF!</v>
      </c>
    </row>
    <row r="17" spans="1:13" x14ac:dyDescent="0.25">
      <c r="A17" t="s">
        <v>99</v>
      </c>
      <c r="B17" s="1">
        <v>43877.685219907406</v>
      </c>
      <c r="C17" s="1">
        <v>43877.695636574077</v>
      </c>
      <c r="D17" s="2">
        <f t="shared" si="0"/>
        <v>0.25000000011641532</v>
      </c>
      <c r="F17" s="42" t="s">
        <v>109</v>
      </c>
      <c r="G17" s="23" t="s">
        <v>110</v>
      </c>
      <c r="I17" t="s">
        <v>99</v>
      </c>
      <c r="J17" s="15">
        <v>0.35</v>
      </c>
      <c r="K17" s="2">
        <v>2.5000000000000001E-2</v>
      </c>
      <c r="L17" s="2" t="e">
        <f>#REF!</f>
        <v>#REF!</v>
      </c>
      <c r="M17" s="16" t="e">
        <f>Tabelle7367922445776163446708096108122136152166182196212226242256272286302316332346362376392406422183448658096110126140156170186200216230246260276183046571634597694174188216228446194110172186202216232246266290320322362386408422442466556566602612616631265[[#This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time]]/Tabelle7367922445776163446708096108122136152166182196212226242256272286302316332346362376392406422183448658096110126140156170186200216230246260276183046571634597694174188216228446194110172186202216232246266290320322362386408422442466556566602612616631265[[#This Row],[Total time]]</f>
        <v>#REF!</v>
      </c>
    </row>
    <row r="18" spans="1:13" x14ac:dyDescent="0.25">
      <c r="A18" t="s">
        <v>102</v>
      </c>
      <c r="B18" s="1">
        <v>43877.685231481482</v>
      </c>
      <c r="C18" s="1">
        <v>43877.695648148147</v>
      </c>
      <c r="D18" s="2">
        <f t="shared" si="0"/>
        <v>0.24999999994179234</v>
      </c>
      <c r="F18" s="42" t="s">
        <v>109</v>
      </c>
      <c r="G18" s="23" t="s">
        <v>110</v>
      </c>
      <c r="I18" t="s">
        <v>102</v>
      </c>
      <c r="J18" s="15">
        <v>0.5</v>
      </c>
      <c r="K18" s="2">
        <v>2.5000000000000001E-2</v>
      </c>
      <c r="L18" s="2" t="e">
        <f>#REF!</f>
        <v>#REF!</v>
      </c>
      <c r="M18" s="16" t="e">
        <f>Tabelle7367922445776163446708096108122136152166182196212226242256272286302316332346362376392406422183448658096110126140156170186200216230246260276183046571634597694174188216228446194110172186202216232246266290320322362386408422442466556566602612616631265[[#This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time]]/Tabelle7367922445776163446708096108122136152166182196212226242256272286302316332346362376392406422183448658096110126140156170186200216230246260276183046571634597694174188216228446194110172186202216232246266290320322362386408422442466556566602612616631265[[#This Row],[Total time]]</f>
        <v>#REF!</v>
      </c>
    </row>
    <row r="19" spans="1:13" x14ac:dyDescent="0.25">
      <c r="A19" t="s">
        <v>103</v>
      </c>
      <c r="B19" s="1">
        <v>43877.685231481482</v>
      </c>
      <c r="C19" s="1">
        <v>43877.695648148147</v>
      </c>
      <c r="D19" s="2">
        <f t="shared" si="0"/>
        <v>0.24999999994179234</v>
      </c>
      <c r="F19" s="42" t="s">
        <v>109</v>
      </c>
      <c r="G19" s="23" t="s">
        <v>110</v>
      </c>
      <c r="I19" t="s">
        <v>103</v>
      </c>
      <c r="J19" s="15">
        <v>0.65</v>
      </c>
      <c r="K19" s="2">
        <v>2.5000000000000001E-2</v>
      </c>
      <c r="L19" s="2" t="e">
        <f>#REF!</f>
        <v>#REF!</v>
      </c>
      <c r="M19" s="16" t="e">
        <f>Tabelle7367922445776163446708096108122136152166182196212226242256272286302316332346362376392406422183448658096110126140156170186200216230246260276183046571634597694174188216228446194110172186202216232246266290320322362386408422442466556566602612616631265[[#This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time]]/Tabelle7367922445776163446708096108122136152166182196212226242256272286302316332346362376392406422183448658096110126140156170186200216230246260276183046571634597694174188216228446194110172186202216232246266290320322362386408422442466556566602612616631265[[#This Row],[Total time]]</f>
        <v>#REF!</v>
      </c>
    </row>
    <row r="20" spans="1:13" x14ac:dyDescent="0.25">
      <c r="A20" t="s">
        <v>118</v>
      </c>
      <c r="B20" s="1">
        <v>43877.685231481482</v>
      </c>
      <c r="C20" s="1">
        <v>43877.695648148147</v>
      </c>
      <c r="D20" s="2">
        <f t="shared" si="0"/>
        <v>0.24999999994179234</v>
      </c>
      <c r="F20" s="42" t="s">
        <v>109</v>
      </c>
      <c r="G20" s="23" t="s">
        <v>110</v>
      </c>
      <c r="I20" t="s">
        <v>118</v>
      </c>
      <c r="J20" s="15">
        <v>0.8</v>
      </c>
      <c r="K20" s="2">
        <v>2.5000000000000001E-2</v>
      </c>
      <c r="L20" s="2" t="e">
        <f>#REF!</f>
        <v>#REF!</v>
      </c>
      <c r="M20" s="16" t="e">
        <f>Tabelle7367922445776163446708096108122136152166182196212226242256272286302316332346362376392406422183448658096110126140156170186200216230246260276183046571634597694174188216228446194110172186202216232246266290320322362386408422442466556566602612616631265[[#This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time]]/Tabelle7367922445776163446708096108122136152166182196212226242256272286302316332346362376392406422183448658096110126140156170186200216230246260276183046571634597694174188216228446194110172186202216232246266290320322362386408422442466556566602612616631265[[#This Row],[Total time]]</f>
        <v>#REF!</v>
      </c>
    </row>
    <row r="21" spans="1:13" x14ac:dyDescent="0.25">
      <c r="A21" t="s">
        <v>119</v>
      </c>
      <c r="B21" s="1">
        <v>43877.685231481482</v>
      </c>
      <c r="C21" s="1">
        <v>43877.695648148147</v>
      </c>
      <c r="D21" s="2">
        <f t="shared" si="0"/>
        <v>0.24999999994179234</v>
      </c>
      <c r="F21" s="42" t="s">
        <v>109</v>
      </c>
      <c r="G21" s="23" t="s">
        <v>110</v>
      </c>
      <c r="I21" t="s">
        <v>119</v>
      </c>
      <c r="J21" s="15">
        <v>0.95</v>
      </c>
      <c r="K21" s="2">
        <v>2.5000000000000001E-2</v>
      </c>
      <c r="L21" s="2" t="e">
        <f>#REF!</f>
        <v>#REF!</v>
      </c>
      <c r="M21" s="16" t="e">
        <f>Tabelle7367922445776163446708096108122136152166182196212226242256272286302316332346362376392406422183448658096110126140156170186200216230246260276183046571634597694174188216228446194110172186202216232246266290320322362386408422442466556566602612616631265[[#This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time]]/Tabelle7367922445776163446708096108122136152166182196212226242256272286302316332346362376392406422183448658096110126140156170186200216230246260276183046571634597694174188216228446194110172186202216232246266290320322362386408422442466556566602612616631265[[#This Row],[Total time]]</f>
        <v>#REF!</v>
      </c>
    </row>
    <row r="22" spans="1:13" x14ac:dyDescent="0.25">
      <c r="A22" t="s">
        <v>172</v>
      </c>
      <c r="B22" s="1">
        <v>43877.685231481482</v>
      </c>
      <c r="C22" s="1">
        <v>43877.695648148147</v>
      </c>
      <c r="D22" s="2">
        <f t="shared" si="0"/>
        <v>0.24999999994179234</v>
      </c>
      <c r="F22" s="42" t="s">
        <v>109</v>
      </c>
      <c r="G22" s="23" t="s">
        <v>110</v>
      </c>
    </row>
    <row r="23" spans="1:13" x14ac:dyDescent="0.25">
      <c r="A23" t="s">
        <v>173</v>
      </c>
      <c r="B23" s="1">
        <v>43877.685243055559</v>
      </c>
      <c r="C23" s="1">
        <v>43877.695659722223</v>
      </c>
      <c r="D23" s="2">
        <f t="shared" si="0"/>
        <v>0.24999999994179234</v>
      </c>
      <c r="F23" s="42" t="s">
        <v>109</v>
      </c>
      <c r="G23" s="23" t="s">
        <v>110</v>
      </c>
    </row>
    <row r="24" spans="1:13" x14ac:dyDescent="0.25">
      <c r="A24" t="s">
        <v>174</v>
      </c>
      <c r="B24" s="1">
        <v>43877.685243055559</v>
      </c>
      <c r="C24" s="1">
        <v>43877.695659722223</v>
      </c>
      <c r="D24" s="2">
        <f t="shared" si="0"/>
        <v>0.24999999994179234</v>
      </c>
      <c r="F24" s="42" t="s">
        <v>109</v>
      </c>
      <c r="G24" s="23" t="s">
        <v>110</v>
      </c>
    </row>
    <row r="25" spans="1:13" x14ac:dyDescent="0.25">
      <c r="A25" t="s">
        <v>129</v>
      </c>
      <c r="B25" s="1">
        <v>43877.807962962965</v>
      </c>
      <c r="C25" s="1">
        <v>43877.807974537034</v>
      </c>
      <c r="D25" s="2">
        <f>MAX((C25-B25)*24,0)</f>
        <v>2.7777766808867455E-4</v>
      </c>
      <c r="F25" s="42" t="s">
        <v>109</v>
      </c>
      <c r="G25" s="23" t="s">
        <v>110</v>
      </c>
    </row>
  </sheetData>
  <dataConsolidate/>
  <hyperlinks>
    <hyperlink ref="A1" location="Planning!A1" display="Go back to 'Planning' sheet" xr:uid="{1ABE1EA3-62FE-4F6C-9011-F13BD6A33AD9}"/>
    <hyperlink ref="F15" location="$F$15" display="$F$15" xr:uid="{61F433C8-2C62-4D05-A5EA-CC98413250F9}"/>
    <hyperlink ref="G15" location="$G$15" display="$G$15" xr:uid="{76237F58-D2BA-4311-8486-3A491A42DFBE}"/>
    <hyperlink ref="F16" location="$F$16" display="$F$16" xr:uid="{9BC47E9B-C6D2-4E6D-A808-7451B04E9EDD}"/>
    <hyperlink ref="G16" location="$G$16" display="$G$16" xr:uid="{60EAA90B-F1FC-471C-AC69-B7DF7763C344}"/>
    <hyperlink ref="F17" location="$F$17" display="$F$17" xr:uid="{F72E61B3-7B08-41F9-89AE-9B7FD280828A}"/>
    <hyperlink ref="G17" location="$G$17" display="$G$17" xr:uid="{6F87708B-F6A6-4EAB-AA5F-07203ACC4A2F}"/>
    <hyperlink ref="F18" location="$F$18" display="$F$18" xr:uid="{B853E68F-B312-4F22-A75B-DC0C1EA7D16A}"/>
    <hyperlink ref="G18" location="$G$18" display="$G$18" xr:uid="{0B09643C-A7C7-4F72-BA39-85A70D4A94E6}"/>
    <hyperlink ref="F19" location="$F$19" display="$F$19" xr:uid="{06332849-B590-484A-BC8F-A7F62F6271B9}"/>
    <hyperlink ref="G19" location="$G$19" display="$G$19" xr:uid="{30622A05-00F8-4406-97ED-232700BE2573}"/>
    <hyperlink ref="F20" location="$F$20" display="$F$20" xr:uid="{5408E420-C7EE-4A40-B077-12F9694B3739}"/>
    <hyperlink ref="G20" location="$G$20" display="$G$20" xr:uid="{89D68878-928B-47A2-9593-77BF63CB9529}"/>
    <hyperlink ref="F21" location="$F$21" display="$F$21" xr:uid="{F1EC1358-6AD2-446E-ADED-7BB3C859F6D8}"/>
    <hyperlink ref="G21" location="$G$21" display="$G$21" xr:uid="{4868F210-20D0-4480-968B-61C444A351B9}"/>
    <hyperlink ref="F22" location="$F$22" display="$F$22" xr:uid="{54DB4D64-0A81-4CED-978C-AC6DCA80AA64}"/>
    <hyperlink ref="G22" location="$G$22" display="$G$22" xr:uid="{F23CBF06-9FD0-4A4B-9FEA-A89AA1E96942}"/>
    <hyperlink ref="F23" location="$F$23" display="$F$23" xr:uid="{BF7AEBA5-7009-4B7B-859E-8169B3E8B5E7}"/>
    <hyperlink ref="G23" location="$G$23" display="$G$23" xr:uid="{E77C13BF-F7F8-4B09-BE8A-ACCF63951AD5}"/>
    <hyperlink ref="F24" location="$F$24" display="$F$24" xr:uid="{3CFB7404-EFB7-4C6B-B723-132C45BBF361}"/>
    <hyperlink ref="G24" location="$G$24" display="$G$24" xr:uid="{67D1CC16-1D2B-477C-B3B6-B1C30E38A00C}"/>
    <hyperlink ref="F25" location="$F$25" display="$F$25" xr:uid="{707AFBC9-0369-4E71-89BC-64231B6E247A}"/>
    <hyperlink ref="G25" location="$G$25" display="$G$25" xr:uid="{5F46FFC9-4CC0-46B4-9F4E-A18CAC3689B7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64E9A-8814-4543-A86F-9CFA34C76383}">
  <sheetPr codeName="TaskSheetTemplate3"/>
  <dimension ref="A1:M21"/>
  <sheetViews>
    <sheetView workbookViewId="0">
      <selection sqref="A1:M15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136</v>
      </c>
    </row>
    <row r="3" spans="1:13" x14ac:dyDescent="0.25">
      <c r="A3" t="s">
        <v>79</v>
      </c>
      <c r="B3" s="2">
        <v>5</v>
      </c>
      <c r="C3" t="s">
        <v>4</v>
      </c>
    </row>
    <row r="4" spans="1:13" x14ac:dyDescent="0.25">
      <c r="A4" t="s">
        <v>0</v>
      </c>
      <c r="B4" s="2">
        <f>SUM(D:D)</f>
        <v>0</v>
      </c>
      <c r="C4" t="s">
        <v>4</v>
      </c>
    </row>
    <row r="5" spans="1:13" x14ac:dyDescent="0.25">
      <c r="A5" t="s">
        <v>14</v>
      </c>
      <c r="B5" s="5" t="s">
        <v>97</v>
      </c>
    </row>
    <row r="6" spans="1:13" x14ac:dyDescent="0.25">
      <c r="A6" t="s">
        <v>15</v>
      </c>
      <c r="B6" s="5" t="s">
        <v>19</v>
      </c>
    </row>
    <row r="7" spans="1:13" x14ac:dyDescent="0.25">
      <c r="A7" t="s">
        <v>1</v>
      </c>
      <c r="B7" t="s">
        <v>95</v>
      </c>
    </row>
    <row r="8" spans="1:13" x14ac:dyDescent="0.25">
      <c r="A8" t="s">
        <v>16</v>
      </c>
      <c r="B8" s="5" t="s">
        <v>97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135</v>
      </c>
    </row>
    <row r="11" spans="1:13" x14ac:dyDescent="0.25">
      <c r="A11" t="s">
        <v>5</v>
      </c>
      <c r="B11" s="2" t="e">
        <f>B3/B4</f>
        <v>#DIV/0!</v>
      </c>
      <c r="C11" t="s">
        <v>6</v>
      </c>
    </row>
    <row r="12" spans="1:13" x14ac:dyDescent="0.25">
      <c r="A12" t="s">
        <v>100</v>
      </c>
      <c r="B12" t="s">
        <v>145</v>
      </c>
    </row>
    <row r="13" spans="1:13" x14ac:dyDescent="0.25">
      <c r="A13" t="s">
        <v>101</v>
      </c>
      <c r="B13" t="s">
        <v>183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5" t="s">
        <v>69</v>
      </c>
      <c r="K14" s="2" t="s">
        <v>70</v>
      </c>
      <c r="L14" t="s">
        <v>72</v>
      </c>
      <c r="M14" t="s">
        <v>73</v>
      </c>
    </row>
    <row r="15" spans="1:13" x14ac:dyDescent="0.25">
      <c r="B15" s="1"/>
      <c r="C15" s="1"/>
      <c r="D15" s="2"/>
      <c r="G15" s="23"/>
      <c r="I15" t="s">
        <v>94</v>
      </c>
      <c r="J15" s="15">
        <v>0.05</v>
      </c>
      <c r="K15" s="2">
        <v>0.5</v>
      </c>
      <c r="L15" s="2" t="e">
        <f>#REF!</f>
        <v>#REF!</v>
      </c>
      <c r="M15" s="16" t="e">
        <f>Tabelle7367720325068926426176881041141321441621741922042222342522642822943123243423543723844024141426445776881061181361481661781962082262382562681426447022406182961781902002222322425063100112176188206218236248272292368388412424448468496498570604620631270[[#This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time]]/Tabelle7367720325068926426176881041141321441621741922042222342522642822943123243423543723844024141426445776881061181361481661781962082262382562681426447022406182961781902002222322425063100112176188206218236248272292368388412424448468496498570604620631270[[#This Row],[Total time]]</f>
        <v>#REF!</v>
      </c>
    </row>
    <row r="16" spans="1:13" x14ac:dyDescent="0.25">
      <c r="B16" s="1"/>
      <c r="C16" s="1"/>
      <c r="D16" s="2"/>
      <c r="G16" s="23"/>
      <c r="I16" t="s">
        <v>98</v>
      </c>
      <c r="J16" s="15">
        <v>0.2</v>
      </c>
      <c r="K16" s="2">
        <v>0.5</v>
      </c>
      <c r="L16" s="2" t="e">
        <f>#REF!</f>
        <v>#REF!</v>
      </c>
      <c r="M16" s="16" t="e">
        <f>Tabelle7367720325068926426176881041141321441621741922042222342522642822943123243423543723844024141426445776881061181361481661781962082262382562681426447022406182961781902002222322425063100112176188206218236248272292368388412424448468496498570604620631270[[#This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time]]/Tabelle7367720325068926426176881041141321441621741922042222342522642822943123243423543723844024141426445776881061181361481661781962082262382562681426447022406182961781902002222322425063100112176188206218236248272292368388412424448468496498570604620631270[[#This Row],[Total time]]</f>
        <v>#REF!</v>
      </c>
    </row>
    <row r="17" spans="9:13" x14ac:dyDescent="0.25">
      <c r="I17" t="s">
        <v>99</v>
      </c>
      <c r="J17" s="15">
        <v>0.35</v>
      </c>
      <c r="K17" s="2">
        <v>0.5</v>
      </c>
      <c r="L17" s="2" t="e">
        <f>#REF!</f>
        <v>#REF!</v>
      </c>
      <c r="M17" s="16" t="e">
        <f>Tabelle7367720325068926426176881041141321441621741922042222342522642822943123243423543723844024141426445776881061181361481661781962082262382562681426447022406182961781902002222322425063100112176188206218236248272292368388412424448468496498570604620631270[[#This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time]]/Tabelle7367720325068926426176881041141321441621741922042222342522642822943123243423543723844024141426445776881061181361481661781962082262382562681426447022406182961781902002222322425063100112176188206218236248272292368388412424448468496498570604620631270[[#This Row],[Total time]]</f>
        <v>#REF!</v>
      </c>
    </row>
    <row r="18" spans="9:13" x14ac:dyDescent="0.25">
      <c r="I18" t="s">
        <v>102</v>
      </c>
      <c r="J18" s="15">
        <v>0.5</v>
      </c>
      <c r="K18" s="2">
        <v>0.5</v>
      </c>
      <c r="L18" s="2" t="e">
        <f>#REF!</f>
        <v>#REF!</v>
      </c>
      <c r="M18" s="16" t="e">
        <f>Tabelle7367720325068926426176881041141321441621741922042222342522642822943123243423543723844024141426445776881061181361481661781962082262382562681426447022406182961781902002222322425063100112176188206218236248272292368388412424448468496498570604620631270[[#This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time]]/Tabelle7367720325068926426176881041141321441621741922042222342522642822943123243423543723844024141426445776881061181361481661781962082262382562681426447022406182961781902002222322425063100112176188206218236248272292368388412424448468496498570604620631270[[#This Row],[Total time]]</f>
        <v>#REF!</v>
      </c>
    </row>
    <row r="19" spans="9:13" x14ac:dyDescent="0.25">
      <c r="I19" t="s">
        <v>103</v>
      </c>
      <c r="J19" s="15">
        <v>0.65</v>
      </c>
      <c r="K19" s="2">
        <v>0.5</v>
      </c>
      <c r="L19" s="2" t="e">
        <f>#REF!</f>
        <v>#REF!</v>
      </c>
      <c r="M19" s="16" t="e">
        <f>Tabelle7367720325068926426176881041141321441621741922042222342522642822943123243423543723844024141426445776881061181361481661781962082262382562681426447022406182961781902002222322425063100112176188206218236248272292368388412424448468496498570604620631270[[#This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time]]/Tabelle7367720325068926426176881041141321441621741922042222342522642822943123243423543723844024141426445776881061181361481661781962082262382562681426447022406182961781902002222322425063100112176188206218236248272292368388412424448468496498570604620631270[[#This Row],[Total time]]</f>
        <v>#REF!</v>
      </c>
    </row>
    <row r="20" spans="9:13" x14ac:dyDescent="0.25">
      <c r="I20" t="s">
        <v>118</v>
      </c>
      <c r="J20" s="15">
        <v>0.8</v>
      </c>
      <c r="K20" s="2">
        <v>0.5</v>
      </c>
      <c r="L20" s="2" t="e">
        <f>#REF!</f>
        <v>#REF!</v>
      </c>
      <c r="M20" s="16" t="e">
        <f>Tabelle7367720325068926426176881041141321441621741922042222342522642822943123243423543723844024141426445776881061181361481661781962082262382562681426447022406182961781902002222322425063100112176188206218236248272292368388412424448468496498570604620631270[[#This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time]]/Tabelle7367720325068926426176881041141321441621741922042222342522642822943123243423543723844024141426445776881061181361481661781962082262382562681426447022406182961781902002222322425063100112176188206218236248272292368388412424448468496498570604620631270[[#This Row],[Total time]]</f>
        <v>#REF!</v>
      </c>
    </row>
    <row r="21" spans="9:13" x14ac:dyDescent="0.25">
      <c r="I21" t="s">
        <v>119</v>
      </c>
      <c r="J21" s="15">
        <v>0.95</v>
      </c>
      <c r="K21" s="2">
        <v>0.5</v>
      </c>
      <c r="L21" s="2" t="e">
        <f>#REF!</f>
        <v>#REF!</v>
      </c>
      <c r="M21" s="16" t="e">
        <f>Tabelle7367720325068926426176881041141321441621741922042222342522642822943123243423543723844024141426445776881061181361481661781962082262382562681426447022406182961781902002222322425063100112176188206218236248272292368388412424448468496498570604620631270[[#This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time]]/Tabelle7367720325068926426176881041141321441621741922042222342522642822943123243423543723844024141426445776881061181361481661781962082262382562681426447022406182961781902002222322425063100112176188206218236248272292368388412424448468496498570604620631270[[#This Row],[Total time]]</f>
        <v>#REF!</v>
      </c>
    </row>
  </sheetData>
  <dataConsolidate/>
  <hyperlinks>
    <hyperlink ref="A1" location="Planning!A1" display="Go back to 'Planning' sheet" xr:uid="{83B894E7-C255-457F-A508-40CEB6C34954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CFAB5-FEB5-4CC7-9484-D769D3648B5B}">
  <sheetPr codeName="TaskSheetTemplate4"/>
  <dimension ref="A1:M21"/>
  <sheetViews>
    <sheetView workbookViewId="0">
      <selection sqref="A1:M15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181</v>
      </c>
    </row>
    <row r="3" spans="1:13" x14ac:dyDescent="0.25">
      <c r="A3" t="s">
        <v>79</v>
      </c>
      <c r="B3" s="2">
        <v>2</v>
      </c>
      <c r="C3" t="s">
        <v>4</v>
      </c>
    </row>
    <row r="4" spans="1:13" x14ac:dyDescent="0.25">
      <c r="A4" t="s">
        <v>0</v>
      </c>
      <c r="B4" s="2">
        <f>SUM(D:D)</f>
        <v>0</v>
      </c>
      <c r="C4" t="s">
        <v>4</v>
      </c>
    </row>
    <row r="5" spans="1:13" x14ac:dyDescent="0.25">
      <c r="A5" t="s">
        <v>14</v>
      </c>
      <c r="B5" s="5" t="s">
        <v>97</v>
      </c>
    </row>
    <row r="6" spans="1:13" x14ac:dyDescent="0.25">
      <c r="A6" t="s">
        <v>15</v>
      </c>
      <c r="B6" s="5" t="s">
        <v>19</v>
      </c>
    </row>
    <row r="7" spans="1:13" x14ac:dyDescent="0.25">
      <c r="A7" t="s">
        <v>1</v>
      </c>
      <c r="B7" t="s">
        <v>95</v>
      </c>
    </row>
    <row r="8" spans="1:13" x14ac:dyDescent="0.25">
      <c r="A8" t="s">
        <v>16</v>
      </c>
      <c r="B8" s="5" t="s">
        <v>97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106</v>
      </c>
    </row>
    <row r="11" spans="1:13" x14ac:dyDescent="0.25">
      <c r="A11" t="s">
        <v>5</v>
      </c>
      <c r="B11" s="2" t="e">
        <f>B3/B4</f>
        <v>#DIV/0!</v>
      </c>
      <c r="C11" t="s">
        <v>6</v>
      </c>
    </row>
    <row r="12" spans="1:13" x14ac:dyDescent="0.25">
      <c r="A12" t="s">
        <v>100</v>
      </c>
      <c r="B12" t="s">
        <v>142</v>
      </c>
    </row>
    <row r="13" spans="1:13" x14ac:dyDescent="0.25">
      <c r="A13" t="s">
        <v>101</v>
      </c>
      <c r="B13" t="s">
        <v>143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5" t="s">
        <v>69</v>
      </c>
      <c r="K14" s="2" t="s">
        <v>70</v>
      </c>
      <c r="L14" t="s">
        <v>72</v>
      </c>
      <c r="M14" t="s">
        <v>73</v>
      </c>
    </row>
    <row r="15" spans="1:13" x14ac:dyDescent="0.25">
      <c r="B15" s="1"/>
      <c r="C15" s="1"/>
      <c r="D15" s="2"/>
      <c r="G15" s="23"/>
      <c r="I15" t="s">
        <v>94</v>
      </c>
      <c r="J15" s="15">
        <v>0.05</v>
      </c>
      <c r="K15" s="2">
        <v>0.2</v>
      </c>
      <c r="L15" s="2" t="e">
        <f>#REF!</f>
        <v>#REF!</v>
      </c>
      <c r="M15" s="16" t="e">
        <f>Tabelle7367142448598018384852728410212613815616818619821622824625827628830631833634836637839640842620385070821001121301421601721902022202322502622802034486118466388981821921962202382442854681041161361801902102202402502782943743904164264544705105285741274[[#This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time]]/Tabelle7367142448598018384852728410212613815616818619821622824625827628830631833634836637839640842620385070821001121301421601721902022202322502622802034486118466388981821921962202382442854681041161361801902102202402502782943743904164264544705105285741274[[#This Row],[Total time]]</f>
        <v>#REF!</v>
      </c>
    </row>
    <row r="16" spans="1:13" x14ac:dyDescent="0.25">
      <c r="B16" s="1"/>
      <c r="C16" s="1"/>
      <c r="D16" s="2"/>
      <c r="G16" s="23"/>
      <c r="I16" t="s">
        <v>98</v>
      </c>
      <c r="J16" s="15">
        <v>0.2</v>
      </c>
      <c r="K16" s="2">
        <v>0.2</v>
      </c>
      <c r="L16" s="2" t="e">
        <f>#REF!</f>
        <v>#REF!</v>
      </c>
      <c r="M16" s="16" t="e">
        <f>Tabelle7367142448598018384852728410212613815616818619821622824625827628830631833634836637839640842620385070821001121301421601721902022202322502622802034486118466388981821921962202382442854681041161361801902102202402502782943743904164264544705105285741274[[#This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time]]/Tabelle7367142448598018384852728410212613815616818619821622824625827628830631833634836637839640842620385070821001121301421601721902022202322502622802034486118466388981821921962202382442854681041161361801902102202402502782943743904164264544705105285741274[[#This Row],[Total time]]</f>
        <v>#REF!</v>
      </c>
    </row>
    <row r="17" spans="2:13" x14ac:dyDescent="0.25">
      <c r="B17" s="1"/>
      <c r="C17" s="1"/>
      <c r="D17" s="2"/>
      <c r="G17" s="23"/>
      <c r="I17" t="s">
        <v>99</v>
      </c>
      <c r="J17" s="15">
        <v>0.35</v>
      </c>
      <c r="K17" s="2">
        <v>0.2</v>
      </c>
      <c r="L17" s="2" t="e">
        <f>#REF!</f>
        <v>#REF!</v>
      </c>
      <c r="M17" s="16" t="e">
        <f>Tabelle7367142448598018384852728410212613815616818619821622824625827628830631833634836637839640842620385070821001121301421601721902022202322502622802034486118466388981821921962202382442854681041161361801902102202402502782943743904164264544705105285741274[[#This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time]]/Tabelle7367142448598018384852728410212613815616818619821622824625827628830631833634836637839640842620385070821001121301421601721902022202322502622802034486118466388981821921962202382442854681041161361801902102202402502782943743904164264544705105285741274[[#This Row],[Total time]]</f>
        <v>#REF!</v>
      </c>
    </row>
    <row r="18" spans="2:13" x14ac:dyDescent="0.25">
      <c r="B18" s="1"/>
      <c r="C18" s="1"/>
      <c r="D18" s="2"/>
      <c r="G18" s="23"/>
      <c r="I18" t="s">
        <v>102</v>
      </c>
      <c r="J18" s="15">
        <v>0.5</v>
      </c>
      <c r="K18" s="2">
        <v>0.2</v>
      </c>
      <c r="L18" s="2" t="e">
        <f>#REF!</f>
        <v>#REF!</v>
      </c>
      <c r="M18" s="16" t="e">
        <f>Tabelle7367142448598018384852728410212613815616818619821622824625827628830631833634836637839640842620385070821001121301421601721902022202322502622802034486118466388981821921962202382442854681041161361801902102202402502782943743904164264544705105285741274[[#This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time]]/Tabelle7367142448598018384852728410212613815616818619821622824625827628830631833634836637839640842620385070821001121301421601721902022202322502622802034486118466388981821921962202382442854681041161361801902102202402502782943743904164264544705105285741274[[#This Row],[Total time]]</f>
        <v>#REF!</v>
      </c>
    </row>
    <row r="19" spans="2:13" x14ac:dyDescent="0.25">
      <c r="B19" s="1"/>
      <c r="C19" s="1"/>
      <c r="D19" s="2"/>
      <c r="G19" s="23"/>
      <c r="I19" t="s">
        <v>103</v>
      </c>
      <c r="J19" s="15">
        <v>0.65</v>
      </c>
      <c r="K19" s="2">
        <v>0.2</v>
      </c>
      <c r="L19" s="2" t="e">
        <f>#REF!</f>
        <v>#REF!</v>
      </c>
      <c r="M19" s="16" t="e">
        <f>Tabelle7367142448598018384852728410212613815616818619821622824625827628830631833634836637839640842620385070821001121301421601721902022202322502622802034486118466388981821921962202382442854681041161361801902102202402502782943743904164264544705105285741274[[#This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time]]/Tabelle7367142448598018384852728410212613815616818619821622824625827628830631833634836637839640842620385070821001121301421601721902022202322502622802034486118466388981821921962202382442854681041161361801902102202402502782943743904164264544705105285741274[[#This Row],[Total time]]</f>
        <v>#REF!</v>
      </c>
    </row>
    <row r="20" spans="2:13" x14ac:dyDescent="0.25">
      <c r="B20" s="1"/>
      <c r="C20" s="1"/>
      <c r="D20" s="2"/>
      <c r="G20" s="23"/>
      <c r="I20" t="s">
        <v>118</v>
      </c>
      <c r="J20" s="15">
        <v>0.8</v>
      </c>
      <c r="K20" s="2">
        <v>0.2</v>
      </c>
      <c r="L20" s="2" t="e">
        <f>#REF!</f>
        <v>#REF!</v>
      </c>
      <c r="M20" s="16" t="e">
        <f>Tabelle7367142448598018384852728410212613815616818619821622824625827628830631833634836637839640842620385070821001121301421601721902022202322502622802034486118466388981821921962202382442854681041161361801902102202402502782943743904164264544705105285741274[[#This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time]]/Tabelle7367142448598018384852728410212613815616818619821622824625827628830631833634836637839640842620385070821001121301421601721902022202322502622802034486118466388981821921962202382442854681041161361801902102202402502782943743904164264544705105285741274[[#This Row],[Total time]]</f>
        <v>#REF!</v>
      </c>
    </row>
    <row r="21" spans="2:13" x14ac:dyDescent="0.25">
      <c r="I21" t="s">
        <v>119</v>
      </c>
      <c r="J21" s="15">
        <v>0.95</v>
      </c>
      <c r="K21" s="2">
        <v>0.2</v>
      </c>
      <c r="L21" s="2" t="e">
        <f>#REF!</f>
        <v>#REF!</v>
      </c>
      <c r="M21" s="16" t="e">
        <f>Tabelle7367142448598018384852728410212613815616818619821622824625827628830631833634836637839640842620385070821001121301421601721902022202322502622802034486118466388981821921962202382442854681041161361801902102202402502782943743904164264544705105285741274[[#This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time]]/Tabelle7367142448598018384852728410212613815616818619821622824625827628830631833634836637839640842620385070821001121301421601721902022202322502622802034486118466388981821921962202382442854681041161361801902102202402502782943743904164264544705105285741274[[#This Row],[Total time]]</f>
        <v>#REF!</v>
      </c>
    </row>
  </sheetData>
  <dataConsolidate/>
  <hyperlinks>
    <hyperlink ref="A1" location="Planning!A1" display="Go back to 'Planning' sheet" xr:uid="{F37D028E-328C-4B30-BA8C-5A9A3C41C2DD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68D97-C621-416E-AC11-6E38B42B44A9}">
  <sheetPr codeName="EbsSheetTemplate1"/>
  <dimension ref="A15:T48"/>
  <sheetViews>
    <sheetView workbookViewId="0">
      <selection activeCell="F24" sqref="F24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4" t="s">
        <v>75</v>
      </c>
      <c r="F15" s="44" t="s">
        <v>76</v>
      </c>
      <c r="G15" s="45"/>
      <c r="H15" s="45"/>
    </row>
    <row r="16" spans="5:8" x14ac:dyDescent="0.25">
      <c r="E16" s="14" t="s">
        <v>74</v>
      </c>
      <c r="F16" s="44" t="s">
        <v>37</v>
      </c>
      <c r="G16" s="45"/>
      <c r="H16" s="45"/>
    </row>
    <row r="17" spans="1:20" x14ac:dyDescent="0.25">
      <c r="J17" s="10" t="s">
        <v>44</v>
      </c>
      <c r="K17" s="10"/>
    </row>
    <row r="18" spans="1:20" x14ac:dyDescent="0.25">
      <c r="A18" t="s">
        <v>17</v>
      </c>
      <c r="B18" t="s">
        <v>50</v>
      </c>
      <c r="C18" t="s">
        <v>35</v>
      </c>
      <c r="D18" t="s">
        <v>26</v>
      </c>
      <c r="E18" t="s">
        <v>40</v>
      </c>
      <c r="F18" t="s">
        <v>36</v>
      </c>
      <c r="G18" t="s">
        <v>38</v>
      </c>
      <c r="H18" t="s">
        <v>48</v>
      </c>
      <c r="J18" t="s">
        <v>49</v>
      </c>
      <c r="K18" t="s">
        <v>47</v>
      </c>
      <c r="L18" t="s">
        <v>18</v>
      </c>
      <c r="M18" s="2" t="s">
        <v>39</v>
      </c>
      <c r="N18" s="2" t="s">
        <v>79</v>
      </c>
      <c r="O18" t="s">
        <v>41</v>
      </c>
      <c r="P18" t="s">
        <v>43</v>
      </c>
      <c r="Q18" t="s">
        <v>42</v>
      </c>
      <c r="R18" t="s">
        <v>40</v>
      </c>
      <c r="S18" t="s">
        <v>60</v>
      </c>
      <c r="T18" t="s">
        <v>59</v>
      </c>
    </row>
    <row r="19" spans="1:20" x14ac:dyDescent="0.25">
      <c r="A19" t="s">
        <v>94</v>
      </c>
      <c r="B19" s="17">
        <v>43877.959432870368</v>
      </c>
      <c r="C19" t="s">
        <v>166</v>
      </c>
      <c r="D19" t="s">
        <v>27</v>
      </c>
      <c r="E19" t="s">
        <v>96</v>
      </c>
      <c r="F19" t="s">
        <v>192</v>
      </c>
      <c r="G19" t="s">
        <v>193</v>
      </c>
      <c r="H19" t="s">
        <v>194</v>
      </c>
      <c r="J19" t="s">
        <v>94</v>
      </c>
      <c r="K19" t="s">
        <v>104</v>
      </c>
      <c r="L19">
        <v>4</v>
      </c>
      <c r="M19" s="2">
        <v>0.50000000005820799</v>
      </c>
      <c r="N19" s="2">
        <v>1</v>
      </c>
      <c r="O19" t="s">
        <v>163</v>
      </c>
      <c r="P19" t="s">
        <v>185</v>
      </c>
      <c r="Q19" t="s">
        <v>185</v>
      </c>
      <c r="R19" t="s">
        <v>96</v>
      </c>
      <c r="S19" t="s">
        <v>186</v>
      </c>
      <c r="T19" t="s">
        <v>187</v>
      </c>
    </row>
    <row r="20" spans="1:20" x14ac:dyDescent="0.25">
      <c r="B20" s="17"/>
      <c r="J20" t="s">
        <v>98</v>
      </c>
      <c r="K20" t="s">
        <v>133</v>
      </c>
      <c r="L20">
        <v>3</v>
      </c>
      <c r="M20" s="2">
        <v>2.5002777776098801</v>
      </c>
      <c r="N20" s="2">
        <v>0.25</v>
      </c>
      <c r="O20" t="s">
        <v>164</v>
      </c>
      <c r="P20" t="s">
        <v>185</v>
      </c>
      <c r="Q20" t="s">
        <v>185</v>
      </c>
      <c r="R20" t="s">
        <v>96</v>
      </c>
      <c r="S20" t="s">
        <v>186</v>
      </c>
      <c r="T20" t="s">
        <v>187</v>
      </c>
    </row>
    <row r="21" spans="1:20" x14ac:dyDescent="0.25">
      <c r="B21" s="17"/>
      <c r="J21" t="s">
        <v>99</v>
      </c>
      <c r="K21" t="s">
        <v>135</v>
      </c>
      <c r="L21">
        <v>2</v>
      </c>
      <c r="M21" s="2">
        <v>0</v>
      </c>
      <c r="N21" s="2">
        <v>5</v>
      </c>
      <c r="O21" t="s">
        <v>188</v>
      </c>
      <c r="P21" t="s">
        <v>188</v>
      </c>
      <c r="Q21" t="s">
        <v>188</v>
      </c>
      <c r="R21" t="s">
        <v>96</v>
      </c>
      <c r="S21" t="s">
        <v>189</v>
      </c>
      <c r="T21" t="s">
        <v>190</v>
      </c>
    </row>
    <row r="22" spans="1:20" x14ac:dyDescent="0.25">
      <c r="B22" s="17"/>
      <c r="J22" t="s">
        <v>102</v>
      </c>
      <c r="K22" t="s">
        <v>106</v>
      </c>
      <c r="L22">
        <v>1</v>
      </c>
      <c r="M22" s="2">
        <v>0</v>
      </c>
      <c r="N22" s="2">
        <v>2</v>
      </c>
      <c r="O22" t="s">
        <v>165</v>
      </c>
      <c r="P22" t="s">
        <v>165</v>
      </c>
      <c r="Q22" t="s">
        <v>191</v>
      </c>
      <c r="R22" t="s">
        <v>96</v>
      </c>
      <c r="S22" t="s">
        <v>192</v>
      </c>
      <c r="T22" t="s">
        <v>193</v>
      </c>
    </row>
    <row r="23" spans="1:20" x14ac:dyDescent="0.25">
      <c r="B23" s="17"/>
      <c r="M23" s="2"/>
      <c r="N23" s="2"/>
    </row>
    <row r="24" spans="1:20" x14ac:dyDescent="0.25">
      <c r="B24" s="17"/>
      <c r="M24" s="2"/>
      <c r="N24" s="2"/>
    </row>
    <row r="25" spans="1:20" x14ac:dyDescent="0.25">
      <c r="B25" s="17"/>
      <c r="M25" s="2"/>
      <c r="N25" s="2"/>
    </row>
    <row r="26" spans="1:20" x14ac:dyDescent="0.25">
      <c r="B26" s="17"/>
      <c r="M26" s="2"/>
      <c r="N26" s="2"/>
    </row>
    <row r="27" spans="1:20" x14ac:dyDescent="0.25">
      <c r="B27" s="17"/>
    </row>
    <row r="28" spans="1:20" x14ac:dyDescent="0.25">
      <c r="B28" s="17"/>
    </row>
    <row r="29" spans="1:20" x14ac:dyDescent="0.25">
      <c r="B29" s="17"/>
    </row>
    <row r="30" spans="1:20" x14ac:dyDescent="0.25">
      <c r="B30" s="17"/>
    </row>
    <row r="31" spans="1:20" x14ac:dyDescent="0.25">
      <c r="B31" s="17"/>
    </row>
    <row r="32" spans="1:20" x14ac:dyDescent="0.25">
      <c r="B32" s="17"/>
    </row>
    <row r="33" spans="2:2" x14ac:dyDescent="0.25">
      <c r="B33" s="17"/>
    </row>
    <row r="34" spans="2:2" x14ac:dyDescent="0.25">
      <c r="B34" s="17"/>
    </row>
    <row r="35" spans="2:2" x14ac:dyDescent="0.25">
      <c r="B35" s="17"/>
    </row>
    <row r="36" spans="2:2" x14ac:dyDescent="0.25">
      <c r="B36" s="17"/>
    </row>
    <row r="37" spans="2:2" x14ac:dyDescent="0.25">
      <c r="B37" s="17"/>
    </row>
    <row r="38" spans="2:2" x14ac:dyDescent="0.25">
      <c r="B38" s="17"/>
    </row>
    <row r="39" spans="2:2" x14ac:dyDescent="0.25">
      <c r="B39" s="17"/>
    </row>
    <row r="40" spans="2:2" x14ac:dyDescent="0.25">
      <c r="B40" s="17"/>
    </row>
    <row r="41" spans="2:2" x14ac:dyDescent="0.25">
      <c r="B41" s="17"/>
    </row>
    <row r="42" spans="2:2" x14ac:dyDescent="0.25">
      <c r="B42" s="17"/>
    </row>
    <row r="43" spans="2:2" x14ac:dyDescent="0.25">
      <c r="B43" s="17"/>
    </row>
    <row r="46" spans="2:2" x14ac:dyDescent="0.25">
      <c r="B46" s="17"/>
    </row>
    <row r="47" spans="2:2" x14ac:dyDescent="0.25">
      <c r="B47" s="17"/>
    </row>
    <row r="48" spans="2:2" x14ac:dyDescent="0.25">
      <c r="B48" s="17"/>
    </row>
  </sheetData>
  <mergeCells count="2">
    <mergeCell ref="F15:H15"/>
    <mergeCell ref="F16:H16"/>
  </mergeCells>
  <conditionalFormatting sqref="D1:D1048576">
    <cfRule type="containsText" dxfId="25" priority="1" operator="containsText" text="No">
      <formula>NOT(ISERROR(SEARCH("No",D1)))</formula>
    </cfRule>
    <cfRule type="containsText" dxfId="24" priority="2" operator="containsText" text="Yes">
      <formula>NOT(ISERROR(SEARCH("Yes",D1)))</formula>
    </cfRule>
  </conditionalFormatting>
  <dataValidations count="3">
    <dataValidation type="list" allowBlank="1" showInputMessage="1" showErrorMessage="1" sqref="D19" xr:uid="{652FE7B9-644E-4188-BD13-F78B05607475}">
      <formula1>"Yes,No"</formula1>
    </dataValidation>
    <dataValidation type="list" allowBlank="1" showInputMessage="1" showErrorMessage="1" sqref="F16" xr:uid="{22838F88-98E0-41A8-86EB-92282807CFF8}">
      <formula1>"Time,Date"</formula1>
    </dataValidation>
    <dataValidation type="list" allowBlank="1" showInputMessage="1" showErrorMessage="1" sqref="F15:H15" xr:uid="{363CBBC3-CE68-4DB6-BB51-8A5DB5F8BF95}">
      <formula1>"Last, Last 100 days, All"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BEE8-49DD-4D4C-9AD7-CA9FF14FF18C}">
  <sheetPr codeName="Analysis"/>
  <dimension ref="A1:D9"/>
  <sheetViews>
    <sheetView workbookViewId="0">
      <selection activeCell="B5" sqref="B5"/>
    </sheetView>
  </sheetViews>
  <sheetFormatPr baseColWidth="10" defaultRowHeight="15" x14ac:dyDescent="0.25"/>
  <cols>
    <col min="1" max="1" width="17" customWidth="1"/>
    <col min="2" max="3" width="15.7109375" bestFit="1" customWidth="1"/>
    <col min="4" max="4" width="13.140625" bestFit="1" customWidth="1"/>
  </cols>
  <sheetData>
    <row r="1" spans="1:4" x14ac:dyDescent="0.25">
      <c r="A1" s="10" t="s">
        <v>122</v>
      </c>
    </row>
    <row r="2" spans="1:4" x14ac:dyDescent="0.25">
      <c r="A2" s="10"/>
    </row>
    <row r="3" spans="1:4" x14ac:dyDescent="0.25">
      <c r="A3" t="s">
        <v>123</v>
      </c>
      <c r="B3" s="31">
        <v>43817.077002314814</v>
      </c>
      <c r="C3" s="29"/>
      <c r="D3" s="29"/>
    </row>
    <row r="4" spans="1:4" x14ac:dyDescent="0.25">
      <c r="A4" t="s">
        <v>124</v>
      </c>
      <c r="B4" s="31">
        <v>43862</v>
      </c>
      <c r="C4" s="29"/>
      <c r="D4" s="29"/>
    </row>
    <row r="5" spans="1:4" x14ac:dyDescent="0.25">
      <c r="A5" t="s">
        <v>125</v>
      </c>
      <c r="B5" s="28" t="s">
        <v>168</v>
      </c>
      <c r="C5" s="29"/>
      <c r="D5" s="29"/>
    </row>
    <row r="6" spans="1:4" ht="27" customHeight="1" x14ac:dyDescent="0.25"/>
    <row r="8" spans="1:4" ht="15.75" thickBot="1" x14ac:dyDescent="0.3">
      <c r="A8" s="30" t="s">
        <v>127</v>
      </c>
      <c r="B8" s="30" t="s">
        <v>121</v>
      </c>
      <c r="C8" s="35" t="s">
        <v>120</v>
      </c>
      <c r="D8" s="30" t="s">
        <v>126</v>
      </c>
    </row>
    <row r="9" spans="1:4" x14ac:dyDescent="0.25">
      <c r="A9" s="32"/>
      <c r="B9" s="33"/>
      <c r="C9" s="33"/>
      <c r="D9" s="34"/>
    </row>
  </sheetData>
  <dataValidations count="1">
    <dataValidation type="list" allowBlank="1" showInputMessage="1" showErrorMessage="1" sqref="B5" xr:uid="{0E6BF5D7-2DEE-4A97-9168-EC0F3CE19C6A}">
      <formula1>"Hour,Day,Week,Month,Year,No split"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3233" r:id="rId3" name="Button 1">
              <controlPr locked="0" defaultSize="0" print="0" autoFill="0" autoPict="0" macro="[0]!Analysis.UI_BuildStl">
                <anchor moveWithCells="1">
                  <from>
                    <xdr:col>0</xdr:col>
                    <xdr:colOff>28575</xdr:colOff>
                    <xdr:row>5</xdr:row>
                    <xdr:rowOff>57150</xdr:rowOff>
                  </from>
                  <to>
                    <xdr:col>1</xdr:col>
                    <xdr:colOff>314325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896A-409E-4DCC-8496-DC386FF805F0}">
  <sheetPr codeName="Settings"/>
  <dimension ref="A1:J24"/>
  <sheetViews>
    <sheetView workbookViewId="0">
      <selection activeCell="C5" sqref="C5"/>
    </sheetView>
  </sheetViews>
  <sheetFormatPr baseColWidth="10" defaultRowHeight="15" x14ac:dyDescent="0.25"/>
  <cols>
    <col min="1" max="1" width="24.85546875" bestFit="1" customWidth="1"/>
    <col min="2" max="2" width="25.140625" bestFit="1" customWidth="1"/>
    <col min="3" max="4" width="25.140625" customWidth="1"/>
    <col min="5" max="5" width="23.7109375" bestFit="1" customWidth="1"/>
    <col min="6" max="6" width="20.28515625" bestFit="1" customWidth="1"/>
    <col min="7" max="7" width="19.42578125" bestFit="1" customWidth="1"/>
    <col min="8" max="8" width="19.7109375" bestFit="1" customWidth="1"/>
    <col min="9" max="9" width="25.85546875" bestFit="1" customWidth="1"/>
    <col min="10" max="10" width="26.140625" bestFit="1" customWidth="1"/>
  </cols>
  <sheetData>
    <row r="1" spans="1:10" x14ac:dyDescent="0.25">
      <c r="A1" s="4" t="s">
        <v>25</v>
      </c>
    </row>
    <row r="2" spans="1:10" x14ac:dyDescent="0.25">
      <c r="H2" s="27" t="s">
        <v>117</v>
      </c>
    </row>
    <row r="3" spans="1:10" x14ac:dyDescent="0.25">
      <c r="A3" t="s">
        <v>15</v>
      </c>
      <c r="B3" s="2" t="s">
        <v>61</v>
      </c>
      <c r="C3" s="2" t="s">
        <v>89</v>
      </c>
      <c r="D3" s="2" t="s">
        <v>90</v>
      </c>
      <c r="E3" s="2" t="s">
        <v>66</v>
      </c>
      <c r="F3" t="s">
        <v>63</v>
      </c>
      <c r="G3" t="s">
        <v>64</v>
      </c>
      <c r="H3" t="s">
        <v>62</v>
      </c>
      <c r="I3" t="s">
        <v>68</v>
      </c>
      <c r="J3" t="s">
        <v>67</v>
      </c>
    </row>
    <row r="4" spans="1:10" x14ac:dyDescent="0.25">
      <c r="A4" t="s">
        <v>19</v>
      </c>
      <c r="B4" s="12" t="s">
        <v>167</v>
      </c>
      <c r="C4" t="s">
        <v>179</v>
      </c>
      <c r="D4" t="s">
        <v>178</v>
      </c>
      <c r="E4" s="13" t="s">
        <v>84</v>
      </c>
      <c r="F4" s="13">
        <v>0.33333333333333331</v>
      </c>
      <c r="G4" s="13">
        <v>0.77083333333333337</v>
      </c>
      <c r="H4" t="s">
        <v>65</v>
      </c>
      <c r="I4" s="2">
        <v>0.25</v>
      </c>
      <c r="J4" s="2">
        <f>5/60</f>
        <v>8.3333333333333329E-2</v>
      </c>
    </row>
    <row r="5" spans="1:10" x14ac:dyDescent="0.25">
      <c r="B5" s="12"/>
      <c r="E5" s="13"/>
      <c r="F5" s="13"/>
      <c r="G5" s="13"/>
      <c r="I5" s="2"/>
      <c r="J5" s="2"/>
    </row>
    <row r="6" spans="1:10" x14ac:dyDescent="0.25">
      <c r="A6" t="s">
        <v>131</v>
      </c>
      <c r="B6" s="20" t="s">
        <v>128</v>
      </c>
      <c r="E6" s="13"/>
      <c r="F6" s="13"/>
      <c r="G6" s="13"/>
      <c r="I6" s="2"/>
      <c r="J6" s="2"/>
    </row>
    <row r="7" spans="1:10" x14ac:dyDescent="0.25">
      <c r="B7" s="5"/>
      <c r="C7" s="5"/>
      <c r="D7" s="5"/>
      <c r="E7" s="5"/>
    </row>
    <row r="8" spans="1:10" x14ac:dyDescent="0.25">
      <c r="A8" t="s">
        <v>80</v>
      </c>
      <c r="B8" s="20"/>
      <c r="C8" s="5"/>
      <c r="D8" s="5"/>
      <c r="E8" s="5"/>
    </row>
    <row r="9" spans="1:10" x14ac:dyDescent="0.25">
      <c r="A9" t="s">
        <v>81</v>
      </c>
      <c r="B9" s="22"/>
      <c r="C9" s="5"/>
      <c r="D9" s="5"/>
    </row>
    <row r="10" spans="1:10" x14ac:dyDescent="0.25">
      <c r="A10" t="s">
        <v>82</v>
      </c>
      <c r="B10" s="21"/>
      <c r="C10" s="5"/>
      <c r="D10" s="5"/>
      <c r="E10" s="5"/>
    </row>
    <row r="12" spans="1:10" x14ac:dyDescent="0.25">
      <c r="B12" t="s">
        <v>92</v>
      </c>
      <c r="C12" t="s">
        <v>175</v>
      </c>
    </row>
    <row r="13" spans="1:10" x14ac:dyDescent="0.25">
      <c r="B13" t="s">
        <v>91</v>
      </c>
      <c r="C13" t="s">
        <v>176</v>
      </c>
      <c r="D13" s="2"/>
      <c r="E13" s="2"/>
    </row>
    <row r="14" spans="1:10" x14ac:dyDescent="0.25">
      <c r="B14" s="2" t="s">
        <v>93</v>
      </c>
      <c r="C14" s="12" t="s">
        <v>177</v>
      </c>
    </row>
    <row r="17" spans="1:2" x14ac:dyDescent="0.25">
      <c r="A17" t="s">
        <v>85</v>
      </c>
    </row>
    <row r="24" spans="1:2" x14ac:dyDescent="0.25">
      <c r="A24" t="s">
        <v>146</v>
      </c>
      <c r="B24" s="20" t="s">
        <v>152</v>
      </c>
    </row>
  </sheetData>
  <hyperlinks>
    <hyperlink ref="A1" location="Planning!A1" display="Go back to 'Planning' sheet" xr:uid="{D2DA156D-5AF1-4194-A684-BD3896B6772A}"/>
    <hyperlink ref="C14" r:id="rId1" display="\\your.mail@provider.com\Calendar" xr:uid="{18307CDB-A2D2-4AD5-8301-7C34BF2D1214}"/>
    <hyperlink ref="B4" r:id="rId2" xr:uid="{58247CD5-8FD4-4866-8749-0EEFFDE9E7EA}"/>
  </hyperlinks>
  <pageMargins left="0.7" right="0.7" top="0.78740157499999996" bottom="0.78740157499999996" header="0.3" footer="0.3"/>
  <pageSetup paperSize="9" orientation="portrait" horizontalDpi="300" verticalDpi="0" copies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6" name="Button 1">
              <controlPr defaultSize="0" print="0" autoFill="0" autoPict="0" macro="[0]!Settings.UI_EnableEvents">
                <anchor>
                  <from>
                    <xdr:col>0</xdr:col>
                    <xdr:colOff>9525</xdr:colOff>
                    <xdr:row>15</xdr:row>
                    <xdr:rowOff>171450</xdr:rowOff>
                  </from>
                  <to>
                    <xdr:col>0</xdr:col>
                    <xdr:colOff>1638300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0" r:id="rId7" name="Button 2">
              <controlPr defaultSize="0" print="0" autoFill="0" autoPict="0" macro="[0]!Settings.UI_StoreSelectedCalendarId">
                <anchor>
                  <from>
                    <xdr:col>0</xdr:col>
                    <xdr:colOff>28575</xdr:colOff>
                    <xdr:row>9</xdr:row>
                    <xdr:rowOff>171450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1" r:id="rId8" name="Button 3">
              <controlPr defaultSize="0" print="0" autoFill="0" autoPict="0" macro="[0]!Settings.UI_ExportTasks">
                <anchor>
                  <from>
                    <xdr:col>0</xdr:col>
                    <xdr:colOff>9525</xdr:colOff>
                    <xdr:row>18</xdr:row>
                    <xdr:rowOff>171450</xdr:rowOff>
                  </from>
                  <to>
                    <xdr:col>0</xdr:col>
                    <xdr:colOff>1638300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2" r:id="rId9" name="Button 4">
              <controlPr defaultSize="0" print="0" autoFill="0" autoPict="0" macro="[0]!Settings.UI_ImportTasks">
                <anchor>
                  <from>
                    <xdr:col>0</xdr:col>
                    <xdr:colOff>9525</xdr:colOff>
                    <xdr:row>20</xdr:row>
                    <xdr:rowOff>180975</xdr:rowOff>
                  </from>
                  <to>
                    <xdr:col>0</xdr:col>
                    <xdr:colOff>1638300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A3330-3037-42AD-BA8C-09CDC3BF6EFD}">
  <sheetPr codeName="Messages"/>
  <dimension ref="A3:E4"/>
  <sheetViews>
    <sheetView workbookViewId="0">
      <selection activeCell="C10" sqref="C10"/>
    </sheetView>
  </sheetViews>
  <sheetFormatPr baseColWidth="10" defaultRowHeight="15" x14ac:dyDescent="0.25"/>
  <cols>
    <col min="1" max="1" width="14.42578125" bestFit="1" customWidth="1"/>
    <col min="2" max="2" width="15.7109375" bestFit="1" customWidth="1"/>
    <col min="3" max="3" width="46.140625" bestFit="1" customWidth="1"/>
    <col min="4" max="4" width="28.7109375" customWidth="1"/>
    <col min="5" max="5" width="10.5703125" bestFit="1" customWidth="1"/>
  </cols>
  <sheetData>
    <row r="3" spans="1:5" x14ac:dyDescent="0.25">
      <c r="A3" t="s">
        <v>147</v>
      </c>
      <c r="B3" t="s">
        <v>150</v>
      </c>
      <c r="C3" t="s">
        <v>148</v>
      </c>
      <c r="D3" t="s">
        <v>151</v>
      </c>
      <c r="E3" t="s">
        <v>149</v>
      </c>
    </row>
    <row r="4" spans="1:5" x14ac:dyDescent="0.25">
      <c r="B4" s="1"/>
    </row>
  </sheetData>
  <conditionalFormatting sqref="E4">
    <cfRule type="containsText" dxfId="23" priority="1" operator="containsText" text="Verbose">
      <formula>NOT(ISERROR(SEARCH("Verbose",E4)))</formula>
    </cfRule>
    <cfRule type="containsText" dxfId="22" priority="2" operator="containsText" text="Info">
      <formula>NOT(ISERROR(SEARCH("Info",E4)))</formula>
    </cfRule>
    <cfRule type="containsText" dxfId="21" priority="3" operator="containsText" text="Warning">
      <formula>NOT(ISERROR(SEARCH("Warning",E4)))</formula>
    </cfRule>
    <cfRule type="containsText" dxfId="20" priority="4" operator="containsText" text="Error">
      <formula>NOT(ISERROR(SEARCH("Error",E4)))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9377" r:id="rId3" name="Button 1">
              <controlPr locked="0" defaultSize="0" print="0" autoFill="0" autoPict="0" macro="[0]!Messages.UI_ClearMessages">
                <anchor mov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1</xdr:col>
                    <xdr:colOff>533400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9F9-3DF9-4BE3-AAEB-56238DADD4FD}">
  <sheetPr codeName="TaskSheetTemplate"/>
  <dimension ref="A1:M15"/>
  <sheetViews>
    <sheetView workbookViewId="0"/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97</v>
      </c>
    </row>
    <row r="3" spans="1:13" x14ac:dyDescent="0.25">
      <c r="A3" t="s">
        <v>79</v>
      </c>
      <c r="B3" s="2" t="s">
        <v>97</v>
      </c>
      <c r="C3" t="s">
        <v>4</v>
      </c>
    </row>
    <row r="4" spans="1:13" x14ac:dyDescent="0.25">
      <c r="A4" t="s">
        <v>0</v>
      </c>
      <c r="B4" s="2">
        <f>SUM(D:D)</f>
        <v>0</v>
      </c>
      <c r="C4" t="s">
        <v>4</v>
      </c>
    </row>
    <row r="5" spans="1:13" x14ac:dyDescent="0.25">
      <c r="A5" t="s">
        <v>14</v>
      </c>
      <c r="B5" s="5" t="s">
        <v>97</v>
      </c>
    </row>
    <row r="6" spans="1:13" x14ac:dyDescent="0.25">
      <c r="A6" t="s">
        <v>15</v>
      </c>
      <c r="B6" s="5" t="s">
        <v>19</v>
      </c>
    </row>
    <row r="7" spans="1:13" x14ac:dyDescent="0.25">
      <c r="A7" t="s">
        <v>1</v>
      </c>
      <c r="B7" t="s">
        <v>95</v>
      </c>
    </row>
    <row r="8" spans="1:13" x14ac:dyDescent="0.25">
      <c r="A8" t="s">
        <v>16</v>
      </c>
      <c r="B8" s="5" t="s">
        <v>97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97</v>
      </c>
    </row>
    <row r="11" spans="1:13" x14ac:dyDescent="0.25">
      <c r="A11" t="s">
        <v>5</v>
      </c>
      <c r="B11" s="2" t="e">
        <f>B3/B4</f>
        <v>#VALUE!</v>
      </c>
      <c r="C11" t="s">
        <v>6</v>
      </c>
    </row>
    <row r="12" spans="1:13" x14ac:dyDescent="0.25">
      <c r="A12" t="s">
        <v>100</v>
      </c>
    </row>
    <row r="13" spans="1:13" x14ac:dyDescent="0.25">
      <c r="A13" t="s">
        <v>101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5" t="s">
        <v>69</v>
      </c>
      <c r="K14" s="2" t="s">
        <v>70</v>
      </c>
      <c r="L14" t="s">
        <v>72</v>
      </c>
      <c r="M14" t="s">
        <v>73</v>
      </c>
    </row>
    <row r="15" spans="1:13" x14ac:dyDescent="0.25">
      <c r="B15" s="1"/>
      <c r="C15" s="1"/>
      <c r="D15" s="2">
        <f>MAX((C15-B15)*24,0)</f>
        <v>0</v>
      </c>
      <c r="J15" s="15"/>
      <c r="K15" s="2"/>
      <c r="L15" s="2">
        <f>$B$4</f>
        <v>0</v>
      </c>
      <c r="M15" s="16" t="e">
        <f>Tabelle7367[[#This Row],[EBS self time]]/Tabelle7367[[#This Row],[Total time]]</f>
        <v>#DIV/0!</v>
      </c>
    </row>
  </sheetData>
  <dataConsolidate/>
  <hyperlinks>
    <hyperlink ref="A1" location="Planning!A1" display="Go back to 'Planning' sheet" xr:uid="{5C35E298-78A1-4FAC-B197-08EC2A31BE2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97ED7-4FE0-40F8-BED7-D6C2DF3AFFA1}">
  <sheetPr codeName="VersionInfo"/>
  <dimension ref="A1:C39"/>
  <sheetViews>
    <sheetView topLeftCell="A8" workbookViewId="0">
      <selection activeCell="B14" sqref="B14"/>
    </sheetView>
  </sheetViews>
  <sheetFormatPr baseColWidth="10" defaultColWidth="11.42578125" defaultRowHeight="15" x14ac:dyDescent="0.25"/>
  <sheetData>
    <row r="1" spans="1:2" x14ac:dyDescent="0.25">
      <c r="A1" s="10" t="s">
        <v>34</v>
      </c>
    </row>
    <row r="2" spans="1:2" x14ac:dyDescent="0.25">
      <c r="A2" t="s">
        <v>20</v>
      </c>
    </row>
    <row r="3" spans="1:2" x14ac:dyDescent="0.25">
      <c r="A3" t="s">
        <v>21</v>
      </c>
    </row>
    <row r="8" spans="1:2" x14ac:dyDescent="0.25">
      <c r="A8" s="10" t="s">
        <v>153</v>
      </c>
    </row>
    <row r="9" spans="1:2" x14ac:dyDescent="0.25">
      <c r="A9" s="6" t="s">
        <v>29</v>
      </c>
    </row>
    <row r="10" spans="1:2" x14ac:dyDescent="0.25">
      <c r="B10" t="s">
        <v>154</v>
      </c>
    </row>
    <row r="11" spans="1:2" x14ac:dyDescent="0.25">
      <c r="B11" t="s">
        <v>155</v>
      </c>
    </row>
    <row r="12" spans="1:2" x14ac:dyDescent="0.25">
      <c r="B12" t="s">
        <v>158</v>
      </c>
    </row>
    <row r="13" spans="1:2" x14ac:dyDescent="0.25">
      <c r="B13" t="s">
        <v>184</v>
      </c>
    </row>
    <row r="14" spans="1:2" x14ac:dyDescent="0.25">
      <c r="A14" t="s">
        <v>32</v>
      </c>
    </row>
    <row r="15" spans="1:2" x14ac:dyDescent="0.25">
      <c r="B15" t="s">
        <v>159</v>
      </c>
    </row>
    <row r="16" spans="1:2" x14ac:dyDescent="0.25">
      <c r="A16" s="10" t="s">
        <v>156</v>
      </c>
    </row>
    <row r="17" spans="1:3" x14ac:dyDescent="0.25">
      <c r="B17" t="s">
        <v>157</v>
      </c>
    </row>
    <row r="18" spans="1:3" x14ac:dyDescent="0.25">
      <c r="A18" s="10" t="s">
        <v>112</v>
      </c>
      <c r="B18" s="10"/>
    </row>
    <row r="19" spans="1:3" x14ac:dyDescent="0.25">
      <c r="B19" t="s">
        <v>116</v>
      </c>
    </row>
    <row r="20" spans="1:3" x14ac:dyDescent="0.25">
      <c r="B20" t="s">
        <v>113</v>
      </c>
    </row>
    <row r="21" spans="1:3" x14ac:dyDescent="0.25">
      <c r="B21" t="s">
        <v>114</v>
      </c>
    </row>
    <row r="22" spans="1:3" x14ac:dyDescent="0.25">
      <c r="B22" t="s">
        <v>115</v>
      </c>
    </row>
    <row r="23" spans="1:3" x14ac:dyDescent="0.25">
      <c r="A23" s="10" t="s">
        <v>57</v>
      </c>
    </row>
    <row r="24" spans="1:3" x14ac:dyDescent="0.25">
      <c r="B24" t="s">
        <v>58</v>
      </c>
    </row>
    <row r="25" spans="1:3" x14ac:dyDescent="0.25">
      <c r="A25" s="10" t="s">
        <v>51</v>
      </c>
    </row>
    <row r="26" spans="1:3" x14ac:dyDescent="0.25">
      <c r="B26" t="s">
        <v>52</v>
      </c>
    </row>
    <row r="27" spans="1:3" x14ac:dyDescent="0.25">
      <c r="C27" t="s">
        <v>53</v>
      </c>
    </row>
    <row r="28" spans="1:3" x14ac:dyDescent="0.25">
      <c r="C28" t="s">
        <v>55</v>
      </c>
    </row>
    <row r="29" spans="1:3" x14ac:dyDescent="0.25">
      <c r="B29" t="s">
        <v>56</v>
      </c>
    </row>
    <row r="30" spans="1:3" x14ac:dyDescent="0.25">
      <c r="B30" t="s">
        <v>54</v>
      </c>
    </row>
    <row r="31" spans="1:3" x14ac:dyDescent="0.25">
      <c r="A31" s="10" t="s">
        <v>46</v>
      </c>
    </row>
    <row r="32" spans="1:3" x14ac:dyDescent="0.25">
      <c r="A32" t="s">
        <v>29</v>
      </c>
    </row>
    <row r="33" spans="1:2" x14ac:dyDescent="0.25">
      <c r="B33" t="s">
        <v>45</v>
      </c>
    </row>
    <row r="34" spans="1:2" x14ac:dyDescent="0.25">
      <c r="A34" s="10" t="s">
        <v>28</v>
      </c>
    </row>
    <row r="35" spans="1:2" x14ac:dyDescent="0.25">
      <c r="A35" t="s">
        <v>29</v>
      </c>
    </row>
    <row r="36" spans="1:2" x14ac:dyDescent="0.25">
      <c r="B36" t="s">
        <v>30</v>
      </c>
    </row>
    <row r="37" spans="1:2" x14ac:dyDescent="0.25">
      <c r="B37" t="s">
        <v>31</v>
      </c>
    </row>
    <row r="38" spans="1:2" x14ac:dyDescent="0.25">
      <c r="A38" t="s">
        <v>32</v>
      </c>
    </row>
    <row r="39" spans="1:2" x14ac:dyDescent="0.25">
      <c r="B39" t="s">
        <v>33</v>
      </c>
    </row>
  </sheetData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F6A0-D9EB-42D5-A2D3-544681983789}">
  <sheetPr codeName="EbsSheetTemplate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4" t="s">
        <v>75</v>
      </c>
      <c r="F15" s="44" t="s">
        <v>76</v>
      </c>
      <c r="G15" s="45"/>
      <c r="H15" s="45"/>
    </row>
    <row r="16" spans="5:8" x14ac:dyDescent="0.25">
      <c r="E16" s="14" t="s">
        <v>74</v>
      </c>
      <c r="F16" s="44" t="s">
        <v>37</v>
      </c>
      <c r="G16" s="45"/>
      <c r="H16" s="45"/>
    </row>
    <row r="17" spans="1:20" x14ac:dyDescent="0.25">
      <c r="J17" s="10" t="s">
        <v>44</v>
      </c>
      <c r="K17" s="10"/>
    </row>
    <row r="18" spans="1:20" x14ac:dyDescent="0.25">
      <c r="A18" t="s">
        <v>17</v>
      </c>
      <c r="B18" t="s">
        <v>50</v>
      </c>
      <c r="C18" t="s">
        <v>35</v>
      </c>
      <c r="D18" t="s">
        <v>26</v>
      </c>
      <c r="E18" t="s">
        <v>40</v>
      </c>
      <c r="F18" t="s">
        <v>36</v>
      </c>
      <c r="G18" t="s">
        <v>38</v>
      </c>
      <c r="H18" t="s">
        <v>48</v>
      </c>
      <c r="J18" t="s">
        <v>49</v>
      </c>
      <c r="K18" t="s">
        <v>47</v>
      </c>
      <c r="L18" t="s">
        <v>18</v>
      </c>
      <c r="M18" s="2" t="s">
        <v>39</v>
      </c>
      <c r="N18" s="2" t="s">
        <v>79</v>
      </c>
      <c r="O18" t="s">
        <v>41</v>
      </c>
      <c r="P18" t="s">
        <v>43</v>
      </c>
      <c r="Q18" t="s">
        <v>42</v>
      </c>
      <c r="R18" t="s">
        <v>40</v>
      </c>
      <c r="S18" t="s">
        <v>60</v>
      </c>
      <c r="T18" t="s">
        <v>59</v>
      </c>
    </row>
    <row r="19" spans="1:20" x14ac:dyDescent="0.25">
      <c r="B19" s="17"/>
      <c r="D19" t="s">
        <v>27</v>
      </c>
      <c r="M19" s="2"/>
      <c r="N19" s="2"/>
    </row>
    <row r="20" spans="1:20" x14ac:dyDescent="0.25">
      <c r="B20" s="17"/>
      <c r="M20" s="2"/>
      <c r="N20" s="2"/>
    </row>
    <row r="21" spans="1:20" x14ac:dyDescent="0.25">
      <c r="B21" s="17"/>
      <c r="M21" s="2"/>
      <c r="N21" s="2"/>
    </row>
    <row r="22" spans="1:20" x14ac:dyDescent="0.25">
      <c r="B22" s="17"/>
      <c r="M22" s="2"/>
      <c r="N22" s="2"/>
    </row>
    <row r="23" spans="1:20" x14ac:dyDescent="0.25">
      <c r="B23" s="17"/>
      <c r="M23" s="2"/>
      <c r="N23" s="2"/>
    </row>
    <row r="24" spans="1:20" x14ac:dyDescent="0.25">
      <c r="B24" s="17"/>
    </row>
    <row r="25" spans="1:20" x14ac:dyDescent="0.25">
      <c r="B25" s="17"/>
    </row>
    <row r="26" spans="1:20" x14ac:dyDescent="0.25">
      <c r="B26" s="17"/>
    </row>
    <row r="27" spans="1:20" x14ac:dyDescent="0.25">
      <c r="B27" s="17"/>
    </row>
    <row r="28" spans="1:20" x14ac:dyDescent="0.25">
      <c r="B28" s="17"/>
    </row>
    <row r="29" spans="1:20" x14ac:dyDescent="0.25">
      <c r="B29" s="17"/>
    </row>
    <row r="30" spans="1:20" x14ac:dyDescent="0.25">
      <c r="B30" s="17"/>
    </row>
    <row r="31" spans="1:20" x14ac:dyDescent="0.25">
      <c r="B31" s="17"/>
    </row>
    <row r="32" spans="1:20" x14ac:dyDescent="0.25">
      <c r="B32" s="17"/>
    </row>
    <row r="33" spans="2:2" x14ac:dyDescent="0.25">
      <c r="B33" s="17"/>
    </row>
    <row r="34" spans="2:2" x14ac:dyDescent="0.25">
      <c r="B34" s="17"/>
    </row>
    <row r="35" spans="2:2" x14ac:dyDescent="0.25">
      <c r="B35" s="17"/>
    </row>
    <row r="36" spans="2:2" x14ac:dyDescent="0.25">
      <c r="B36" s="17"/>
    </row>
    <row r="37" spans="2:2" x14ac:dyDescent="0.25">
      <c r="B37" s="17"/>
    </row>
    <row r="38" spans="2:2" x14ac:dyDescent="0.25">
      <c r="B38" s="17"/>
    </row>
    <row r="39" spans="2:2" x14ac:dyDescent="0.25">
      <c r="B39" s="17"/>
    </row>
    <row r="40" spans="2:2" x14ac:dyDescent="0.25">
      <c r="B40" s="17"/>
    </row>
    <row r="41" spans="2:2" x14ac:dyDescent="0.25">
      <c r="B41" s="17"/>
    </row>
    <row r="42" spans="2:2" x14ac:dyDescent="0.25">
      <c r="B42" s="17"/>
    </row>
    <row r="43" spans="2:2" x14ac:dyDescent="0.25">
      <c r="B43" s="17"/>
    </row>
    <row r="46" spans="2:2" x14ac:dyDescent="0.25">
      <c r="B46" s="17"/>
    </row>
    <row r="47" spans="2:2" x14ac:dyDescent="0.25">
      <c r="B47" s="17"/>
    </row>
    <row r="48" spans="2:2" x14ac:dyDescent="0.25">
      <c r="B48" s="17"/>
    </row>
  </sheetData>
  <mergeCells count="2">
    <mergeCell ref="F15:H15"/>
    <mergeCell ref="F16:H16"/>
  </mergeCells>
  <conditionalFormatting sqref="D1:D1048576">
    <cfRule type="containsText" dxfId="19" priority="1" operator="containsText" text="No">
      <formula>NOT(ISERROR(SEARCH("No",D1)))</formula>
    </cfRule>
    <cfRule type="containsText" dxfId="18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5:H15" xr:uid="{C156D5AA-E9CD-43AE-BC5E-46F4824917D4}">
      <formula1>"Last, Last 100 days, All"</formula1>
    </dataValidation>
    <dataValidation type="list" allowBlank="1" showInputMessage="1" showErrorMessage="1" sqref="F16" xr:uid="{9B7C1FF6-655C-47BB-94CA-FB747E44B0C8}">
      <formula1>"Time,Date"</formula1>
    </dataValidation>
    <dataValidation type="list" allowBlank="1" showInputMessage="1" showErrorMessage="1" sqref="D19" xr:uid="{47DDAD9F-E58D-4748-ADD1-8FCAAB5EB0BD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13</vt:i4>
      </vt:variant>
    </vt:vector>
  </HeadingPairs>
  <TitlesOfParts>
    <vt:vector size="13" baseType="lpstr">
      <vt:lpstr>VSHEET_STOR_D5D31E</vt:lpstr>
      <vt:lpstr>Planning</vt:lpstr>
      <vt:lpstr>t5C33AE2C601539DCA</vt:lpstr>
      <vt:lpstr>t86F89BCDC9F9FA3B4</vt:lpstr>
      <vt:lpstr>t429885C27F77EA728</vt:lpstr>
      <vt:lpstr>t35EBA085FF3A95514</vt:lpstr>
      <vt:lpstr>EbsSheet (Me)</vt:lpstr>
      <vt:lpstr>Analysis</vt:lpstr>
      <vt:lpstr>Settings</vt:lpstr>
      <vt:lpstr>Messages</vt:lpstr>
      <vt:lpstr>Task sheet template</vt:lpstr>
      <vt:lpstr>Version info</vt:lpstr>
      <vt:lpstr>EbsSheet template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</dc:creator>
  <cp:keywords/>
  <dc:description/>
  <cp:lastModifiedBy>Christian</cp:lastModifiedBy>
  <cp:revision/>
  <cp:lastPrinted>2019-05-10T22:09:49Z</cp:lastPrinted>
  <dcterms:created xsi:type="dcterms:W3CDTF">2019-04-11T19:18:12Z</dcterms:created>
  <dcterms:modified xsi:type="dcterms:W3CDTF">2020-02-16T22:02:02Z</dcterms:modified>
  <cp:category/>
  <cp:contentStatus/>
</cp:coreProperties>
</file>