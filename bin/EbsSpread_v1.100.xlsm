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6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drawings/drawing8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drawings/drawing9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0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7EBF5F15-9F2B-43EC-9F59-080B992E591F}" xr6:coauthVersionLast="45" xr6:coauthVersionMax="45" xr10:uidLastSave="{00000000-0000-0000-0000-000000000000}"/>
  <bookViews>
    <workbookView xWindow="-120" yWindow="-120" windowWidth="24240" windowHeight="13140" tabRatio="813" firstSheet="1" activeTab="1" xr2:uid="{DAA936AD-5BF0-425A-A8EF-49858B3BE9B8}"/>
  </bookViews>
  <sheets>
    <sheet name="VSHEET_STOR_D5D31E" sheetId="1881" state="hidden" r:id="rId1"/>
    <sheet name="Planning" sheetId="1" r:id="rId2"/>
    <sheet name="t86F89BCDC9F9FA3B4" sheetId="1927" state="hidden" r:id="rId3"/>
    <sheet name="t429885C27F77EA728" sheetId="1928" state="hidden" r:id="rId4"/>
    <sheet name="t35EBA085FF3A95514" sheetId="1929" state="hidden" r:id="rId5"/>
    <sheet name="EbsSheet (Me)" sheetId="1408" r:id="rId6"/>
    <sheet name="Analysis" sheetId="1004" r:id="rId7"/>
    <sheet name="Settings" sheetId="418" r:id="rId8"/>
    <sheet name="Messages" sheetId="1390" r:id="rId9"/>
    <sheet name="Task sheet template" sheetId="5" state="hidden" r:id="rId10"/>
    <sheet name="Version info" sheetId="3" r:id="rId11"/>
    <sheet name="EbsSheet template" sheetId="440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1929" l="1"/>
  <c r="L21" i="1929"/>
  <c r="M20" i="1929"/>
  <c r="L20" i="1929"/>
  <c r="M19" i="1929"/>
  <c r="L19" i="1929"/>
  <c r="M18" i="1929"/>
  <c r="L18" i="1929"/>
  <c r="M17" i="1929"/>
  <c r="L17" i="1929"/>
  <c r="M16" i="1929"/>
  <c r="L16" i="1929"/>
  <c r="M15" i="1929"/>
  <c r="L15" i="1929"/>
  <c r="B11" i="1929"/>
  <c r="B4" i="1929"/>
  <c r="M21" i="1928"/>
  <c r="L21" i="1928"/>
  <c r="M20" i="1928"/>
  <c r="L20" i="1928"/>
  <c r="M19" i="1928"/>
  <c r="L19" i="1928"/>
  <c r="M18" i="1928"/>
  <c r="L18" i="1928"/>
  <c r="M17" i="1928"/>
  <c r="L17" i="1928"/>
  <c r="M16" i="1928"/>
  <c r="L16" i="1928"/>
  <c r="M15" i="1928"/>
  <c r="L15" i="1928"/>
  <c r="B11" i="1928"/>
  <c r="B4" i="1928"/>
  <c r="D25" i="1927"/>
  <c r="D24" i="1927"/>
  <c r="D23" i="1927"/>
  <c r="D22" i="1927"/>
  <c r="M21" i="1927"/>
  <c r="L21" i="1927"/>
  <c r="D21" i="1927"/>
  <c r="L20" i="1927"/>
  <c r="M20" i="1927" s="1"/>
  <c r="D20" i="1927"/>
  <c r="M19" i="1927"/>
  <c r="L19" i="1927"/>
  <c r="D19" i="1927"/>
  <c r="L18" i="1927"/>
  <c r="M18" i="1927" s="1"/>
  <c r="D18" i="1927"/>
  <c r="M17" i="1927"/>
  <c r="L17" i="1927"/>
  <c r="D17" i="1927"/>
  <c r="L16" i="1927"/>
  <c r="M16" i="1927" s="1"/>
  <c r="D16" i="1927"/>
  <c r="M15" i="1927"/>
  <c r="L15" i="1927"/>
  <c r="D15" i="1927"/>
  <c r="B4" i="1927" s="1"/>
  <c r="B11" i="1927" s="1"/>
  <c r="L68" i="1881"/>
  <c r="M68" i="1881" s="1"/>
  <c r="L67" i="1881"/>
  <c r="M67" i="1881" s="1"/>
  <c r="L66" i="1881"/>
  <c r="M66" i="1881" s="1"/>
  <c r="L65" i="1881"/>
  <c r="M65" i="1881" s="1"/>
  <c r="M64" i="1881"/>
  <c r="L64" i="1881"/>
  <c r="D64" i="1881"/>
  <c r="L63" i="1881"/>
  <c r="M63" i="1881" s="1"/>
  <c r="D63" i="1881"/>
  <c r="L62" i="1881"/>
  <c r="M62" i="1881" s="1"/>
  <c r="D62" i="1881"/>
  <c r="L45" i="1881"/>
  <c r="M45" i="1881" s="1"/>
  <c r="L44" i="1881"/>
  <c r="M44" i="1881" s="1"/>
  <c r="L43" i="1881"/>
  <c r="M43" i="1881" s="1"/>
  <c r="L42" i="1881"/>
  <c r="M42" i="1881" s="1"/>
  <c r="L41" i="1881"/>
  <c r="M41" i="1881" s="1"/>
  <c r="D41" i="1881"/>
  <c r="L40" i="1881"/>
  <c r="M40" i="1881" s="1"/>
  <c r="D40" i="1881"/>
  <c r="L39" i="1881"/>
  <c r="M39" i="1881" s="1"/>
  <c r="D39" i="1881"/>
  <c r="L22" i="1881"/>
  <c r="M22" i="1881" s="1"/>
  <c r="L21" i="1881"/>
  <c r="M21" i="1881" s="1"/>
  <c r="L20" i="1881"/>
  <c r="M20" i="1881" s="1"/>
  <c r="L19" i="1881"/>
  <c r="M19" i="1881" s="1"/>
  <c r="L18" i="1881"/>
  <c r="M18" i="1881" s="1"/>
  <c r="L17" i="1881"/>
  <c r="M17" i="1881" s="1"/>
  <c r="D17" i="1881"/>
  <c r="L16" i="1881"/>
  <c r="M16" i="1881" s="1"/>
  <c r="D16" i="1881"/>
  <c r="B51" i="1881" l="1"/>
  <c r="B58" i="1881" s="1"/>
  <c r="B28" i="1881"/>
  <c r="B35" i="1881" s="1"/>
  <c r="B5" i="1881"/>
  <c r="B12" i="1881" s="1"/>
  <c r="J4" i="418"/>
  <c r="D15" i="5" l="1"/>
  <c r="B4" i="5" s="1"/>
  <c r="L15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tc={D9E72933-13B7-436C-80C5-C0A9531E86AE}</author>
  </authors>
  <commentList>
    <comment ref="P18" authorId="0" shapeId="0" xr:uid="{D9E72933-13B7-436C-80C5-C0A9531E86A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<sst xmlns="http://schemas.openxmlformats.org/spreadsheetml/2006/main" count="603" uniqueCount="199">
  <si>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</si>
  <si>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</si>
  <si>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</si>
  <si>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</si>
  <si>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</si>
  <si>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</si>
  <si>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</si>
  <si>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</si>
  <si>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</si>
  <si>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</si>
  <si>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</si>
  <si>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</si>
  <si>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</si>
  <si>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</si>
  <si>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</si>
  <si>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</si>
  <si>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</si>
  <si>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</si>
  <si>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</si>
  <si>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</si>
  <si>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</si>
  <si>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</si>
  <si>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</si>
  <si>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</si>
  <si>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</si>
  <si>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</si>
  <si>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</si>
  <si>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</si>
  <si>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</si>
  <si>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</si>
  <si>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</si>
  <si>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</si>
  <si>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</si>
  <si>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</si>
  <si>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</si>
  <si>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</si>
  <si>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</si>
  <si>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</si>
  <si>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</si>
  <si>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</si>
  <si>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</si>
  <si>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</si>
  <si>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</si>
  <si>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</si>
  <si>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</si>
  <si>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</si>
  <si>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</si>
  <si>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</si>
  <si>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</si>
  <si>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</si>
  <si>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</si>
  <si>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</si>
  <si>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</si>
  <si>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</si>
  <si>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</si>
  <si>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</si>
  <si>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</si>
  <si>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</si>
  <si>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</si>
  <si>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</si>
  <si>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</si>
  <si>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</si>
  <si>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</si>
  <si>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</si>
  <si>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</si>
  <si>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</si>
  <si>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</si>
  <si>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</si>
  <si>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</si>
  <si>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</si>
  <si>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</si>
  <si>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</si>
  <si>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</si>
  <si>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</si>
  <si>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</si>
  <si>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</si>
  <si>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</si>
  <si>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</si>
  <si>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</si>
  <si>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</si>
  <si>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</si>
  <si>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</si>
  <si>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</si>
  <si>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</si>
  <si>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</si>
  <si>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</si>
  <si>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</si>
  <si>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</si>
  <si>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</si>
  <si>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</si>
  <si>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</si>
  <si>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</si>
  <si>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</si>
  <si>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</si>
  <si>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</si>
  <si>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</si>
  <si>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</si>
  <si>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</si>
  <si>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</si>
  <si>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</si>
  <si>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%Tag * HEADERS</t>
  </si>
  <si>
    <t>%Tag * VALUES</t>
  </si>
  <si>
    <t>#000004</t>
  </si>
  <si>
    <t>#000005</t>
  </si>
  <si>
    <t>t5C33AE2C601539DCA</t>
  </si>
  <si>
    <t>Buy soy sauce</t>
  </si>
  <si>
    <t>t35EBA085FF3A95514</t>
  </si>
  <si>
    <t>tD63F7F4494CABA67B</t>
  </si>
  <si>
    <t>Take bags</t>
  </si>
  <si>
    <t>SetPlainDelta()</t>
  </si>
  <si>
    <t>SetCalendarDelta()</t>
  </si>
  <si>
    <t>Done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</si>
  <si>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</si>
  <si>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</si>
  <si>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</si>
  <si>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</si>
  <si>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</si>
  <si>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</si>
  <si>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</si>
  <si>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</si>
  <si>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</si>
  <si>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</si>
  <si>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</si>
  <si>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</si>
  <si>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</si>
  <si>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</si>
  <si>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</si>
  <si>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</si>
  <si>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</si>
  <si>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#000011</t>
  </si>
  <si>
    <t>#000012</t>
  </si>
  <si>
    <t>FirstDayOfWeek</t>
  </si>
  <si>
    <t>In progress</t>
  </si>
  <si>
    <t>t86F89BCDC9F9FA3B4</t>
  </si>
  <si>
    <t>Buy pineapples</t>
  </si>
  <si>
    <t>t429885C27F77EA728</t>
  </si>
  <si>
    <t>Buy strawberries</t>
  </si>
  <si>
    <t>fruit</t>
  </si>
  <si>
    <t>important</t>
  </si>
  <si>
    <t>preparation</t>
  </si>
  <si>
    <t>food</t>
  </si>
  <si>
    <t>non food</t>
  </si>
  <si>
    <t>{%Tag 3}</t>
  </si>
  <si>
    <t>{non food}</t>
  </si>
  <si>
    <t>d</t>
  </si>
  <si>
    <t>{%Tag 2;%Tag 3}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</si>
  <si>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</si>
  <si>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</si>
  <si>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</si>
  <si>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</si>
  <si>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</si>
  <si>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</si>
  <si>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</si>
  <si>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</si>
  <si>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</si>
  <si>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</si>
  <si>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</si>
  <si>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</si>
  <si>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</si>
  <si>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VIRTUAL_SHEET_NAME</t>
  </si>
  <si>
    <t>VIRTUAL_SHEET_RANGE_ROWS</t>
  </si>
  <si>
    <t>VIRTUAL_SHEET_RANGE_COLS</t>
  </si>
  <si>
    <t>\\your.mail@provider.com\Calendar</t>
  </si>
  <si>
    <t>Hour</t>
  </si>
  <si>
    <t>{%Tag 1;%Tag 3}</t>
  </si>
  <si>
    <t>{important;preparation}</t>
  </si>
  <si>
    <t>{food}</t>
  </si>
  <si>
    <t>#000008</t>
  </si>
  <si>
    <t>#000009</t>
  </si>
  <si>
    <t>#000010</t>
  </si>
  <si>
    <t>Take two</t>
  </si>
  <si>
    <t>Have a chat with the store owner</t>
  </si>
  <si>
    <t>Pineapples are well hidden</t>
  </si>
  <si>
    <t>{fruit;food}</t>
  </si>
  <si>
    <t>Add DoEvents for long-running operations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</si>
  <si>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</si>
  <si>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0000000038A1BB1005E4101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</si>
  <si>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00000000F593AB5CD854614C8B1EC1E4C84EFB870100D67807C5E37E4B47A653892DF42F73BD00000000010D0000</t>
  </si>
  <si>
    <t xml:space="preserve"> (imported)</t>
  </si>
  <si>
    <t>tB92783494E9E917FB</t>
  </si>
  <si>
    <t>#000013</t>
  </si>
  <si>
    <t>Take umbrella</t>
  </si>
  <si>
    <t>{preparation}</t>
  </si>
  <si>
    <t>{0,500;0,500;1,500;1,500;0,500;1,500;0,500;0,500;1,500;1,500;0,500;1,500;1,500;1,500;1,500;1,500;1,500;1,500;0,500;0,500;1,500;0,500;0,500;1,500;0,500;1,500;0,500;0,500;1,500;1,500;1,500;0,500;1,500;1,500;0,500;1,500;0,500;0,500;0,500;0,500;0,500;1,500;0,500;0,500;0,500;1,500;0,500;0,500;0,500;1,500}</t>
  </si>
  <si>
    <t>{0,000;0,000;1,000;1,000;0,000;1,000;0,000;0,000;1,000;1,000;0,000;1,000;1,000;1,000;1,000;1,000;1,000;1,000;0,000;0,000;1,000;0,000;0,000;1,000;0,000;1,000;0,000;0,000;1,000;1,000;1,000;0,000;1,000;1,000;0,000;1,000;0,000;0,000;0,000;0,000;0,000;1,000;0,000;0,000;0,000;1,000;0,000;0,000;0,000;1,000}</t>
  </si>
  <si>
    <t>{0,000;0,000;0,000;0,250;1,000;1,000;1,000}</t>
  </si>
  <si>
    <t>{17/02/2020 08:00:00;17/02/2020 08:00:00;17/02/2020 08:00:00;17/02/2020 08:15:00;17/02/2020 09:00:00;17/02/2020 09:00:00;17/02/2020 09:00:00}</t>
  </si>
  <si>
    <t>{0,125;0,125;0,125;0,125;0,375;0,375;0,375;0,375;0,375;0,375;0,375;0,375;0,125;0,125;0,125;0,375;0,375;0,375;0,375;0,125;0,375;0,125;0,125;0,375;0,375;0,125;0,375;0,375;0,125;0,125;0,375;0,375;0,375;0,125;0,375;0,125;0,125;0,375;0,375;0,375;0,375;0,375;0,125;0,375;0,375;0,375;0,125;0,125;0,375;0,375}</t>
  </si>
  <si>
    <t>{2,500;2,500;2,500;2,500;7,500;2,500;2,500;2,500;2,500;7,500;7,500;2,500;2,500;7,500;2,500;2,500;7,500;2,500;2,500;2,500;2,500;2,500;2,500;7,500;7,500;7,500;7,500;7,500;7,500;2,500;2,500;2,500;2,500;7,500;7,500;7,500;2,500;2,500;2,500;2,500;2,500;2,500;2,500;2,500;7,500;2,500;7,500;7,500;2,500;2,500}</t>
  </si>
  <si>
    <t>{2,500;2,500;3,500;3,500;7,500;3,500;2,500;2,500;3,500;8,500;7,500;3,500;3,500;8,500;3,500;3,500;8,500;3,500;2,500;2,500;3,500;2,500;2,500;8,500;7,500;8,500;7,500;7,500;8,500;3,500;3,500;2,500;3,500;8,500;7,500;8,500;2,500;2,500;2,500;2,500;2,500;3,500;2,500;2,500;7,500;3,500;7,500;7,500;2,500;3,500}</t>
  </si>
  <si>
    <t>{2,500;2,500;3,500;3,500;5,200;7,500;8,500}</t>
  </si>
  <si>
    <t>{17/02/2020 10:30:00;17/02/2020 10:30:00;17/02/2020 11:30:00;17/02/2020 11:30:00;17/02/2020 13:12:00;17/02/2020 15:30:00;17/02/2020 16:30:00}</t>
  </si>
  <si>
    <t>{3,000;1,000;3,000;1,000;3,000;1,000;3,000;1,000;1,000;1,000;3,000;1,000;3,000;1,000;3,000;3,000;3,000;3,000;1,000;3,000;3,000;3,000;3,000;1,000;1,000;3,000;3,000;1,000;3,000;3,000;1,000;3,000;3,000;1,000;1,000;1,000;3,000;1,000;1,000;3,000;3,000;1,000;1,000;3,000;1,000;1,000;1,000;3,000;1,000;3,000}</t>
  </si>
  <si>
    <t>{5,500;3,500;6,500;4,500;10,500;4,500;5,500;3,500;4,500;9,500;10,500;4,500;6,500;9,500;6,500;6,500;11,500;6,500;3,500;5,500;6,500;5,500;5,500;9,500;8,500;11,500;10,500;8,500;11,500;6,500;4,500;5,500;6,500;9,500;8,500;9,500;5,500;3,500;3,500;5,500;5,500;4,500;3,500;5,500;8,500;4,500;8,500;10,500;3,500;6,500}</t>
  </si>
  <si>
    <t>{3,500;4,500;5,500;6,500;7,350;9,500;10,775}</t>
  </si>
  <si>
    <t>{17/02/2020 11:30:00;17/02/2020 12:30:00;17/02/2020 13:30:00;17/02/2020 14:30:00;17/02/2020 15:21:00;17/02/2020 17:30:00;18/02/2020 08:16:30}</t>
  </si>
  <si>
    <t>e4238E87A08B3DCE91</t>
  </si>
  <si>
    <t>{0,667;2,000}</t>
  </si>
  <si>
    <t>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</si>
</sst>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10" borderId="0" xfId="2" applyFont="1" applyFill="1"/>
    <xf numFmtId="22" fontId="0" fillId="0" borderId="0" xfId="0" applyNumberForma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10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16/02/2020 23:14:37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43A-4E07-BD2F-8421F61C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3.5</c:v>
              </c:pt>
              <c:pt idx="1">
                <c:v>3.5</c:v>
              </c:pt>
              <c:pt idx="2">
                <c:v>3.5</c:v>
              </c:pt>
              <c:pt idx="3">
                <c:v>3.5</c:v>
              </c:pt>
              <c:pt idx="4">
                <c:v>3.5</c:v>
              </c:pt>
              <c:pt idx="5">
                <c:v>3.5</c:v>
              </c:pt>
              <c:pt idx="6">
                <c:v>3.5</c:v>
              </c:pt>
              <c:pt idx="7">
                <c:v>4.5</c:v>
              </c:pt>
              <c:pt idx="8">
                <c:v>4.5</c:v>
              </c:pt>
              <c:pt idx="9">
                <c:v>4.5</c:v>
              </c:pt>
              <c:pt idx="10">
                <c:v>4.5</c:v>
              </c:pt>
              <c:pt idx="11">
                <c:v>4.5</c:v>
              </c:pt>
              <c:pt idx="12">
                <c:v>4.5</c:v>
              </c:pt>
              <c:pt idx="13">
                <c:v>4.5</c:v>
              </c:pt>
              <c:pt idx="14">
                <c:v>5.5</c:v>
              </c:pt>
              <c:pt idx="15">
                <c:v>5.5</c:v>
              </c:pt>
              <c:pt idx="16">
                <c:v>5.5</c:v>
              </c:pt>
              <c:pt idx="17">
                <c:v>5.5</c:v>
              </c:pt>
              <c:pt idx="18">
                <c:v>5.5</c:v>
              </c:pt>
              <c:pt idx="19">
                <c:v>5.5</c:v>
              </c:pt>
              <c:pt idx="20">
                <c:v>5.5</c:v>
              </c:pt>
              <c:pt idx="21">
                <c:v>5.5</c:v>
              </c:pt>
              <c:pt idx="22">
                <c:v>5.5</c:v>
              </c:pt>
              <c:pt idx="23">
                <c:v>5.5</c:v>
              </c:pt>
              <c:pt idx="24">
                <c:v>6.5</c:v>
              </c:pt>
              <c:pt idx="25">
                <c:v>6.5</c:v>
              </c:pt>
              <c:pt idx="26">
                <c:v>6.5</c:v>
              </c:pt>
              <c:pt idx="27">
                <c:v>6.5</c:v>
              </c:pt>
              <c:pt idx="28">
                <c:v>6.5</c:v>
              </c:pt>
              <c:pt idx="29">
                <c:v>6.5</c:v>
              </c:pt>
              <c:pt idx="30">
                <c:v>6.5</c:v>
              </c:pt>
              <c:pt idx="31">
                <c:v>6.5</c:v>
              </c:pt>
              <c:pt idx="32">
                <c:v>6.5</c:v>
              </c:pt>
              <c:pt idx="33">
                <c:v>8.5</c:v>
              </c:pt>
              <c:pt idx="34">
                <c:v>8.5</c:v>
              </c:pt>
              <c:pt idx="35">
                <c:v>8.5</c:v>
              </c:pt>
              <c:pt idx="36">
                <c:v>8.5</c:v>
              </c:pt>
              <c:pt idx="37">
                <c:v>8.5</c:v>
              </c:pt>
              <c:pt idx="38">
                <c:v>9.5</c:v>
              </c:pt>
              <c:pt idx="39">
                <c:v>9.5</c:v>
              </c:pt>
              <c:pt idx="40">
                <c:v>9.5</c:v>
              </c:pt>
              <c:pt idx="41">
                <c:v>9.5</c:v>
              </c:pt>
              <c:pt idx="42">
                <c:v>9.5</c:v>
              </c:pt>
              <c:pt idx="43">
                <c:v>10.5</c:v>
              </c:pt>
              <c:pt idx="44">
                <c:v>10.5</c:v>
              </c:pt>
              <c:pt idx="45">
                <c:v>10.5</c:v>
              </c:pt>
              <c:pt idx="46">
                <c:v>10.5</c:v>
              </c:pt>
              <c:pt idx="47">
                <c:v>11.5</c:v>
              </c:pt>
              <c:pt idx="48">
                <c:v>11.5</c:v>
              </c:pt>
              <c:pt idx="49">
                <c:v>11.5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F4B-4590-9A3D-F30B321167A3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3.5</c:v>
              </c:pt>
              <c:pt idx="1">
                <c:v>4.5</c:v>
              </c:pt>
              <c:pt idx="2">
                <c:v>5.5</c:v>
              </c:pt>
              <c:pt idx="3">
                <c:v>6.5</c:v>
              </c:pt>
              <c:pt idx="4">
                <c:v>7.35</c:v>
              </c:pt>
              <c:pt idx="5">
                <c:v>9.5</c:v>
              </c:pt>
              <c:pt idx="6">
                <c:v>10.775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F4B-4590-9A3D-F30B32116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238125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161925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76200</xdr:rowOff>
        </xdr:from>
        <xdr:to>
          <xdr:col>8</xdr:col>
          <xdr:colOff>9525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333375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66675</xdr:rowOff>
        </xdr:from>
        <xdr:to>
          <xdr:col>9</xdr:col>
          <xdr:colOff>781050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333375</xdr:rowOff>
        </xdr:from>
        <xdr:to>
          <xdr:col>9</xdr:col>
          <xdr:colOff>781050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9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161925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590550</xdr:rowOff>
        </xdr:from>
        <xdr:to>
          <xdr:col>8</xdr:col>
          <xdr:colOff>9525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59DBF68-35CC-432F-92BD-3CBA47BB9E8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A5FBD5-74C7-47DC-9E5E-525D62A89EB1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236350-E0D9-4CA2-BDED-2C8F0CFC5F2C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3443040-ADD7-4CFB-A9F9-FFC50CDAC2CB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B178018-BF24-40BF-84FC-3DABBA5310BF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3EC972E-6CD2-4FB2-B028-D76D72826308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0" xr:uid="{B8B50119-6414-469F-9FCE-299021F1BBA1}" name="TimeEntries217355162621395673991091291391591691891992192292492592792893093193393493693793994098214151738310311313314316317319320322323325326382141518235164165183203223315681105163181193211223241253285337381399417429461521533593607627639657669687699711281" displayName="TimeEntries217355162621395673991091291391591691891992192292492592792893093193393493693793994098214151738310311313314316317319320322323325326382141518235164165183203223315681105163181193211223241253285337381399417429461521533593607627639657669687699711281" ref="A15:G17" totalsRowShown="0">
  <autoFilter ref="A15:G17" xr:uid="{F1ED0A16-608F-47A9-B61B-C97B6C69BEB1}"/>
  <tableColumns count="7">
    <tableColumn id="1" xr3:uid="{3EE94005-15F8-436E-8D82-5CC0050A3554}" name="Time entry no."/>
    <tableColumn id="2" xr3:uid="{ADC18D89-A929-492E-83CC-7671C2DDB435}" name="Start time" dataDxfId="60"/>
    <tableColumn id="3" xr3:uid="{DA6CE89F-9D11-46DA-9C81-0A179D820A3F}" name="End time" dataDxfId="59"/>
    <tableColumn id="4" xr3:uid="{B6DB080F-F105-43FF-9F9D-4109CA53265C}" name="Time delta in h" dataDxfId="58">
      <calculatedColumnFormula>MAX((C16-B16)*24,0)</calculatedColumnFormula>
    </tableColumn>
    <tableColumn id="5" xr3:uid="{A2437AFD-AABD-474D-B549-E8D0AA4772D5}" name="Indicator"/>
    <tableColumn id="6" xr3:uid="{84919393-153F-4963-92F8-5A2481993EC7}" name="Action1" dataDxfId="57" dataCellStyle="Link"/>
    <tableColumn id="7" xr3:uid="{01AE66E7-4013-4CC6-B4B1-D733AE2CDEB6}" name="Action2" dataDxfId="56" dataCellStyle="Link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1" xr:uid="{784A76A6-77DC-4E6E-A062-E355F2F0F3D1}" name="Tabelle7367518365263722405774100110130140160170190200220230250260280290310320340350370380400410922425274841041141341441641741942042242342542649224252924526516618420422432578210616418219421222424225428633838240041843046252253459460862864065867068870071282" displayName="Tabelle7367518365263722405774100110130140160170190200220230250260280290310320340350370380400410922425274841041141341441641741942042242342542649224252924526516618420422432578210616418219421222424225428633838240041843046252253459460862864065867068870071282" ref="I15:M22" totalsRowShown="0">
  <autoFilter ref="I15:M22" xr:uid="{67D471DF-8C72-4F02-B079-14837BC2B77F}"/>
  <tableColumns count="5">
    <tableColumn id="1" xr3:uid="{8633F5BB-C488-4B0C-B4E4-9D806247982E}" name="Comparison entry no."/>
    <tableColumn id="2" xr3:uid="{0F0C5936-9526-4D33-9E6B-E4CEBC8E78BE}" name="Propability Support point" dataDxfId="55"/>
    <tableColumn id="3" xr3:uid="{9C6C762A-309E-4D8B-8CC4-1C33FC59C206}" name="EBS self time" dataDxfId="54"/>
    <tableColumn id="4" xr3:uid="{E525576D-2A57-49D2-B819-BD836D8BEC3B}" name="Total time">
      <calculatedColumnFormula>#REF!</calculatedColumnFormula>
    </tableColumn>
    <tableColumn id="5" xr3:uid="{B6955D25-1361-47E7-8085-BF0596897864}" name="Total time / Your estimate" dataDxfId="53">
      <calculatedColumnFormula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CCEB723F-1859-4DBD-B210-F876ADDBE2B1}" name="TimeEntries2137516995105125135139157199217229247271283" displayName="TimeEntries2137516995105125135139157199217229247271283" ref="A38:G41" totalsRowShown="0">
  <autoFilter ref="A38:G41" xr:uid="{1BDE58CA-B518-4720-840E-CCAC8389286E}"/>
  <tableColumns count="7">
    <tableColumn id="1" xr3:uid="{1937E99F-DE47-42B2-A6DC-255E246ED9DE}" name="Time entry no."/>
    <tableColumn id="2" xr3:uid="{9C66529F-9BDF-4DC2-AE40-BEE88F9A0646}" name="Start time" dataDxfId="52"/>
    <tableColumn id="3" xr3:uid="{5C31D4B8-09F1-45D5-A101-24AE7491EDA1}" name="End time" dataDxfId="51"/>
    <tableColumn id="4" xr3:uid="{7F149FC7-F703-4534-B638-B3562BD98453}" name="Time delta in h" dataDxfId="50">
      <calculatedColumnFormula>MAX((C39-B39)*24,0)</calculatedColumnFormula>
    </tableColumn>
    <tableColumn id="5" xr3:uid="{F8B75001-10A3-41A0-9268-6E21911FA1FD}" name="Indicator"/>
    <tableColumn id="6" xr3:uid="{BBC006A0-2F6F-4EFF-A2F7-36DEC18D2461}" name="Action1" dataDxfId="49" dataCellStyle="Link"/>
    <tableColumn id="7" xr3:uid="{7AB3D0B6-CB1C-43D8-B1BD-2FFC2632D6F6}" name="Action2" dataDxfId="48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3" xr:uid="{E39CCE31-139C-4852-9E6B-5B33FF02E011}" name="Tabelle73672238527096106126136140158200218230248272284" displayName="Tabelle73672238527096106126136140158200218230248272284" ref="I38:M45" totalsRowShown="0">
  <autoFilter ref="I38:M45" xr:uid="{19FD329B-420D-448E-9FB8-504B788B3E8F}"/>
  <tableColumns count="5">
    <tableColumn id="1" xr3:uid="{149355FD-ED1E-4F02-B9A1-954D793D5BDA}" name="Comparison entry no."/>
    <tableColumn id="2" xr3:uid="{B1021C03-4796-42EF-A612-78DA0A93F045}" name="Propability Support point" dataDxfId="47"/>
    <tableColumn id="3" xr3:uid="{3777A342-615E-4027-88E9-97F8BB35A564}" name="EBS self time" dataDxfId="46"/>
    <tableColumn id="4" xr3:uid="{C52BF4FF-A960-48C5-9990-A1B93B77CE60}" name="Total time">
      <calculatedColumnFormula>#REF!</calculatedColumnFormula>
    </tableColumn>
    <tableColumn id="5" xr3:uid="{88141416-71B6-4CA8-8D76-B4D8DCA7D167}" name="Total time / Your estimate" dataDxfId="45">
      <calculatedColumnFormula>Tabelle73672238527096106126136140158200218230248272284[[#This Row],[EBS self time]]/Tabelle73672238527096106126136140158200218230248272284[[#This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4" xr:uid="{E8421FE5-2E4E-48DC-B6A9-203AB8978B1B}" name="TimeEntries152539537113294364779110511713314716317719320722323725326728329731332734335737338740341715294560779110712113715116718119721122724125727115374964192756699116918520922537588710716718319721322724325928735538340341943546355156359760963164166161285" displayName="TimeEntries152539537113294364779110511713314716317719320722323725326728329731332734335737338740341715294560779110712113715116718119721122724125727115374964192756699116918520922537588710716718319721322724325928735538340341943546355156359760963164166161285" ref="A61:G64" totalsRowShown="0">
  <autoFilter ref="A61:G64" xr:uid="{6BA569D3-AF53-43CB-B06B-FFBA0977076B}"/>
  <tableColumns count="7">
    <tableColumn id="1" xr3:uid="{7FD764ED-0A7F-4BFD-A4BD-341AAA59150F}" name="Time entry no."/>
    <tableColumn id="2" xr3:uid="{7C5DAFDB-6485-4687-8400-0642A06F60FA}" name="Start time" dataDxfId="44"/>
    <tableColumn id="3" xr3:uid="{4918D229-79CC-4EDD-BA8B-7362B04EF6D1}" name="End time" dataDxfId="43"/>
    <tableColumn id="4" xr3:uid="{DEF3F6F9-EE21-40FF-92E3-0D22D571A55E}" name="Time delta in h" dataDxfId="42">
      <calculatedColumnFormula>MAX((C62-B62)*24,0)</calculatedColumnFormula>
    </tableColumn>
    <tableColumn id="5" xr3:uid="{F243BEC4-5B22-43D2-8EE4-B2AE539FA4AE}" name="Indicator"/>
    <tableColumn id="6" xr3:uid="{A960BC62-0B56-488F-B26D-55C358384389}" name="Action1" dataDxfId="41" dataCellStyle="Link"/>
    <tableColumn id="7" xr3:uid="{27CDF0B0-EED5-46BB-A101-D09FC0F71AA1}" name="Action2" dataDxfId="40" dataCellStyle="Link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5" xr:uid="{C4BB37C4-C1E9-41A1-8C0D-4ADCE85EDCDF}" name="Tabelle7367162840547214304465789210611813414816417819420822423825426828429831432834435837438840441816304661789210812213815216818219821222824225827216385065202857709217018621022638598810816818419821422824426028835638440442043646455256459861063264266261286" displayName="Tabelle7367162840547214304465789210611813414816417819420822423825426828429831432834435837438840441816304661789210812213815216818219821222824225827216385065202857709217018621022638598810816818419821422824426028835638440442043646455256459861063264266261286" ref="I61:M68" totalsRowShown="0">
  <autoFilter ref="I61:M68" xr:uid="{5DEEDF30-0A72-47DE-842A-07C39B0402BD}"/>
  <tableColumns count="5">
    <tableColumn id="1" xr3:uid="{344903D5-DB3C-4CFA-B269-6C4C6763F2B8}" name="Comparison entry no."/>
    <tableColumn id="2" xr3:uid="{31056468-0D4F-4152-B587-D42A2F234E51}" name="Propability Support point" dataDxfId="39"/>
    <tableColumn id="3" xr3:uid="{3BBF4CAD-E924-4D0A-93DF-961014C6F2E3}" name="EBS self time" dataDxfId="38"/>
    <tableColumn id="4" xr3:uid="{5974D27C-3E5A-4D1D-AF40-7022D7D0AA37}" name="Total time">
      <calculatedColumnFormula>#REF!</calculatedColumnFormula>
    </tableColumn>
    <tableColumn id="5" xr3:uid="{95ECAF3E-C861-4C46-A356-D4AE12B5FA4B}" name="Total time / Your estimate" dataDxfId="37">
      <calculatedColumnFormula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9" totalsRowShown="0" dataDxfId="61">
  <autoFilter ref="A3:Q9" xr:uid="{520F3973-795E-47E6-97CD-1C1265CA838A}"/>
  <sortState xmlns:xlrd2="http://schemas.microsoft.com/office/spreadsheetml/2017/richdata2" ref="A4:Q9">
    <sortCondition descending="1" ref="P3:P9"/>
  </sortState>
  <tableColumns count="17">
    <tableColumn id="1" xr3:uid="{78BB2EF9-C626-4B0D-94B3-1781BE57C67F}" name="Task no." dataDxfId="78" dataCellStyle="Standard"/>
    <tableColumn id="3" xr3:uid="{3AD21368-826B-4507-A159-BE8BE5B02C1F}" name="Indicator" dataDxfId="77" dataCellStyle="Spaltenebene_1"/>
    <tableColumn id="2" xr3:uid="{C139B307-7150-4838-B1FD-482AAB7B1208}" name="Task name" dataDxfId="76" dataCellStyle="Link"/>
    <tableColumn id="18" xr3:uid="{3B298737-E571-4F23-9C71-2BC3C2385355}" name="Comment" dataDxfId="75" dataCellStyle="Link"/>
    <tableColumn id="4" xr3:uid="{E2EAEAF6-33EC-4D8C-B42E-C249C36E3D3C}" name="%Tag 1" dataDxfId="74" dataCellStyle="Standard"/>
    <tableColumn id="5" xr3:uid="{1E4EAD98-8B30-4F09-AA64-D7613D00651F}" name="%Tag 2" dataDxfId="73" dataCellStyle="Standard"/>
    <tableColumn id="6" xr3:uid="{9E1E50BB-6DA2-47A1-BB20-8C9FAC4B0DB5}" name="%Tag 3" dataDxfId="72" dataCellStyle="Standard"/>
    <tableColumn id="10" xr3:uid="{85CEF83B-6217-49AE-8974-E4D5953E2637}" name="Kanban list" dataDxfId="71" dataCellStyle="Standard"/>
    <tableColumn id="11" xr3:uid="{E542542F-D34F-488A-95AF-76A724785E5A}" name="User time estimate" dataDxfId="70" dataCellStyle="Standard"/>
    <tableColumn id="12" xr3:uid="{7DA005F8-D924-4031-B65E-6C6F60E3212D}" name="Total time" dataDxfId="69" dataCellStyle="Standard"/>
    <tableColumn id="16" xr3:uid="{209AEE68-BDAE-4E8C-BCF6-6EEA4F9A7FDE}" name="Finished on" dataDxfId="68" dataCellStyle="Standard"/>
    <tableColumn id="8" xr3:uid="{727785B7-29B9-493D-A20B-C319B38E1DF3}" name="EBS 50% time" dataDxfId="67" dataCellStyle="Standard"/>
    <tableColumn id="9" xr3:uid="{B12BA9B8-3C81-408C-AFE4-25993FD8491D}" name="EBS 50% date" dataDxfId="66" dataCellStyle="Standard"/>
    <tableColumn id="20" xr3:uid="{DAE27A09-2EB0-4A47-A9F0-48ED802D8570}" name="Due date" dataDxfId="65" dataCellStyle="Spaltenebene_1"/>
    <tableColumn id="19" xr3:uid="{7A8CB495-6AE9-4A1E-AC5B-8B6487C84135}" name="Contributor" dataDxfId="64" dataCellStyle="Standard"/>
    <tableColumn id="17" xr3:uid="{EF767A93-0B38-4A66-A27B-92321C0E655C}" name="Priority" dataDxfId="63" dataCellStyle="Standard"/>
    <tableColumn id="15" xr3:uid="{2ADBC76B-EB88-4BCD-8956-7B4B22C5A3D4}" name="tHASH" dataDxfId="62" dataCellStyle="Standard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8" xr:uid="{F995E9A6-51D3-4FC4-A4DE-E6563F44E890}" name="TimeEntries821435675153345697995107121135151165181195211225241255271285301315331345361375391405421173347647995109125139155169185199215229245259275172945561533587593173187215227436093109171185201215231245265289319321361385407421441465555565601611615631289" displayName="TimeEntries821435675153345697995107121135151165181195211225241255271285301315331345361375391405421173347647995109125139155169185199215229245259275172945561533587593173187215227436093109171185201215231245265289319321361385407421441465555565601611615631289" ref="A14:G25" totalsRowShown="0">
  <autoFilter ref="A14:G25" xr:uid="{F671890B-300B-4342-9772-78A527AD1E7D}"/>
  <tableColumns count="7">
    <tableColumn id="1" xr3:uid="{EA43C065-E62B-4747-BE25-AA1DA61C8A09}" name="Time entry no."/>
    <tableColumn id="2" xr3:uid="{B3D89629-1F48-4A59-AD9B-CFCA1EF63775}" name="Start time" dataDxfId="36"/>
    <tableColumn id="3" xr3:uid="{354F7F45-1197-4F16-8F89-2B86EC0D2859}" name="End time" dataDxfId="35"/>
    <tableColumn id="4" xr3:uid="{C9CF0765-892E-4A4F-8C9F-CF4B4C0EA207}" name="Time delta in h" dataDxfId="34">
      <calculatedColumnFormula>MAX((C15-B15)*24,0)</calculatedColumnFormula>
    </tableColumn>
    <tableColumn id="5" xr3:uid="{F46998CF-75AC-4B3A-AA63-9CB1D1CC6CD3}" name="Indicator"/>
    <tableColumn id="6" xr3:uid="{8A5C1E9A-45AE-489F-8F1A-408A3C681777}" name="Action1" dataDxfId="33" dataCellStyle="Link"/>
    <tableColumn id="7" xr3:uid="{BF3EA497-BD5D-42C2-B0CE-1F21DCC427DE}" name="Action2" dataDxfId="32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9" xr:uid="{58B99776-1BD7-4CA0-BC44-A5A1C8ABE688}" name="Tabelle7367922445776163446708096108122136152166182196212226242256272286302316332346362376392406422183448658096110126140156170186200216230246260276183046571634597694174188216228446194110172186202216232246266290320322362386408422442466556566602612616631290" displayName="Tabelle7367922445776163446708096108122136152166182196212226242256272286302316332346362376392406422183448658096110126140156170186200216230246260276183046571634597694174188216228446194110172186202216232246266290320322362386408422442466556566602612616631290" ref="I14:M21" totalsRowShown="0">
  <autoFilter ref="I14:M21" xr:uid="{2FE767B2-5300-497C-B3E1-0243BFD476A0}"/>
  <tableColumns count="5">
    <tableColumn id="1" xr3:uid="{188ED104-AD4B-4393-9F8F-69FD5743B14A}" name="Comparison entry no."/>
    <tableColumn id="2" xr3:uid="{92766C32-E7DD-4E34-80DC-7EC0DC4305B0}" name="Propability Support point" dataDxfId="31"/>
    <tableColumn id="3" xr3:uid="{5AE5F752-2569-4AA3-822A-07E1045DD881}" name="EBS self time" dataDxfId="30"/>
    <tableColumn id="4" xr3:uid="{469D9E64-1FBC-4099-AACD-43C7447A6F45}" name="Total time">
      <calculatedColumnFormula>#REF!</calculatedColumnFormula>
    </tableColumn>
    <tableColumn id="5" xr3:uid="{65E8A045-8BEF-49FF-A060-A704378833F1}" name="Total time / Your estimate" dataDxfId="29">
      <calculatedColumnFormula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2" xr:uid="{97827A34-0C95-4D47-9C91-03A071325971}" name="TimeEntries619314966825416075871031131311431611731912032212332512632812933113233413533713834014131325435675871051171351471651771952072252372552671325436921396081951771891992212312414962991111751872052172352472712913673874114234474674954975696036196351293" displayName="TimeEntries619314966825416075871031131311431611731912032212332512632812933113233413533713834014131325435675871051171351471651771952072252372552671325436921396081951771891992212312414962991111751872052172352472712913673874114234474674954975696036196351293" ref="A14:G15" insertRow="1" totalsRowShown="0">
  <autoFilter ref="A14:G15" xr:uid="{B4B0FBA0-C947-481E-8227-13CB7C727EE0}"/>
  <tableColumns count="7">
    <tableColumn id="1" xr3:uid="{55F8AA40-D391-425C-B4DE-951C6ADB1E17}" name="Time entry no."/>
    <tableColumn id="2" xr3:uid="{1494BF6F-19F5-4A1B-A703-3D5BB49E8010}" name="Start time" dataDxfId="28"/>
    <tableColumn id="3" xr3:uid="{8E1BF821-7D0F-4519-8AC8-57E85687B280}" name="End time" dataDxfId="27"/>
    <tableColumn id="4" xr3:uid="{7EEBD601-A798-442E-AA53-2E1E3F28E8BF}" name="Time delta in h" dataDxfId="26"/>
    <tableColumn id="5" xr3:uid="{C9EE3561-B3DF-490E-BF9C-202DC7CD5EA1}" name="Indicator"/>
    <tableColumn id="6" xr3:uid="{1B398E27-8A45-4D88-B870-BE44B38C9C97}" name="Action1" dataDxfId="25" dataCellStyle="Link"/>
    <tableColumn id="7" xr3:uid="{51CDCFF3-9735-499E-B9D0-49DE5EF512C8}" name="Action2" dataDxfId="24" dataCellStyle="Link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3" xr:uid="{3AFC2E4D-071C-4241-B45F-50B7BEB0E59D}" name="Tabelle7367720325068926426176881041141321441621741922042222342522642822943123243423543723844024141426445776881061181361481661781962082262382562681426447022406182961781902002222322425063100112176188206218236248272292368388412424448468496498570604620631294" displayName="Tabelle7367720325068926426176881041141321441621741922042222342522642822943123243423543723844024141426445776881061181361481661781962082262382562681426447022406182961781902002222322425063100112176188206218236248272292368388412424448468496498570604620631294" ref="I14:M21" totalsRowShown="0">
  <autoFilter ref="I14:M21" xr:uid="{59152A24-81D4-4EA9-9B39-F50D01F098D3}"/>
  <tableColumns count="5">
    <tableColumn id="1" xr3:uid="{C168FEA7-4980-4BF6-8E6A-A4A6C2A8501A}" name="Comparison entry no."/>
    <tableColumn id="2" xr3:uid="{0472812A-19C1-49F0-94E2-5CC5E7268F7D}" name="Propability Support point" dataDxfId="23"/>
    <tableColumn id="3" xr3:uid="{E3900C92-2F6E-4610-8497-92EC2F0821C7}" name="EBS self time" dataDxfId="22"/>
    <tableColumn id="4" xr3:uid="{1BB3FBA2-D507-4C74-8809-B7E200411624}" name="Total time">
      <calculatedColumnFormula>#REF!</calculatedColumnFormula>
    </tableColumn>
    <tableColumn id="5" xr3:uid="{05F386E7-95F6-4ED0-8D6F-B060FCDA7A05}" name="Total time / Your estimate" dataDxfId="21">
      <calculatedColumnFormula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calculatedColumnFormula>
    </tableColumn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6" xr:uid="{173633BD-15F8-4464-A154-D83B1FC020FB}" name="TimeEntries132347587917374751718310112513715516718519721522724525727528730531733534736537739540742519374969819911112914115917118920121923124926127919334760174562879718119119521923724327536610311513517918920921923924927729337338941542545346950952757361297" displayName="TimeEntries132347587917374751718310112513715516718519721522724525727528730531733534736537739540742519374969819911112914115917118920121923124926127919334760174562879718119119521923724327536610311513517918920921923924927729337338941542545346950952757361297" ref="A14:G15" insertRow="1" totalsRowShown="0">
  <autoFilter ref="A14:G15" xr:uid="{043392DD-2F80-4C65-A1F9-FD5D718F6E40}"/>
  <tableColumns count="7">
    <tableColumn id="1" xr3:uid="{E05982CE-7111-484A-B8A8-CA6E177C3B23}" name="Time entry no."/>
    <tableColumn id="2" xr3:uid="{59B81BF0-4DDD-4162-A474-144FCB45DD1E}" name="Start time" dataDxfId="20"/>
    <tableColumn id="3" xr3:uid="{EFA1CB2D-7A68-47AA-9D73-ADEDEA3D7F2C}" name="End time" dataDxfId="19"/>
    <tableColumn id="4" xr3:uid="{B7C86656-CDA4-43F6-99EB-AC6828BE64DC}" name="Time delta in h" dataDxfId="18"/>
    <tableColumn id="5" xr3:uid="{8491261D-BA1A-4290-937C-97BD2FFEB13B}" name="Indicator"/>
    <tableColumn id="6" xr3:uid="{7437B0AB-A1E0-46A6-B8FF-B79FF438F2C2}" name="Action1" dataDxfId="17" dataCellStyle="Link"/>
    <tableColumn id="7" xr3:uid="{DD04BD5B-234D-4192-A473-4742BAA6EAD4}" name="Action2" dataDxfId="16" dataCellStyle="Link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7" xr:uid="{EC38217F-6E7A-4AF7-BEE0-B4EE0ABD5334}" name="Tabelle7367142448598018384852728410212613815616818619821622824625827628830631833634836637839640842620385070821001121301421601721902022202322502622802034486118466388981821921962202382442854681041161361801902102202402502782943743904164264544705105285741298" displayName="Tabelle7367142448598018384852728410212613815616818619821622824625827628830631833634836637839640842620385070821001121301421601721902022202322502622802034486118466388981821921962202382442854681041161361801902102202402502782943743904164264544705105285741298" ref="I14:M21" totalsRowShown="0">
  <autoFilter ref="I14:M21" xr:uid="{FFAA71B6-1265-495C-94D5-6A4CFE1518C5}"/>
  <tableColumns count="5">
    <tableColumn id="1" xr3:uid="{136BD9FD-D857-46F1-B135-8D59A77840F1}" name="Comparison entry no."/>
    <tableColumn id="2" xr3:uid="{0582D3F6-5FD2-4532-A1F1-C9E78C5C4665}" name="Propability Support point" dataDxfId="15"/>
    <tableColumn id="3" xr3:uid="{E38C4A06-0BBD-4131-9142-9E661AD7C8C5}" name="EBS self time" dataDxfId="14"/>
    <tableColumn id="4" xr3:uid="{3A23F71E-48BA-47E8-BF00-F55122DC3403}" name="Total time">
      <calculatedColumnFormula>#REF!</calculatedColumnFormula>
    </tableColumn>
    <tableColumn id="5" xr3:uid="{B03A34BF-A9D9-4343-8CA4-65924DE61D8F}" name="Total time / Your estimate" dataDxfId="13">
      <calculatedColumnFormula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CBC75B-F660-477E-9C8C-68E8D7EE2FD7}" name="EbsBaseData432627042" displayName="EbsBaseData432627042" ref="A18:H19" totalsRowShown="0">
  <autoFilter ref="A18:H19" xr:uid="{1948C160-1F52-48A7-8061-8AFF06D47134}"/>
  <tableColumns count="8">
    <tableColumn id="1" xr3:uid="{1C3D4A93-94DB-47A6-87F4-CD3F87575F92}" name="EBS entry no."/>
    <tableColumn id="4" xr3:uid="{2C11127A-07AC-4913-A579-51B139837598}" name="EBS run date" dataDxfId="102"/>
    <tableColumn id="8" xr3:uid="{2DAB808F-1090-4A9F-80EB-99DC1ED92578}" name="[Velocity pool]"/>
    <tableColumn id="2" xr3:uid="{5B1B9016-B7E6-4885-9E13-48E645DE05B7}" name="Show pool?"/>
    <tableColumn id="3" xr3:uid="{AE9BC6F0-3789-443A-91B9-130FBB5B62E3}" name="[Propability support points]"/>
    <tableColumn id="5" xr3:uid="{08C6AE7D-335D-4CF1-8EC2-55B8521557F1}" name="[Project time estimates]"/>
    <tableColumn id="6" xr3:uid="{F2F73C4B-1AC7-41F8-A7C6-99240DFD7B8F}" name="[Project date estimates]"/>
    <tableColumn id="7" xr3:uid="{7F71A46E-43C7-4FE6-949E-C38CAA42B961}" name="eHASH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A55595-CE9A-4C5A-BD91-8D1552AD803F}" name="EbsTaskData959271125" displayName="EbsTaskData959271125" ref="J18:T22" totalsRowShown="0">
  <autoFilter ref="J18:T22" xr:uid="{2297DC20-55A3-4C75-B785-3C4ABEF5CB9C}"/>
  <tableColumns count="11">
    <tableColumn id="1" xr3:uid="{5161A4E5-5D48-4173-BAF9-1E9271E180FE}" name="Data entry no."/>
    <tableColumn id="10" xr3:uid="{9882DF68-C8AC-4B08-A9CA-FF961EEBC85E}" name="tHASH"/>
    <tableColumn id="5" xr3:uid="{060C7A46-8044-40DD-81B1-D5D5F6B54049}" name="Logged Priority"/>
    <tableColumn id="7" xr3:uid="{2D423BB4-F80C-4AB1-807A-27967B84991A}" name="Time spent so far" dataDxfId="101"/>
    <tableColumn id="4" xr3:uid="{68826C68-7171-476C-8320-89D1DC212892}" name="User time estimate" dataDxfId="100"/>
    <tableColumn id="3" xr3:uid="{75A46B58-8359-4594-B585-DFF452CA3CE5}" name="[Monte Carlo estimate pool]"/>
    <tableColumn id="2" xr3:uid="{615B1E66-8CBA-4246-B916-B995711C1EE2}" name="[Remaining time pool]"/>
    <tableColumn id="6" xr3:uid="{5FA982C0-17AC-4085-83B9-702953E78593}" name="[Accumulated time pool]"/>
    <tableColumn id="8" xr3:uid="{CCDAD8E5-6279-42AD-8A02-3EBD3A94AE44}" name="[Propability support points]"/>
    <tableColumn id="9" xr3:uid="{5D1713AE-C0D8-4DCE-BA26-1BE36EACDB9D}" name="[Interpolated time estimates]"/>
    <tableColumn id="11" xr3:uid="{1916F7EA-B785-4A16-B9A7-1B9A66312E20}" name="[Interpolated date estimates]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9" insertRow="1" totalsRowShown="0" headerRowDxfId="99" dataDxfId="97" headerRowBorderDxfId="98">
  <autoFilter ref="A8:D9" xr:uid="{8E9EC0C1-7901-48B6-A59A-1CE6ABEE7A55}"/>
  <tableColumns count="4">
    <tableColumn id="1" xr3:uid="{58BB2187-C79D-4A1A-A9A3-DA2F074C476C}" name="Split entry no." dataDxfId="96"/>
    <tableColumn id="2" xr3:uid="{A755482D-FFF4-43D8-8021-1956CE3A7021}" name="Split start" dataDxfId="95"/>
    <tableColumn id="3" xr3:uid="{FE0A0B8D-1F8A-4CEC-9FB3-C945A45F99BF}" name="Split end" dataDxfId="94"/>
    <tableColumn id="4" xr3:uid="{5443222D-0CE3-4625-9EDB-D13B87B6C388}" name="Time spent" dataDxfId="93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92" dataCellStyle="Link"/>
    <tableColumn id="9" xr3:uid="{0037D127-E2BA-445A-BC63-1395BA3AC441}" name="Calendar ID" dataDxfId="91" dataCellStyle="Link"/>
    <tableColumn id="10" xr3:uid="{37CA3B7B-8FF0-4042-97C6-E23A79A74325}" name="Store ID"/>
    <tableColumn id="6" xr3:uid="{044D8005-25C5-4D31-940A-B6DE4C6B0EA5}" name="WorkingDays" dataDxfId="90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89"/>
    <tableColumn id="8" xr3:uid="{1177B0FB-46B2-406D-B988-C64E0ABA6972}" name="AppointmentOffsetHours" dataDxfId="88">
      <calculatedColumnFormula>5/60</calculatedColumnFormula>
    </tableColumn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87"/>
    <tableColumn id="3" xr3:uid="{78DABF02-3853-48FF-81AD-5801C74BED1B}" name="End time" dataDxfId="86"/>
    <tableColumn id="4" xr3:uid="{76C994F9-216A-4848-9FB6-16BAF8B0EEEA}" name="Time delta in h" dataDxfId="85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84"/>
    <tableColumn id="3" xr3:uid="{A62B365F-400F-45A4-B789-FE7B5FDBD312}" name="EBS self time" dataDxfId="83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82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81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80"/>
    <tableColumn id="4" xr3:uid="{F9EDA55E-5206-49A7-A846-6A0B14C04CAF}" name="User time estimate" dataDxfId="79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9E72933-13B7-436C-80C5-C0A9531E86AE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mail@provider.com\Calendar" TargetMode="External"/><Relationship Id="rId1" Type="http://schemas.openxmlformats.org/officeDocument/2006/relationships/hyperlink" Target="file:///\\your.mail@provider.com\Calendar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7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AAC9-A4A5-478B-B2FE-90D33C0BE390}">
  <sheetPr codeName="Tabelle1"/>
  <dimension ref="A1:M68"/>
  <sheetViews>
    <sheetView workbookViewId="0">
      <selection activeCell="A121" sqref="A121:M141"/>
    </sheetView>
  </sheetViews>
  <sheetFormatPr baseColWidth="10" defaultRowHeight="15" x14ac:dyDescent="0.25"/>
  <sheetData>
    <row r="1" spans="1:13" x14ac:dyDescent="0.25">
      <c r="A1" t="s">
        <v>159</v>
      </c>
      <c r="B1" t="s">
        <v>107</v>
      </c>
      <c r="C1" t="s">
        <v>160</v>
      </c>
      <c r="D1">
        <v>21</v>
      </c>
      <c r="E1" t="s">
        <v>161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108</v>
      </c>
    </row>
    <row r="4" spans="1:13" x14ac:dyDescent="0.25">
      <c r="A4" t="s">
        <v>79</v>
      </c>
      <c r="B4" s="2">
        <v>1</v>
      </c>
      <c r="C4" t="s">
        <v>4</v>
      </c>
    </row>
    <row r="5" spans="1:13" x14ac:dyDescent="0.25">
      <c r="A5" t="s">
        <v>0</v>
      </c>
      <c r="B5" s="2">
        <f>SUM(D:D)</f>
        <v>64.750000000116415</v>
      </c>
      <c r="C5" t="s">
        <v>4</v>
      </c>
    </row>
    <row r="6" spans="1:13" x14ac:dyDescent="0.25">
      <c r="A6" t="s">
        <v>14</v>
      </c>
      <c r="B6" s="5" t="s">
        <v>97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111</v>
      </c>
    </row>
    <row r="9" spans="1:13" x14ac:dyDescent="0.25">
      <c r="A9" t="s">
        <v>16</v>
      </c>
      <c r="B9" s="5">
        <v>43876.756701388891</v>
      </c>
    </row>
    <row r="10" spans="1:13" x14ac:dyDescent="0.25">
      <c r="A10" t="s">
        <v>2</v>
      </c>
      <c r="B10" t="s">
        <v>170</v>
      </c>
    </row>
    <row r="11" spans="1:13" x14ac:dyDescent="0.25">
      <c r="A11" t="s">
        <v>47</v>
      </c>
      <c r="B11" t="s">
        <v>107</v>
      </c>
    </row>
    <row r="12" spans="1:13" x14ac:dyDescent="0.25">
      <c r="A12" t="s">
        <v>5</v>
      </c>
      <c r="B12" s="2">
        <f>B4/B5</f>
        <v>1.5444015443987677E-2</v>
      </c>
      <c r="C12" t="s">
        <v>6</v>
      </c>
    </row>
    <row r="13" spans="1:13" x14ac:dyDescent="0.25">
      <c r="A13" t="s">
        <v>100</v>
      </c>
      <c r="B13" t="s">
        <v>164</v>
      </c>
    </row>
    <row r="14" spans="1:13" x14ac:dyDescent="0.25">
      <c r="A14" t="s">
        <v>101</v>
      </c>
      <c r="B14" t="s">
        <v>165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A16" t="s">
        <v>94</v>
      </c>
      <c r="B16" s="1">
        <v>43876.74627314815</v>
      </c>
      <c r="C16" s="1">
        <v>43876.756689814814</v>
      </c>
      <c r="D16" s="2">
        <f>MAX((C16-B16)*24,0)</f>
        <v>0.24999999994179234</v>
      </c>
      <c r="F16" s="42" t="s">
        <v>109</v>
      </c>
      <c r="G16" s="23" t="s">
        <v>110</v>
      </c>
      <c r="I16" t="s">
        <v>94</v>
      </c>
      <c r="J16" s="15">
        <v>0.05</v>
      </c>
      <c r="K16" s="2">
        <v>0.1</v>
      </c>
      <c r="L16" s="2" t="e">
        <f>#REF!</f>
        <v>#REF!</v>
      </c>
      <c r="M16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17" spans="1:13" x14ac:dyDescent="0.25">
      <c r="A17" t="s">
        <v>98</v>
      </c>
      <c r="B17" s="1">
        <v>43876.74628472222</v>
      </c>
      <c r="C17" s="1">
        <v>43876.756701388891</v>
      </c>
      <c r="D17" s="2">
        <f>MAX((C17-B17)*24,0)</f>
        <v>0.25000000011641532</v>
      </c>
      <c r="F17" s="42" t="s">
        <v>109</v>
      </c>
      <c r="G17" s="23" t="s">
        <v>110</v>
      </c>
      <c r="I17" t="s">
        <v>98</v>
      </c>
      <c r="J17" s="15">
        <v>0.2</v>
      </c>
      <c r="K17" s="2">
        <v>0.1</v>
      </c>
      <c r="L17" s="2" t="e">
        <f>#REF!</f>
        <v>#REF!</v>
      </c>
      <c r="M17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18" spans="1:13" x14ac:dyDescent="0.25">
      <c r="I18" t="s">
        <v>99</v>
      </c>
      <c r="J18" s="15">
        <v>0.35</v>
      </c>
      <c r="K18" s="2">
        <v>0.1</v>
      </c>
      <c r="L18" s="2" t="e">
        <f>#REF!</f>
        <v>#REF!</v>
      </c>
      <c r="M18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19" spans="1:13" x14ac:dyDescent="0.25">
      <c r="I19" t="s">
        <v>102</v>
      </c>
      <c r="J19" s="15">
        <v>0.5</v>
      </c>
      <c r="K19" s="2">
        <v>0.1</v>
      </c>
      <c r="L19" s="2" t="e">
        <f>#REF!</f>
        <v>#REF!</v>
      </c>
      <c r="M19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20" spans="1:13" x14ac:dyDescent="0.25">
      <c r="I20" t="s">
        <v>103</v>
      </c>
      <c r="J20" s="15">
        <v>0.65</v>
      </c>
      <c r="K20" s="2">
        <v>0.1</v>
      </c>
      <c r="L20" s="2" t="e">
        <f>#REF!</f>
        <v>#REF!</v>
      </c>
      <c r="M20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21" spans="1:13" x14ac:dyDescent="0.25">
      <c r="I21" t="s">
        <v>118</v>
      </c>
      <c r="J21" s="15">
        <v>0.8</v>
      </c>
      <c r="K21" s="2">
        <v>0.1</v>
      </c>
      <c r="L21" s="2" t="e">
        <f>#REF!</f>
        <v>#REF!</v>
      </c>
      <c r="M21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22" spans="1:13" x14ac:dyDescent="0.25">
      <c r="I22" t="s">
        <v>119</v>
      </c>
      <c r="J22" s="15">
        <v>0.95</v>
      </c>
      <c r="K22" s="2">
        <v>0.1</v>
      </c>
      <c r="L22" s="2" t="e">
        <f>#REF!</f>
        <v>#REF!</v>
      </c>
      <c r="M22" s="16" t="e">
        <f>Tabelle7367518365263722405774100110130140160170190200220230250260280290310320340350370380400410922425274841041141341441641741942042242342542649224252924526516618420422432578210616418219421222424225428633838240041843046252253459460862864065867068870071282[[#This Row],[EBS self time]]/Tabelle7367518365263722405774100110130140160170190200220230250260280290310320340350370380400410922425274841041141341441641741942042242342542649224252924526516618420422432578210616418219421222424225428633838240041843046252253459460862864065867068870071282[[#This Row],[Total time]]</f>
        <v>#REF!</v>
      </c>
    </row>
    <row r="24" spans="1:13" x14ac:dyDescent="0.25">
      <c r="A24" t="s">
        <v>159</v>
      </c>
      <c r="B24" t="s">
        <v>179</v>
      </c>
      <c r="C24" t="s">
        <v>160</v>
      </c>
      <c r="D24">
        <v>21</v>
      </c>
      <c r="E24" t="s">
        <v>161</v>
      </c>
      <c r="F24">
        <v>13</v>
      </c>
    </row>
    <row r="25" spans="1:13" x14ac:dyDescent="0.25">
      <c r="A25" s="4" t="s">
        <v>25</v>
      </c>
    </row>
    <row r="26" spans="1:13" x14ac:dyDescent="0.25">
      <c r="A26" t="s">
        <v>3</v>
      </c>
      <c r="B26" t="s">
        <v>181</v>
      </c>
    </row>
    <row r="27" spans="1:13" x14ac:dyDescent="0.25">
      <c r="A27" t="s">
        <v>79</v>
      </c>
      <c r="B27" s="2">
        <v>0.5</v>
      </c>
      <c r="C27" t="s">
        <v>4</v>
      </c>
    </row>
    <row r="28" spans="1:13" x14ac:dyDescent="0.25">
      <c r="A28" t="s">
        <v>0</v>
      </c>
      <c r="B28" s="2">
        <f>SUM(D:D)</f>
        <v>64.750000000116415</v>
      </c>
      <c r="C28" t="s">
        <v>4</v>
      </c>
    </row>
    <row r="29" spans="1:13" x14ac:dyDescent="0.25">
      <c r="A29" t="s">
        <v>14</v>
      </c>
      <c r="B29" s="5" t="s">
        <v>97</v>
      </c>
    </row>
    <row r="30" spans="1:13" x14ac:dyDescent="0.25">
      <c r="A30" t="s">
        <v>15</v>
      </c>
      <c r="B30" s="5" t="s">
        <v>19</v>
      </c>
    </row>
    <row r="31" spans="1:13" x14ac:dyDescent="0.25">
      <c r="A31" t="s">
        <v>1</v>
      </c>
      <c r="B31" t="s">
        <v>111</v>
      </c>
    </row>
    <row r="32" spans="1:13" x14ac:dyDescent="0.25">
      <c r="A32" t="s">
        <v>16</v>
      </c>
      <c r="B32" s="5">
        <v>43877.967650462961</v>
      </c>
    </row>
    <row r="33" spans="1:13" x14ac:dyDescent="0.25">
      <c r="A33" t="s">
        <v>2</v>
      </c>
    </row>
    <row r="34" spans="1:13" x14ac:dyDescent="0.25">
      <c r="A34" t="s">
        <v>47</v>
      </c>
      <c r="B34" t="s">
        <v>179</v>
      </c>
    </row>
    <row r="35" spans="1:13" x14ac:dyDescent="0.25">
      <c r="A35" t="s">
        <v>5</v>
      </c>
      <c r="B35" s="2">
        <f>B27/B28</f>
        <v>7.7220077219938383E-3</v>
      </c>
      <c r="C35" t="s">
        <v>6</v>
      </c>
    </row>
    <row r="36" spans="1:13" x14ac:dyDescent="0.25">
      <c r="A36" t="s">
        <v>100</v>
      </c>
      <c r="B36" t="s">
        <v>142</v>
      </c>
    </row>
    <row r="37" spans="1:13" x14ac:dyDescent="0.25">
      <c r="A37" t="s">
        <v>101</v>
      </c>
      <c r="B37" t="s">
        <v>182</v>
      </c>
    </row>
    <row r="38" spans="1:13" x14ac:dyDescent="0.25">
      <c r="A38" t="s">
        <v>11</v>
      </c>
      <c r="B38" t="s">
        <v>7</v>
      </c>
      <c r="C38" t="s">
        <v>8</v>
      </c>
      <c r="D38" t="s">
        <v>9</v>
      </c>
      <c r="E38" t="s">
        <v>10</v>
      </c>
      <c r="F38" t="s">
        <v>86</v>
      </c>
      <c r="G38" t="s">
        <v>87</v>
      </c>
      <c r="I38" t="s">
        <v>71</v>
      </c>
      <c r="J38" s="15" t="s">
        <v>69</v>
      </c>
      <c r="K38" s="2" t="s">
        <v>70</v>
      </c>
      <c r="L38" t="s">
        <v>72</v>
      </c>
      <c r="M38" t="s">
        <v>73</v>
      </c>
    </row>
    <row r="39" spans="1:13" x14ac:dyDescent="0.25">
      <c r="A39" t="s">
        <v>94</v>
      </c>
      <c r="B39" s="1">
        <v>43877.957233796296</v>
      </c>
      <c r="C39" s="1">
        <v>43877.967650462961</v>
      </c>
      <c r="D39" s="2">
        <f>MAX((C39-B39)*24,0)</f>
        <v>0.24999999994179234</v>
      </c>
      <c r="F39" s="42" t="s">
        <v>109</v>
      </c>
      <c r="G39" s="23" t="s">
        <v>110</v>
      </c>
      <c r="I39" t="s">
        <v>94</v>
      </c>
      <c r="J39" s="15">
        <v>0.05</v>
      </c>
      <c r="K39" s="2">
        <v>0.05</v>
      </c>
      <c r="L39" s="2" t="e">
        <f>#REF!</f>
        <v>#REF!</v>
      </c>
      <c r="M39" s="16" t="e">
        <f>Tabelle73672238527096106126136140158200218230248272284[[#This Row],[EBS self time]]/Tabelle73672238527096106126136140158200218230248272284[[#This Row],[Total time]]</f>
        <v>#REF!</v>
      </c>
    </row>
    <row r="40" spans="1:13" x14ac:dyDescent="0.25">
      <c r="A40" t="s">
        <v>98</v>
      </c>
      <c r="B40" s="1">
        <v>43877.957696759258</v>
      </c>
      <c r="C40" s="1">
        <v>43877.968113425923</v>
      </c>
      <c r="D40" s="2">
        <f>MAX((C40-B40)*24,0)</f>
        <v>0.24999999994179234</v>
      </c>
      <c r="F40" s="42" t="s">
        <v>109</v>
      </c>
      <c r="G40" s="23" t="s">
        <v>110</v>
      </c>
      <c r="I40" t="s">
        <v>98</v>
      </c>
      <c r="J40" s="15">
        <v>0.2</v>
      </c>
      <c r="K40" s="2">
        <v>0.05</v>
      </c>
      <c r="L40" s="2" t="e">
        <f>#REF!</f>
        <v>#REF!</v>
      </c>
      <c r="M40" s="16" t="e">
        <f>Tabelle73672238527096106126136140158200218230248272284[[#This Row],[EBS self time]]/Tabelle73672238527096106126136140158200218230248272284[[#This Row],[Total time]]</f>
        <v>#REF!</v>
      </c>
    </row>
    <row r="41" spans="1:13" x14ac:dyDescent="0.25">
      <c r="A41" t="s">
        <v>99</v>
      </c>
      <c r="B41" s="1">
        <v>43877.957719907405</v>
      </c>
      <c r="C41" s="1">
        <v>43877.968136574076</v>
      </c>
      <c r="D41" s="2">
        <f>MAX((C41-B41)*24,0)</f>
        <v>0.25000000011641532</v>
      </c>
      <c r="F41" s="42" t="s">
        <v>109</v>
      </c>
      <c r="G41" s="23" t="s">
        <v>110</v>
      </c>
      <c r="I41" t="s">
        <v>99</v>
      </c>
      <c r="J41" s="15">
        <v>0.35</v>
      </c>
      <c r="K41" s="2">
        <v>0.05</v>
      </c>
      <c r="L41" s="2" t="e">
        <f>#REF!</f>
        <v>#REF!</v>
      </c>
      <c r="M41" s="16" t="e">
        <f>Tabelle73672238527096106126136140158200218230248272284[[#This Row],[EBS self time]]/Tabelle73672238527096106126136140158200218230248272284[[#This Row],[Total time]]</f>
        <v>#REF!</v>
      </c>
    </row>
    <row r="42" spans="1:13" x14ac:dyDescent="0.25">
      <c r="I42" t="s">
        <v>102</v>
      </c>
      <c r="J42" s="15">
        <v>0.5</v>
      </c>
      <c r="K42" s="2">
        <v>0.05</v>
      </c>
      <c r="L42" s="2" t="e">
        <f>#REF!</f>
        <v>#REF!</v>
      </c>
      <c r="M42" s="16" t="e">
        <f>Tabelle73672238527096106126136140158200218230248272284[[#This Row],[EBS self time]]/Tabelle73672238527096106126136140158200218230248272284[[#This Row],[Total time]]</f>
        <v>#REF!</v>
      </c>
    </row>
    <row r="43" spans="1:13" x14ac:dyDescent="0.25">
      <c r="I43" t="s">
        <v>103</v>
      </c>
      <c r="J43" s="15">
        <v>0.65</v>
      </c>
      <c r="K43" s="2">
        <v>0.05</v>
      </c>
      <c r="L43" s="2" t="e">
        <f>#REF!</f>
        <v>#REF!</v>
      </c>
      <c r="M43" s="16" t="e">
        <f>Tabelle73672238527096106126136140158200218230248272284[[#This Row],[EBS self time]]/Tabelle73672238527096106126136140158200218230248272284[[#This Row],[Total time]]</f>
        <v>#REF!</v>
      </c>
    </row>
    <row r="44" spans="1:13" x14ac:dyDescent="0.25">
      <c r="I44" t="s">
        <v>118</v>
      </c>
      <c r="J44" s="15">
        <v>0.8</v>
      </c>
      <c r="K44" s="2">
        <v>0.05</v>
      </c>
      <c r="L44" s="2" t="e">
        <f>#REF!</f>
        <v>#REF!</v>
      </c>
      <c r="M44" s="16" t="e">
        <f>Tabelle73672238527096106126136140158200218230248272284[[#This Row],[EBS self time]]/Tabelle73672238527096106126136140158200218230248272284[[#This Row],[Total time]]</f>
        <v>#REF!</v>
      </c>
    </row>
    <row r="45" spans="1:13" x14ac:dyDescent="0.25">
      <c r="I45" t="s">
        <v>119</v>
      </c>
      <c r="J45" s="15">
        <v>0.95</v>
      </c>
      <c r="K45" s="2">
        <v>0.05</v>
      </c>
      <c r="L45" s="2" t="e">
        <f>#REF!</f>
        <v>#REF!</v>
      </c>
      <c r="M45" s="16" t="e">
        <f>Tabelle73672238527096106126136140158200218230248272284[[#This Row],[EBS self time]]/Tabelle73672238527096106126136140158200218230248272284[[#This Row],[Total time]]</f>
        <v>#REF!</v>
      </c>
    </row>
    <row r="47" spans="1:13" x14ac:dyDescent="0.25">
      <c r="A47" t="s">
        <v>159</v>
      </c>
      <c r="B47" t="s">
        <v>104</v>
      </c>
      <c r="C47" t="s">
        <v>160</v>
      </c>
      <c r="D47">
        <v>21</v>
      </c>
      <c r="E47" t="s">
        <v>161</v>
      </c>
      <c r="F47">
        <v>13</v>
      </c>
    </row>
    <row r="48" spans="1:13" x14ac:dyDescent="0.25">
      <c r="A48" s="4" t="s">
        <v>25</v>
      </c>
    </row>
    <row r="49" spans="1:13" x14ac:dyDescent="0.25">
      <c r="A49" t="s">
        <v>3</v>
      </c>
      <c r="B49" t="s">
        <v>105</v>
      </c>
    </row>
    <row r="50" spans="1:13" x14ac:dyDescent="0.25">
      <c r="A50" t="s">
        <v>79</v>
      </c>
      <c r="B50" s="2">
        <v>1</v>
      </c>
      <c r="C50" t="s">
        <v>4</v>
      </c>
    </row>
    <row r="51" spans="1:13" x14ac:dyDescent="0.25">
      <c r="A51" t="s">
        <v>0</v>
      </c>
      <c r="B51" s="2">
        <f>SUM(D:D)</f>
        <v>64.750000000116415</v>
      </c>
      <c r="C51" t="s">
        <v>4</v>
      </c>
    </row>
    <row r="52" spans="1:13" x14ac:dyDescent="0.25">
      <c r="A52" t="s">
        <v>14</v>
      </c>
      <c r="B52" s="5" t="s">
        <v>97</v>
      </c>
    </row>
    <row r="53" spans="1:13" x14ac:dyDescent="0.25">
      <c r="A53" t="s">
        <v>15</v>
      </c>
      <c r="B53" s="5" t="s">
        <v>19</v>
      </c>
    </row>
    <row r="54" spans="1:13" x14ac:dyDescent="0.25">
      <c r="A54" t="s">
        <v>1</v>
      </c>
      <c r="B54" t="s">
        <v>132</v>
      </c>
    </row>
    <row r="55" spans="1:13" x14ac:dyDescent="0.25">
      <c r="A55" t="s">
        <v>16</v>
      </c>
      <c r="B55" s="5" t="s">
        <v>97</v>
      </c>
    </row>
    <row r="56" spans="1:13" x14ac:dyDescent="0.25">
      <c r="A56" t="s">
        <v>2</v>
      </c>
    </row>
    <row r="57" spans="1:13" x14ac:dyDescent="0.25">
      <c r="A57" t="s">
        <v>47</v>
      </c>
      <c r="B57" t="s">
        <v>104</v>
      </c>
    </row>
    <row r="58" spans="1:13" x14ac:dyDescent="0.25">
      <c r="A58" t="s">
        <v>5</v>
      </c>
      <c r="B58" s="2">
        <f>B50/B51</f>
        <v>1.5444015443987677E-2</v>
      </c>
      <c r="C58" t="s">
        <v>6</v>
      </c>
    </row>
    <row r="59" spans="1:13" x14ac:dyDescent="0.25">
      <c r="A59" t="s">
        <v>100</v>
      </c>
      <c r="B59" t="s">
        <v>142</v>
      </c>
    </row>
    <row r="60" spans="1:13" x14ac:dyDescent="0.25">
      <c r="A60" t="s">
        <v>101</v>
      </c>
      <c r="B60" t="s">
        <v>166</v>
      </c>
    </row>
    <row r="61" spans="1:13" x14ac:dyDescent="0.25">
      <c r="A61" t="s">
        <v>11</v>
      </c>
      <c r="B61" t="s">
        <v>7</v>
      </c>
      <c r="C61" t="s">
        <v>8</v>
      </c>
      <c r="D61" t="s">
        <v>9</v>
      </c>
      <c r="E61" t="s">
        <v>10</v>
      </c>
      <c r="F61" t="s">
        <v>86</v>
      </c>
      <c r="G61" t="s">
        <v>87</v>
      </c>
      <c r="I61" t="s">
        <v>71</v>
      </c>
      <c r="J61" s="15" t="s">
        <v>69</v>
      </c>
      <c r="K61" s="2" t="s">
        <v>70</v>
      </c>
      <c r="L61" t="s">
        <v>72</v>
      </c>
      <c r="M61" t="s">
        <v>73</v>
      </c>
    </row>
    <row r="62" spans="1:13" x14ac:dyDescent="0.25">
      <c r="A62" t="s">
        <v>94</v>
      </c>
      <c r="B62" s="1">
        <v>43877.684965277775</v>
      </c>
      <c r="C62" s="1">
        <v>43877.695381944446</v>
      </c>
      <c r="D62" s="2">
        <f>MAX((C62-B62)*24,0)</f>
        <v>0.25000000011641532</v>
      </c>
      <c r="F62" s="42" t="s">
        <v>109</v>
      </c>
      <c r="G62" s="23" t="s">
        <v>110</v>
      </c>
      <c r="I62" t="s">
        <v>94</v>
      </c>
      <c r="J62" s="15">
        <v>0.05</v>
      </c>
      <c r="K62" s="2">
        <v>0.1</v>
      </c>
      <c r="L62" s="2" t="e">
        <f>#REF!</f>
        <v>#REF!</v>
      </c>
      <c r="M62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3" spans="1:13" x14ac:dyDescent="0.25">
      <c r="A63" t="s">
        <v>98</v>
      </c>
      <c r="B63" s="1">
        <v>43877.684976851851</v>
      </c>
      <c r="C63" s="1">
        <v>43877.695393518516</v>
      </c>
      <c r="D63" s="2">
        <f>MAX((C63-B63)*24,0)</f>
        <v>0.24999999994179234</v>
      </c>
      <c r="F63" s="42" t="s">
        <v>109</v>
      </c>
      <c r="G63" s="23" t="s">
        <v>110</v>
      </c>
      <c r="I63" t="s">
        <v>98</v>
      </c>
      <c r="J63" s="15">
        <v>0.2</v>
      </c>
      <c r="K63" s="2">
        <v>0.1</v>
      </c>
      <c r="L63" s="2" t="e">
        <f>#REF!</f>
        <v>#REF!</v>
      </c>
      <c r="M63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4" spans="1:13" x14ac:dyDescent="0.25">
      <c r="A64" t="s">
        <v>99</v>
      </c>
      <c r="B64" s="1">
        <v>43877.695393518516</v>
      </c>
      <c r="C64" s="1">
        <v>43877.695393518516</v>
      </c>
      <c r="D64" s="2">
        <f>MAX((C64-B64)*24,0)</f>
        <v>0</v>
      </c>
      <c r="F64" s="42" t="s">
        <v>109</v>
      </c>
      <c r="G64" s="23" t="s">
        <v>110</v>
      </c>
      <c r="I64" t="s">
        <v>99</v>
      </c>
      <c r="J64" s="15">
        <v>0.35</v>
      </c>
      <c r="K64" s="2">
        <v>0.1</v>
      </c>
      <c r="L64" s="2" t="e">
        <f>#REF!</f>
        <v>#REF!</v>
      </c>
      <c r="M64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5" spans="9:13" x14ac:dyDescent="0.25">
      <c r="I65" t="s">
        <v>102</v>
      </c>
      <c r="J65" s="15">
        <v>0.5</v>
      </c>
      <c r="K65" s="2">
        <v>0.1</v>
      </c>
      <c r="L65" s="2" t="e">
        <f>#REF!</f>
        <v>#REF!</v>
      </c>
      <c r="M65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6" spans="9:13" x14ac:dyDescent="0.25">
      <c r="I66" t="s">
        <v>103</v>
      </c>
      <c r="J66" s="15">
        <v>0.65</v>
      </c>
      <c r="K66" s="2">
        <v>0.1</v>
      </c>
      <c r="L66" s="2" t="e">
        <f>#REF!</f>
        <v>#REF!</v>
      </c>
      <c r="M66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7" spans="9:13" x14ac:dyDescent="0.25">
      <c r="I67" t="s">
        <v>118</v>
      </c>
      <c r="J67" s="15">
        <v>0.8</v>
      </c>
      <c r="K67" s="2">
        <v>0.1</v>
      </c>
      <c r="L67" s="2" t="e">
        <f>#REF!</f>
        <v>#REF!</v>
      </c>
      <c r="M67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  <row r="68" spans="9:13" x14ac:dyDescent="0.25">
      <c r="I68" t="s">
        <v>119</v>
      </c>
      <c r="J68" s="15">
        <v>0.95</v>
      </c>
      <c r="K68" s="2">
        <v>0.1</v>
      </c>
      <c r="L68" s="2" t="e">
        <f>#REF!</f>
        <v>#REF!</v>
      </c>
      <c r="M68" s="16" t="e">
        <f>Tabelle7367162840547214304465789210611813414816417819420822423825426828429831432834435837438840441816304661789210812213815216818219821222824225827216385065202857709217018621022638598810816818419821422824426028835638440442043646455256459861063264266261286[[#This Row],[EBS self time]]/Tabelle7367162840547214304465789210611813414816417819420822423825426828429831432834435837438840441816304661789210812213815216818219821222824225827216385065202857709217018621022638598810816818419821422824426028835638440442043646455256459861063264266261286[[#This Row],[Total time]]</f>
        <v>#REF!</v>
      </c>
    </row>
  </sheetData>
  <hyperlinks>
    <hyperlink ref="A2" location="Planning!A1" display="Go back to 'Planning' sheet" xr:uid="{AAEC133B-7606-4596-974A-27A042BE2E04}"/>
    <hyperlink ref="F16" location="$F$15" display="$F$15" xr:uid="{DED2E924-E306-447E-8C63-89E0D479D37E}"/>
    <hyperlink ref="G16" location="$G$15" display="$G$15" xr:uid="{8F138671-14E1-4D4E-A142-6152D479D5CC}"/>
    <hyperlink ref="F17" location="$F$16" display="$F$16" xr:uid="{75C7C135-8801-40CC-93A4-84EDDBEAB545}"/>
    <hyperlink ref="G17" location="$G$16" display="$G$16" xr:uid="{1E0F9905-8A62-4190-AD00-C168E6DCB7C8}"/>
    <hyperlink ref="A25" location="Planning!A1" display="Go back to 'Planning' sheet" xr:uid="{530EE793-3AB5-4B50-9EDB-70B553090343}"/>
    <hyperlink ref="F39" location="$F$15" display="$F$15" xr:uid="{294F76A7-61A8-4BE8-BA0D-0132AE4F34C8}"/>
    <hyperlink ref="G39" location="$G$15" display="$G$15" xr:uid="{3BC257FB-CDAF-4DEC-8228-BC73242A0E16}"/>
    <hyperlink ref="F40" location="$F$16" display="$F$16" xr:uid="{C5420404-FEF0-4533-825E-50F9260DC03F}"/>
    <hyperlink ref="G40" location="$G$16" display="$G$16" xr:uid="{F338E4A1-9D21-45B6-ACDC-9CE0E5A51F83}"/>
    <hyperlink ref="F41" location="$F$17" display="$F$17" xr:uid="{A6BDFD07-268B-4A52-9F1E-326ABD893A0B}"/>
    <hyperlink ref="G41" location="$G$17" display="$G$17" xr:uid="{D29021A8-F230-4C32-9372-D00EB06367C9}"/>
    <hyperlink ref="A48" location="Planning!A1" display="Go back to 'Planning' sheet" xr:uid="{F4F14B6B-9BE9-4857-9255-9175711B05AD}"/>
    <hyperlink ref="F62" location="$F$15" display="$F$15" xr:uid="{AF810BF9-6E7B-4FB6-B73E-DAE2F3E5AAB5}"/>
    <hyperlink ref="G62" location="$G$15" display="$G$15" xr:uid="{029DE8E3-9A75-466A-8F48-BED44A3E290A}"/>
    <hyperlink ref="F63" location="$F$16" display="$F$16" xr:uid="{CD8D265F-EEC6-46F0-8B4C-CFC6D2CEC53B}"/>
    <hyperlink ref="G63" location="$G$16" display="$G$16" xr:uid="{DFC2362E-C469-4A77-A101-6734D725FED0}"/>
    <hyperlink ref="F64" location="$F$17" display="$F$17" xr:uid="{8C92B81E-1137-4D36-8DF8-2B9A92D586A5}"/>
    <hyperlink ref="G64" location="$G$17" display="$G$17" xr:uid="{5FAF32F7-40FC-40F1-8400-F872E86EACDE}"/>
  </hyperlinks>
  <pageMargins left="0.7" right="0.7" top="0.78740157499999996" bottom="0.78740157499999996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I13" sqref="I13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9" bestFit="1" customWidth="1" collapsed="1"/>
    <col min="3" max="3" width="32.140625" style="9" customWidth="1"/>
    <col min="4" max="4" width="25.7109375" style="9" customWidth="1"/>
    <col min="6" max="6" width="9.2851562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15.710937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9" customWidth="1" collapsed="1"/>
    <col min="15" max="15" width="13.5703125" customWidth="1" outlineLevel="1"/>
    <col min="16" max="16" width="11.42578125" customWidth="1" outlineLevel="1"/>
    <col min="17" max="17" width="20.28515625" style="6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8" t="s">
        <v>78</v>
      </c>
      <c r="M2" s="38" t="s">
        <v>78</v>
      </c>
      <c r="O2" s="8"/>
      <c r="P2" s="8"/>
      <c r="Q2" s="8"/>
      <c r="U2"/>
    </row>
    <row r="3" spans="1:22" x14ac:dyDescent="0.25">
      <c r="A3" s="6" t="s">
        <v>12</v>
      </c>
      <c r="B3" s="39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9" t="s">
        <v>14</v>
      </c>
      <c r="O3" s="6" t="s">
        <v>15</v>
      </c>
      <c r="P3" t="s">
        <v>13</v>
      </c>
      <c r="Q3" t="s">
        <v>47</v>
      </c>
      <c r="U3"/>
    </row>
    <row r="4" spans="1:22" x14ac:dyDescent="0.25">
      <c r="A4" s="24" t="s">
        <v>103</v>
      </c>
      <c r="B4" s="36"/>
      <c r="C4" s="23" t="s">
        <v>108</v>
      </c>
      <c r="D4" s="23" t="s">
        <v>170</v>
      </c>
      <c r="E4" s="24" t="s">
        <v>138</v>
      </c>
      <c r="F4" s="24"/>
      <c r="G4" s="24" t="s">
        <v>139</v>
      </c>
      <c r="H4" s="24" t="s">
        <v>111</v>
      </c>
      <c r="I4" s="25">
        <v>1</v>
      </c>
      <c r="J4" s="25">
        <v>0.50000000005820799</v>
      </c>
      <c r="K4" s="26">
        <v>43876.756701388891</v>
      </c>
      <c r="L4" s="25" t="s">
        <v>97</v>
      </c>
      <c r="M4" s="26" t="s">
        <v>97</v>
      </c>
      <c r="N4" s="36"/>
      <c r="O4" s="24" t="s">
        <v>19</v>
      </c>
      <c r="P4" s="24" t="s">
        <v>97</v>
      </c>
      <c r="Q4" s="24" t="s">
        <v>107</v>
      </c>
      <c r="U4"/>
    </row>
    <row r="5" spans="1:22" x14ac:dyDescent="0.25">
      <c r="A5" s="40" t="s">
        <v>180</v>
      </c>
      <c r="B5" s="36"/>
      <c r="C5" s="23" t="s">
        <v>181</v>
      </c>
      <c r="D5" s="23"/>
      <c r="E5" s="24"/>
      <c r="F5" s="40"/>
      <c r="G5" s="40" t="s">
        <v>139</v>
      </c>
      <c r="H5" s="40" t="s">
        <v>111</v>
      </c>
      <c r="I5" s="41">
        <v>0.5</v>
      </c>
      <c r="J5" s="41">
        <v>0.75</v>
      </c>
      <c r="K5" s="43">
        <v>43877.967650462961</v>
      </c>
      <c r="L5" s="40" t="s">
        <v>97</v>
      </c>
      <c r="M5" s="40" t="s">
        <v>97</v>
      </c>
      <c r="N5" s="36"/>
      <c r="O5" s="40" t="s">
        <v>19</v>
      </c>
      <c r="P5" s="40" t="s">
        <v>97</v>
      </c>
      <c r="Q5" s="40" t="s">
        <v>179</v>
      </c>
      <c r="U5"/>
    </row>
    <row r="6" spans="1:22" x14ac:dyDescent="0.25">
      <c r="A6" s="24" t="s">
        <v>94</v>
      </c>
      <c r="B6" s="36"/>
      <c r="C6" s="23" t="s">
        <v>105</v>
      </c>
      <c r="D6" s="23"/>
      <c r="E6" s="24"/>
      <c r="F6" s="24"/>
      <c r="G6" s="24" t="s">
        <v>140</v>
      </c>
      <c r="H6" s="24" t="s">
        <v>132</v>
      </c>
      <c r="I6" s="25">
        <v>1</v>
      </c>
      <c r="J6" s="25">
        <v>0.50000000005820799</v>
      </c>
      <c r="K6" s="26" t="s">
        <v>97</v>
      </c>
      <c r="L6" s="25">
        <v>0.5</v>
      </c>
      <c r="M6" s="26">
        <v>43878.354166666664</v>
      </c>
      <c r="N6" s="36"/>
      <c r="O6" s="24" t="s">
        <v>19</v>
      </c>
      <c r="P6" s="24">
        <v>4</v>
      </c>
      <c r="Q6" s="24" t="s">
        <v>104</v>
      </c>
      <c r="U6"/>
    </row>
    <row r="7" spans="1:22" x14ac:dyDescent="0.25">
      <c r="A7" s="40" t="s">
        <v>129</v>
      </c>
      <c r="B7" s="36"/>
      <c r="C7" s="23" t="s">
        <v>134</v>
      </c>
      <c r="D7" s="23" t="s">
        <v>172</v>
      </c>
      <c r="E7" s="24"/>
      <c r="F7" s="40" t="s">
        <v>137</v>
      </c>
      <c r="G7" s="40" t="s">
        <v>140</v>
      </c>
      <c r="H7" s="40" t="s">
        <v>132</v>
      </c>
      <c r="I7" s="41">
        <v>0.25</v>
      </c>
      <c r="J7" s="41">
        <v>2.5002777776098801</v>
      </c>
      <c r="K7" s="40" t="s">
        <v>97</v>
      </c>
      <c r="L7" s="41">
        <v>0.5</v>
      </c>
      <c r="M7" s="43">
        <v>43878.354166666664</v>
      </c>
      <c r="N7" s="36"/>
      <c r="O7" s="40" t="s">
        <v>19</v>
      </c>
      <c r="P7" s="40">
        <v>3</v>
      </c>
      <c r="Q7" s="40" t="s">
        <v>133</v>
      </c>
      <c r="U7"/>
    </row>
    <row r="8" spans="1:22" x14ac:dyDescent="0.25">
      <c r="A8" s="40" t="s">
        <v>130</v>
      </c>
      <c r="B8" s="36"/>
      <c r="C8" s="23" t="s">
        <v>136</v>
      </c>
      <c r="D8" s="23"/>
      <c r="E8" s="24"/>
      <c r="F8" s="40" t="s">
        <v>137</v>
      </c>
      <c r="G8" s="40" t="s">
        <v>140</v>
      </c>
      <c r="H8" s="40" t="s">
        <v>95</v>
      </c>
      <c r="I8" s="41">
        <v>5</v>
      </c>
      <c r="J8" s="41">
        <v>0</v>
      </c>
      <c r="K8" s="40" t="s">
        <v>97</v>
      </c>
      <c r="L8" s="41">
        <v>4.3499999999999996</v>
      </c>
      <c r="M8" s="43">
        <v>43878.51458333333</v>
      </c>
      <c r="N8" s="36"/>
      <c r="O8" s="40" t="s">
        <v>19</v>
      </c>
      <c r="P8" s="40">
        <v>2</v>
      </c>
      <c r="Q8" s="40" t="s">
        <v>135</v>
      </c>
      <c r="U8"/>
    </row>
    <row r="9" spans="1:22" x14ac:dyDescent="0.25">
      <c r="A9" s="24" t="s">
        <v>102</v>
      </c>
      <c r="B9" s="36"/>
      <c r="C9" s="23" t="s">
        <v>171</v>
      </c>
      <c r="D9" s="23"/>
      <c r="E9" s="24"/>
      <c r="F9" s="24"/>
      <c r="G9" s="24" t="s">
        <v>141</v>
      </c>
      <c r="H9" s="24" t="s">
        <v>95</v>
      </c>
      <c r="I9" s="25">
        <v>2</v>
      </c>
      <c r="J9" s="25">
        <v>0</v>
      </c>
      <c r="K9" s="26" t="s">
        <v>97</v>
      </c>
      <c r="L9" s="25">
        <v>6.4249999999999998</v>
      </c>
      <c r="M9" s="26">
        <v>43878.601041666669</v>
      </c>
      <c r="N9" s="36"/>
      <c r="O9" s="24" t="s">
        <v>19</v>
      </c>
      <c r="P9" s="24">
        <v>1</v>
      </c>
      <c r="Q9" s="24" t="s">
        <v>106</v>
      </c>
      <c r="U9"/>
    </row>
    <row r="10" spans="1:22" x14ac:dyDescent="0.25">
      <c r="A10" s="24"/>
      <c r="B10" s="36"/>
      <c r="C10" s="23"/>
      <c r="D10" s="23"/>
      <c r="F10" s="24"/>
      <c r="G10" s="24"/>
      <c r="H10" s="24"/>
      <c r="I10" s="24"/>
      <c r="J10" s="25"/>
      <c r="K10" s="24"/>
      <c r="L10" s="25"/>
      <c r="M10" s="25"/>
      <c r="N10" s="37"/>
      <c r="Q10" s="24"/>
      <c r="R10" s="37"/>
      <c r="S10" s="24"/>
      <c r="T10" s="24"/>
    </row>
    <row r="11" spans="1:22" x14ac:dyDescent="0.25">
      <c r="A11" s="24"/>
      <c r="B11" s="36"/>
      <c r="C11" s="23"/>
      <c r="D11" s="23" t="s">
        <v>144</v>
      </c>
      <c r="F11" s="24"/>
      <c r="G11" s="24"/>
      <c r="H11" s="24"/>
      <c r="I11" s="24"/>
      <c r="J11" s="25"/>
      <c r="K11" s="24"/>
      <c r="L11" s="25"/>
      <c r="M11" s="25"/>
      <c r="N11" s="37"/>
      <c r="Q11" s="24"/>
      <c r="R11" s="37"/>
      <c r="S11" s="24"/>
      <c r="T11" s="24"/>
      <c r="V11" s="8"/>
    </row>
    <row r="16" spans="1:22" x14ac:dyDescent="0.25">
      <c r="C16" s="11"/>
    </row>
    <row r="39" spans="22:22" x14ac:dyDescent="0.25">
      <c r="V39" t="s">
        <v>88</v>
      </c>
    </row>
  </sheetData>
  <dataConsolidate/>
  <conditionalFormatting sqref="B1 B3:B1048576">
    <cfRule type="containsText" dxfId="12" priority="6" operator="containsText" text="&lt;current">
      <formula>NOT(ISERROR(SEARCH("&lt;current",B1)))</formula>
    </cfRule>
  </conditionalFormatting>
  <conditionalFormatting sqref="N1:O1 H1:K1 H3:I3 L1:M3 I10:M11 Q12:Q1048576 I12:N1048576 J3:K4 N3:O9 H4:L9">
    <cfRule type="containsText" dxfId="11" priority="7" operator="containsText" text="Done">
      <formula>NOT(ISERROR(SEARCH("Done",H1)))</formula>
    </cfRule>
    <cfRule type="containsText" dxfId="10" priority="8" operator="containsText" text="In progress">
      <formula>NOT(ISERROR(SEARCH("In progress",H1)))</formula>
    </cfRule>
    <cfRule type="containsText" dxfId="9" priority="9" operator="containsText" text="To do">
      <formula>NOT(ISERROR(SEARCH("To do",H1)))</formula>
    </cfRule>
  </conditionalFormatting>
  <conditionalFormatting sqref="H4:H9">
    <cfRule type="containsText" dxfId="8" priority="1" operator="containsText" text="Note">
      <formula>NOT(ISERROR(SEARCH("Note",H4)))</formula>
    </cfRule>
  </conditionalFormatting>
  <conditionalFormatting sqref="S10:S1048576 P1 P3:P9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:H9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:O9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9" xr:uid="{73F6C7BA-14B7-4C80-8AF7-5958FC9ED5A8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9" xr:uid="{44D7C114-5165-4862-AB66-340113071D6E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9" xr:uid="{D0C4AC22-E715-4AC9-B8B3-A78A0B1EFE4C}">
      <formula1>"preparation,food,non food"</formula1>
    </dataValidation>
  </dataValidations>
  <hyperlinks>
    <hyperlink ref="C6" location="Planning!A1" display="Planning!A1" xr:uid="{E7E9EB20-9A6A-43A4-85F6-0260588D6383}"/>
    <hyperlink ref="C9" location="Planning!A1" display="Planning!A1" xr:uid="{8CFA1261-F85D-4859-A4DC-8DA15B465660}"/>
    <hyperlink ref="C4" location="Planning!A1" display="Planning!A1" xr:uid="{FB1E17D5-9329-412C-A215-AF443F84EE83}"/>
    <hyperlink ref="C7" location="Planning!A1" display="Planning!A1" xr:uid="{792735B3-7EC6-456B-AA74-6C5BB7D23AF3}"/>
    <hyperlink ref="C8" location="Planning!A1" display="Planning!A1" xr:uid="{9954AE94-97D8-47F5-8117-5885CDB8BC98}"/>
    <hyperlink ref="C5" location="Planning!A1" display="Planning!A1" xr:uid="{04870DFD-D153-4945-807F-C9000947D5AC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161925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200025</xdr:colOff>
                    <xdr:row>0</xdr:row>
                    <xdr:rowOff>76200</xdr:rowOff>
                  </from>
                  <to>
                    <xdr:col>8</xdr:col>
                    <xdr:colOff>9525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200025</xdr:colOff>
                    <xdr:row>0</xdr:row>
                    <xdr:rowOff>333375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66675</xdr:colOff>
                    <xdr:row>0</xdr:row>
                    <xdr:rowOff>66675</xdr:rowOff>
                  </from>
                  <to>
                    <xdr:col>9</xdr:col>
                    <xdr:colOff>781050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66675</xdr:colOff>
                    <xdr:row>0</xdr:row>
                    <xdr:rowOff>333375</xdr:rowOff>
                  </from>
                  <to>
                    <xdr:col>9</xdr:col>
                    <xdr:colOff>781050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161925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200025</xdr:colOff>
                    <xdr:row>0</xdr:row>
                    <xdr:rowOff>590550</xdr:rowOff>
                  </from>
                  <to>
                    <xdr:col>8</xdr:col>
                    <xdr:colOff>9525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90C7-8800-45BB-81E1-340A2E467212}">
  <sheetPr codeName="TaskSheetTemplate1"/>
  <dimension ref="A1:M2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134</v>
      </c>
    </row>
    <row r="3" spans="1:13" x14ac:dyDescent="0.25">
      <c r="A3" t="s">
        <v>79</v>
      </c>
      <c r="B3" s="2">
        <v>0.25</v>
      </c>
      <c r="C3" t="s">
        <v>4</v>
      </c>
    </row>
    <row r="4" spans="1:13" x14ac:dyDescent="0.25">
      <c r="A4" t="s">
        <v>0</v>
      </c>
      <c r="B4" s="2">
        <f>SUM(D:D)</f>
        <v>2.500277777609881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132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  <c r="B9" t="s">
        <v>172</v>
      </c>
    </row>
    <row r="10" spans="1:13" x14ac:dyDescent="0.25">
      <c r="A10" t="s">
        <v>47</v>
      </c>
      <c r="B10" t="s">
        <v>133</v>
      </c>
    </row>
    <row r="11" spans="1:13" x14ac:dyDescent="0.25">
      <c r="A11" t="s">
        <v>5</v>
      </c>
      <c r="B11" s="2">
        <f>B3/B4</f>
        <v>9.9988890130034008E-2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173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94</v>
      </c>
      <c r="B15" s="1">
        <v>43877.685219907406</v>
      </c>
      <c r="C15" s="1">
        <v>43877.695636574077</v>
      </c>
      <c r="D15" s="2">
        <f t="shared" ref="D15:D24" si="0">MAX((C15-B15)*24,0)</f>
        <v>0.25000000011641532</v>
      </c>
      <c r="F15" s="42" t="s">
        <v>109</v>
      </c>
      <c r="G15" s="23" t="s">
        <v>110</v>
      </c>
      <c r="I15" t="s">
        <v>94</v>
      </c>
      <c r="J15" s="15">
        <v>0.05</v>
      </c>
      <c r="K15" s="2">
        <v>2.5000000000000001E-2</v>
      </c>
      <c r="L15" s="2" t="e">
        <f>#REF!</f>
        <v>#REF!</v>
      </c>
      <c r="M15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16" spans="1:13" x14ac:dyDescent="0.25">
      <c r="A16" t="s">
        <v>98</v>
      </c>
      <c r="B16" s="1">
        <v>43877.685219907406</v>
      </c>
      <c r="C16" s="1">
        <v>43877.695636574077</v>
      </c>
      <c r="D16" s="2">
        <f t="shared" si="0"/>
        <v>0.25000000011641532</v>
      </c>
      <c r="F16" s="42" t="s">
        <v>109</v>
      </c>
      <c r="G16" s="23" t="s">
        <v>110</v>
      </c>
      <c r="I16" t="s">
        <v>98</v>
      </c>
      <c r="J16" s="15">
        <v>0.2</v>
      </c>
      <c r="K16" s="2">
        <v>2.5000000000000001E-2</v>
      </c>
      <c r="L16" s="2" t="e">
        <f>#REF!</f>
        <v>#REF!</v>
      </c>
      <c r="M16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17" spans="1:13" x14ac:dyDescent="0.25">
      <c r="A17" t="s">
        <v>99</v>
      </c>
      <c r="B17" s="1">
        <v>43877.685219907406</v>
      </c>
      <c r="C17" s="1">
        <v>43877.695636574077</v>
      </c>
      <c r="D17" s="2">
        <f t="shared" si="0"/>
        <v>0.25000000011641532</v>
      </c>
      <c r="F17" s="42" t="s">
        <v>109</v>
      </c>
      <c r="G17" s="23" t="s">
        <v>110</v>
      </c>
      <c r="I17" t="s">
        <v>99</v>
      </c>
      <c r="J17" s="15">
        <v>0.35</v>
      </c>
      <c r="K17" s="2">
        <v>2.5000000000000001E-2</v>
      </c>
      <c r="L17" s="2" t="e">
        <f>#REF!</f>
        <v>#REF!</v>
      </c>
      <c r="M17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18" spans="1:13" x14ac:dyDescent="0.25">
      <c r="A18" t="s">
        <v>102</v>
      </c>
      <c r="B18" s="1">
        <v>43877.685231481482</v>
      </c>
      <c r="C18" s="1">
        <v>43877.695648148147</v>
      </c>
      <c r="D18" s="2">
        <f t="shared" si="0"/>
        <v>0.24999999994179234</v>
      </c>
      <c r="F18" s="42" t="s">
        <v>109</v>
      </c>
      <c r="G18" s="23" t="s">
        <v>110</v>
      </c>
      <c r="I18" t="s">
        <v>102</v>
      </c>
      <c r="J18" s="15">
        <v>0.5</v>
      </c>
      <c r="K18" s="2">
        <v>2.5000000000000001E-2</v>
      </c>
      <c r="L18" s="2" t="e">
        <f>#REF!</f>
        <v>#REF!</v>
      </c>
      <c r="M18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19" spans="1:13" x14ac:dyDescent="0.25">
      <c r="A19" t="s">
        <v>103</v>
      </c>
      <c r="B19" s="1">
        <v>43877.685231481482</v>
      </c>
      <c r="C19" s="1">
        <v>43877.695648148147</v>
      </c>
      <c r="D19" s="2">
        <f t="shared" si="0"/>
        <v>0.24999999994179234</v>
      </c>
      <c r="F19" s="42" t="s">
        <v>109</v>
      </c>
      <c r="G19" s="23" t="s">
        <v>110</v>
      </c>
      <c r="I19" t="s">
        <v>103</v>
      </c>
      <c r="J19" s="15">
        <v>0.65</v>
      </c>
      <c r="K19" s="2">
        <v>2.5000000000000001E-2</v>
      </c>
      <c r="L19" s="2" t="e">
        <f>#REF!</f>
        <v>#REF!</v>
      </c>
      <c r="M19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20" spans="1:13" x14ac:dyDescent="0.25">
      <c r="A20" t="s">
        <v>118</v>
      </c>
      <c r="B20" s="1">
        <v>43877.685231481482</v>
      </c>
      <c r="C20" s="1">
        <v>43877.695648148147</v>
      </c>
      <c r="D20" s="2">
        <f t="shared" si="0"/>
        <v>0.24999999994179234</v>
      </c>
      <c r="F20" s="42" t="s">
        <v>109</v>
      </c>
      <c r="G20" s="23" t="s">
        <v>110</v>
      </c>
      <c r="I20" t="s">
        <v>118</v>
      </c>
      <c r="J20" s="15">
        <v>0.8</v>
      </c>
      <c r="K20" s="2">
        <v>2.5000000000000001E-2</v>
      </c>
      <c r="L20" s="2" t="e">
        <f>#REF!</f>
        <v>#REF!</v>
      </c>
      <c r="M20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21" spans="1:13" x14ac:dyDescent="0.25">
      <c r="A21" t="s">
        <v>119</v>
      </c>
      <c r="B21" s="1">
        <v>43877.685231481482</v>
      </c>
      <c r="C21" s="1">
        <v>43877.695648148147</v>
      </c>
      <c r="D21" s="2">
        <f t="shared" si="0"/>
        <v>0.24999999994179234</v>
      </c>
      <c r="F21" s="42" t="s">
        <v>109</v>
      </c>
      <c r="G21" s="23" t="s">
        <v>110</v>
      </c>
      <c r="I21" t="s">
        <v>119</v>
      </c>
      <c r="J21" s="15">
        <v>0.95</v>
      </c>
      <c r="K21" s="2">
        <v>2.5000000000000001E-2</v>
      </c>
      <c r="L21" s="2" t="e">
        <f>#REF!</f>
        <v>#REF!</v>
      </c>
      <c r="M21" s="16" t="e">
        <f>Tabelle7367922445776163446708096108122136152166182196212226242256272286302316332346362376392406422183448658096110126140156170186200216230246260276183046571634597694174188216228446194110172186202216232246266290320322362386408422442466556566602612616631290[[#This Row],[EBS self time]]/Tabelle7367922445776163446708096108122136152166182196212226242256272286302316332346362376392406422183448658096110126140156170186200216230246260276183046571634597694174188216228446194110172186202216232246266290320322362386408422442466556566602612616631290[[#This Row],[Total time]]</f>
        <v>#REF!</v>
      </c>
    </row>
    <row r="22" spans="1:13" x14ac:dyDescent="0.25">
      <c r="A22" t="s">
        <v>167</v>
      </c>
      <c r="B22" s="1">
        <v>43877.685231481482</v>
      </c>
      <c r="C22" s="1">
        <v>43877.695648148147</v>
      </c>
      <c r="D22" s="2">
        <f t="shared" si="0"/>
        <v>0.24999999994179234</v>
      </c>
      <c r="F22" s="42" t="s">
        <v>109</v>
      </c>
      <c r="G22" s="23" t="s">
        <v>110</v>
      </c>
    </row>
    <row r="23" spans="1:13" x14ac:dyDescent="0.25">
      <c r="A23" t="s">
        <v>168</v>
      </c>
      <c r="B23" s="1">
        <v>43877.685243055559</v>
      </c>
      <c r="C23" s="1">
        <v>43877.695659722223</v>
      </c>
      <c r="D23" s="2">
        <f t="shared" si="0"/>
        <v>0.24999999994179234</v>
      </c>
      <c r="F23" s="42" t="s">
        <v>109</v>
      </c>
      <c r="G23" s="23" t="s">
        <v>110</v>
      </c>
    </row>
    <row r="24" spans="1:13" x14ac:dyDescent="0.25">
      <c r="A24" t="s">
        <v>169</v>
      </c>
      <c r="B24" s="1">
        <v>43877.685243055559</v>
      </c>
      <c r="C24" s="1">
        <v>43877.695659722223</v>
      </c>
      <c r="D24" s="2">
        <f t="shared" si="0"/>
        <v>0.24999999994179234</v>
      </c>
      <c r="F24" s="42" t="s">
        <v>109</v>
      </c>
      <c r="G24" s="23" t="s">
        <v>110</v>
      </c>
    </row>
    <row r="25" spans="1:13" x14ac:dyDescent="0.25">
      <c r="A25" t="s">
        <v>129</v>
      </c>
      <c r="B25" s="1">
        <v>43877.807962962965</v>
      </c>
      <c r="C25" s="1">
        <v>43877.807974537034</v>
      </c>
      <c r="D25" s="2">
        <f>MAX((C25-B25)*24,0)</f>
        <v>2.7777766808867455E-4</v>
      </c>
      <c r="F25" s="42" t="s">
        <v>109</v>
      </c>
      <c r="G25" s="23" t="s">
        <v>110</v>
      </c>
    </row>
  </sheetData>
  <dataConsolidate/>
  <hyperlinks>
    <hyperlink ref="A1" location="Planning!A1" display="Go back to 'Planning' sheet" xr:uid="{9C908F70-A50C-4A5D-BDCA-E214D76CF6A8}"/>
    <hyperlink ref="F15" location="$F$15" display="$F$15" xr:uid="{EB263AEB-1E2D-4CE7-9C16-A491107881C7}"/>
    <hyperlink ref="G15" location="$G$15" display="$G$15" xr:uid="{D146A54F-8780-41EC-8DD6-F07D39ADCABA}"/>
    <hyperlink ref="F16" location="$F$16" display="$F$16" xr:uid="{0A766FE4-BACE-44DE-B7FA-8ED0D744612B}"/>
    <hyperlink ref="G16" location="$G$16" display="$G$16" xr:uid="{C9232FCB-60AF-4AB9-8F80-943DE0324E48}"/>
    <hyperlink ref="F17" location="$F$17" display="$F$17" xr:uid="{B9AB53B3-E2A2-4C62-A2B8-8634881DEF1C}"/>
    <hyperlink ref="G17" location="$G$17" display="$G$17" xr:uid="{0A453D18-5D60-404E-AF95-B8AB35AE993A}"/>
    <hyperlink ref="F18" location="$F$18" display="$F$18" xr:uid="{BE91F758-C8A4-479C-9C1C-38EF8CF83171}"/>
    <hyperlink ref="G18" location="$G$18" display="$G$18" xr:uid="{6599B74B-75A8-4FBA-836B-9386C5A682BB}"/>
    <hyperlink ref="F19" location="$F$19" display="$F$19" xr:uid="{77D7E3F0-612E-4F6A-A352-4860B983FAD0}"/>
    <hyperlink ref="G19" location="$G$19" display="$G$19" xr:uid="{69AA3D83-0262-4F9B-BE2A-7584F2473276}"/>
    <hyperlink ref="F20" location="$F$20" display="$F$20" xr:uid="{C0DBEC89-8BE8-4E1B-8613-4C5D37188463}"/>
    <hyperlink ref="G20" location="$G$20" display="$G$20" xr:uid="{BFB96785-14A6-4C34-9C6C-7D4F3F8B4629}"/>
    <hyperlink ref="F21" location="$F$21" display="$F$21" xr:uid="{DAA7D5C8-0713-4DD2-A4C6-2898C4E59A24}"/>
    <hyperlink ref="G21" location="$G$21" display="$G$21" xr:uid="{08894E07-02FF-4293-96A9-0FBD04B85640}"/>
    <hyperlink ref="F22" location="$F$22" display="$F$22" xr:uid="{B740F96A-8931-4803-8655-0F9678A8C6DB}"/>
    <hyperlink ref="G22" location="$G$22" display="$G$22" xr:uid="{33936253-2370-4970-95E1-2515340C0E67}"/>
    <hyperlink ref="F23" location="$F$23" display="$F$23" xr:uid="{2D816E89-4D43-4AA5-BBE4-D80F0D14E986}"/>
    <hyperlink ref="G23" location="$G$23" display="$G$23" xr:uid="{5353EC26-BC9B-42B1-87FF-547A29810D48}"/>
    <hyperlink ref="F24" location="$F$24" display="$F$24" xr:uid="{FF076F08-C478-461B-B6E7-7B208F264F14}"/>
    <hyperlink ref="G24" location="$G$24" display="$G$24" xr:uid="{472E9264-CFF9-401A-B07A-B7D1C04723E3}"/>
    <hyperlink ref="F25" location="$F$25" display="$F$25" xr:uid="{CB5371E2-67FE-4AE1-9C1D-82DB00D35322}"/>
    <hyperlink ref="G25" location="$G$25" display="$G$25" xr:uid="{7FE06697-29EC-4D35-813E-F2419F63496B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DE32-FD09-4A4C-84D7-A52663AB1975}">
  <sheetPr codeName="TaskSheetTemplate2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136</v>
      </c>
    </row>
    <row r="3" spans="1:13" x14ac:dyDescent="0.25">
      <c r="A3" t="s">
        <v>79</v>
      </c>
      <c r="B3" s="2">
        <v>5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135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145</v>
      </c>
    </row>
    <row r="13" spans="1:13" x14ac:dyDescent="0.25">
      <c r="A13" t="s">
        <v>101</v>
      </c>
      <c r="B13" t="s">
        <v>173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0.5</v>
      </c>
      <c r="L15" s="2" t="e">
        <f>#REF!</f>
        <v>#REF!</v>
      </c>
      <c r="M15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0.5</v>
      </c>
      <c r="L16" s="2" t="e">
        <f>#REF!</f>
        <v>#REF!</v>
      </c>
      <c r="M16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17" spans="9:13" x14ac:dyDescent="0.25">
      <c r="I17" t="s">
        <v>99</v>
      </c>
      <c r="J17" s="15">
        <v>0.35</v>
      </c>
      <c r="K17" s="2">
        <v>0.5</v>
      </c>
      <c r="L17" s="2" t="e">
        <f>#REF!</f>
        <v>#REF!</v>
      </c>
      <c r="M17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18" spans="9:13" x14ac:dyDescent="0.25">
      <c r="I18" t="s">
        <v>102</v>
      </c>
      <c r="J18" s="15">
        <v>0.5</v>
      </c>
      <c r="K18" s="2">
        <v>0.5</v>
      </c>
      <c r="L18" s="2" t="e">
        <f>#REF!</f>
        <v>#REF!</v>
      </c>
      <c r="M18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19" spans="9:13" x14ac:dyDescent="0.25">
      <c r="I19" t="s">
        <v>103</v>
      </c>
      <c r="J19" s="15">
        <v>0.65</v>
      </c>
      <c r="K19" s="2">
        <v>0.5</v>
      </c>
      <c r="L19" s="2" t="e">
        <f>#REF!</f>
        <v>#REF!</v>
      </c>
      <c r="M19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20" spans="9:13" x14ac:dyDescent="0.25">
      <c r="I20" t="s">
        <v>118</v>
      </c>
      <c r="J20" s="15">
        <v>0.8</v>
      </c>
      <c r="K20" s="2">
        <v>0.5</v>
      </c>
      <c r="L20" s="2" t="e">
        <f>#REF!</f>
        <v>#REF!</v>
      </c>
      <c r="M20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  <row r="21" spans="9:13" x14ac:dyDescent="0.25">
      <c r="I21" t="s">
        <v>119</v>
      </c>
      <c r="J21" s="15">
        <v>0.95</v>
      </c>
      <c r="K21" s="2">
        <v>0.5</v>
      </c>
      <c r="L21" s="2" t="e">
        <f>#REF!</f>
        <v>#REF!</v>
      </c>
      <c r="M21" s="16" t="e">
        <f>Tabelle7367720325068926426176881041141321441621741922042222342522642822943123243423543723844024141426445776881061181361481661781962082262382562681426447022406182961781902002222322425063100112176188206218236248272292368388412424448468496498570604620631294[[#This Row],[EBS self time]]/Tabelle7367720325068926426176881041141321441621741922042222342522642822943123243423543723844024141426445776881061181361481661781962082262382562681426447022406182961781902002222322425063100112176188206218236248272292368388412424448468496498570604620631294[[#This Row],[Total time]]</f>
        <v>#REF!</v>
      </c>
    </row>
  </sheetData>
  <dataConsolidate/>
  <hyperlinks>
    <hyperlink ref="A1" location="Planning!A1" display="Go back to 'Planning' sheet" xr:uid="{9A01DC30-0897-4518-8B6E-80B31DC2F6BE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FDD62-7437-46BF-9293-9EBADDBD636D}">
  <sheetPr codeName="TaskSheetTemplate3"/>
  <dimension ref="A1:M21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171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106</v>
      </c>
    </row>
    <row r="11" spans="1:13" x14ac:dyDescent="0.25">
      <c r="A11" t="s">
        <v>5</v>
      </c>
      <c r="B11" s="2" t="e">
        <f>B3/B4</f>
        <v>#DIV/0!</v>
      </c>
      <c r="C11" t="s">
        <v>6</v>
      </c>
    </row>
    <row r="12" spans="1:13" x14ac:dyDescent="0.25">
      <c r="A12" t="s">
        <v>100</v>
      </c>
      <c r="B12" t="s">
        <v>142</v>
      </c>
    </row>
    <row r="13" spans="1:13" x14ac:dyDescent="0.25">
      <c r="A13" t="s">
        <v>101</v>
      </c>
      <c r="B13" t="s">
        <v>143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/>
      <c r="G15" s="23"/>
      <c r="I15" t="s">
        <v>94</v>
      </c>
      <c r="J15" s="15">
        <v>0.05</v>
      </c>
      <c r="K15" s="2">
        <v>0.2</v>
      </c>
      <c r="L15" s="2" t="e">
        <f>#REF!</f>
        <v>#REF!</v>
      </c>
      <c r="M15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16" spans="1:13" x14ac:dyDescent="0.25">
      <c r="B16" s="1"/>
      <c r="C16" s="1"/>
      <c r="D16" s="2"/>
      <c r="G16" s="23"/>
      <c r="I16" t="s">
        <v>98</v>
      </c>
      <c r="J16" s="15">
        <v>0.2</v>
      </c>
      <c r="K16" s="2">
        <v>0.2</v>
      </c>
      <c r="L16" s="2" t="e">
        <f>#REF!</f>
        <v>#REF!</v>
      </c>
      <c r="M16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17" spans="2:13" x14ac:dyDescent="0.25">
      <c r="B17" s="1"/>
      <c r="C17" s="1"/>
      <c r="D17" s="2"/>
      <c r="G17" s="23"/>
      <c r="I17" t="s">
        <v>99</v>
      </c>
      <c r="J17" s="15">
        <v>0.35</v>
      </c>
      <c r="K17" s="2">
        <v>0.2</v>
      </c>
      <c r="L17" s="2" t="e">
        <f>#REF!</f>
        <v>#REF!</v>
      </c>
      <c r="M17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18" spans="2:13" x14ac:dyDescent="0.25">
      <c r="B18" s="1"/>
      <c r="C18" s="1"/>
      <c r="D18" s="2"/>
      <c r="G18" s="23"/>
      <c r="I18" t="s">
        <v>102</v>
      </c>
      <c r="J18" s="15">
        <v>0.5</v>
      </c>
      <c r="K18" s="2">
        <v>0.2</v>
      </c>
      <c r="L18" s="2" t="e">
        <f>#REF!</f>
        <v>#REF!</v>
      </c>
      <c r="M18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19" spans="2:13" x14ac:dyDescent="0.25">
      <c r="B19" s="1"/>
      <c r="C19" s="1"/>
      <c r="D19" s="2"/>
      <c r="G19" s="23"/>
      <c r="I19" t="s">
        <v>103</v>
      </c>
      <c r="J19" s="15">
        <v>0.65</v>
      </c>
      <c r="K19" s="2">
        <v>0.2</v>
      </c>
      <c r="L19" s="2" t="e">
        <f>#REF!</f>
        <v>#REF!</v>
      </c>
      <c r="M19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20" spans="2:13" x14ac:dyDescent="0.25">
      <c r="B20" s="1"/>
      <c r="C20" s="1"/>
      <c r="D20" s="2"/>
      <c r="G20" s="23"/>
      <c r="I20" t="s">
        <v>118</v>
      </c>
      <c r="J20" s="15">
        <v>0.8</v>
      </c>
      <c r="K20" s="2">
        <v>0.2</v>
      </c>
      <c r="L20" s="2" t="e">
        <f>#REF!</f>
        <v>#REF!</v>
      </c>
      <c r="M20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  <row r="21" spans="2:13" x14ac:dyDescent="0.25">
      <c r="I21" t="s">
        <v>119</v>
      </c>
      <c r="J21" s="15">
        <v>0.95</v>
      </c>
      <c r="K21" s="2">
        <v>0.2</v>
      </c>
      <c r="L21" s="2" t="e">
        <f>#REF!</f>
        <v>#REF!</v>
      </c>
      <c r="M21" s="16" t="e">
        <f>Tabelle7367142448598018384852728410212613815616818619821622824625827628830631833634836637839640842620385070821001121301421601721902022202322502622802034486118466388981821921962202382442854681041161361801902102202402502782943743904164264544705105285741298[[#This Row],[EBS self time]]/Tabelle7367142448598018384852728410212613815616818619821622824625827628830631833634836637839640842620385070821001121301421601721902022202322502622802034486118466388981821921962202382442854681041161361801902102202402502782943743904164264544705105285741298[[#This Row],[Total time]]</f>
        <v>#REF!</v>
      </c>
    </row>
  </sheetData>
  <dataConsolidate/>
  <hyperlinks>
    <hyperlink ref="A1" location="Planning!A1" display="Go back to 'Planning' sheet" xr:uid="{FF03403D-F9CB-43BF-8FFA-DF4888835DB7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8D97-C621-416E-AC11-6E38B42B44A9}">
  <sheetPr codeName="EbsSheetTemplate1"/>
  <dimension ref="A15:T48"/>
  <sheetViews>
    <sheetView workbookViewId="0">
      <selection activeCell="J10" sqref="J10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198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94</v>
      </c>
      <c r="B19" s="17">
        <v>43877.9684837963</v>
      </c>
      <c r="C19" t="s">
        <v>197</v>
      </c>
      <c r="D19" t="s">
        <v>27</v>
      </c>
      <c r="E19" t="s">
        <v>96</v>
      </c>
      <c r="F19" t="s">
        <v>194</v>
      </c>
      <c r="G19" t="s">
        <v>195</v>
      </c>
      <c r="H19" t="s">
        <v>196</v>
      </c>
      <c r="J19" t="s">
        <v>94</v>
      </c>
      <c r="K19" t="s">
        <v>104</v>
      </c>
      <c r="L19">
        <v>4</v>
      </c>
      <c r="M19" s="2">
        <v>0.50000000005820799</v>
      </c>
      <c r="N19" s="2">
        <v>1</v>
      </c>
      <c r="O19" t="s">
        <v>183</v>
      </c>
      <c r="P19" t="s">
        <v>184</v>
      </c>
      <c r="Q19" t="s">
        <v>184</v>
      </c>
      <c r="R19" t="s">
        <v>96</v>
      </c>
      <c r="S19" t="s">
        <v>185</v>
      </c>
      <c r="T19" t="s">
        <v>186</v>
      </c>
    </row>
    <row r="20" spans="1:20" x14ac:dyDescent="0.25">
      <c r="B20" s="17"/>
      <c r="J20" t="s">
        <v>98</v>
      </c>
      <c r="K20" t="s">
        <v>133</v>
      </c>
      <c r="L20">
        <v>3</v>
      </c>
      <c r="M20" s="2">
        <v>2.5002777776098801</v>
      </c>
      <c r="N20" s="2">
        <v>0.25</v>
      </c>
      <c r="O20" t="s">
        <v>187</v>
      </c>
      <c r="P20" t="s">
        <v>175</v>
      </c>
      <c r="Q20" t="s">
        <v>184</v>
      </c>
      <c r="R20" t="s">
        <v>96</v>
      </c>
      <c r="S20" t="s">
        <v>185</v>
      </c>
      <c r="T20" t="s">
        <v>186</v>
      </c>
    </row>
    <row r="21" spans="1:20" x14ac:dyDescent="0.25">
      <c r="B21" s="17"/>
      <c r="J21" t="s">
        <v>99</v>
      </c>
      <c r="K21" t="s">
        <v>135</v>
      </c>
      <c r="L21">
        <v>2</v>
      </c>
      <c r="M21" s="2">
        <v>0</v>
      </c>
      <c r="N21" s="2">
        <v>5</v>
      </c>
      <c r="O21" t="s">
        <v>188</v>
      </c>
      <c r="P21" t="s">
        <v>188</v>
      </c>
      <c r="Q21" t="s">
        <v>189</v>
      </c>
      <c r="R21" t="s">
        <v>96</v>
      </c>
      <c r="S21" t="s">
        <v>190</v>
      </c>
      <c r="T21" t="s">
        <v>191</v>
      </c>
    </row>
    <row r="22" spans="1:20" x14ac:dyDescent="0.25">
      <c r="B22" s="17"/>
      <c r="J22" t="s">
        <v>102</v>
      </c>
      <c r="K22" t="s">
        <v>106</v>
      </c>
      <c r="L22">
        <v>1</v>
      </c>
      <c r="M22" s="2">
        <v>0</v>
      </c>
      <c r="N22" s="2">
        <v>2</v>
      </c>
      <c r="O22" t="s">
        <v>192</v>
      </c>
      <c r="P22" t="s">
        <v>192</v>
      </c>
      <c r="Q22" t="s">
        <v>193</v>
      </c>
      <c r="R22" t="s">
        <v>96</v>
      </c>
      <c r="S22" t="s">
        <v>194</v>
      </c>
      <c r="T22" t="s">
        <v>195</v>
      </c>
    </row>
    <row r="23" spans="1:20" x14ac:dyDescent="0.25">
      <c r="B23" s="17"/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  <c r="M25" s="2"/>
      <c r="N25" s="2"/>
    </row>
    <row r="26" spans="1:20" x14ac:dyDescent="0.25">
      <c r="B26" s="17"/>
      <c r="M26" s="2"/>
      <c r="N26" s="2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652FE7B9-644E-4188-BD13-F78B05607475}">
      <formula1>"Yes,No"</formula1>
    </dataValidation>
    <dataValidation type="list" allowBlank="1" showInputMessage="1" showErrorMessage="1" sqref="F16" xr:uid="{22838F88-98E0-41A8-86EB-92282807CFF8}">
      <formula1>"Time,Date"</formula1>
    </dataValidation>
    <dataValidation type="list" allowBlank="1" showInputMessage="1" showErrorMessage="1" sqref="F15:H15" xr:uid="{363CBBC3-CE68-4DB6-BB51-8A5DB5F8BF95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9"/>
  <sheetViews>
    <sheetView workbookViewId="0">
      <selection activeCell="B5" sqref="B5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122</v>
      </c>
    </row>
    <row r="2" spans="1:4" x14ac:dyDescent="0.25">
      <c r="A2" s="10"/>
    </row>
    <row r="3" spans="1:4" x14ac:dyDescent="0.25">
      <c r="A3" t="s">
        <v>123</v>
      </c>
      <c r="B3" s="31">
        <v>43817.077002314814</v>
      </c>
      <c r="C3" s="29"/>
      <c r="D3" s="29"/>
    </row>
    <row r="4" spans="1:4" x14ac:dyDescent="0.25">
      <c r="A4" t="s">
        <v>124</v>
      </c>
      <c r="B4" s="31">
        <v>43862</v>
      </c>
      <c r="C4" s="29"/>
      <c r="D4" s="29"/>
    </row>
    <row r="5" spans="1:4" x14ac:dyDescent="0.25">
      <c r="A5" t="s">
        <v>125</v>
      </c>
      <c r="B5" s="28" t="s">
        <v>163</v>
      </c>
      <c r="C5" s="29"/>
      <c r="D5" s="29"/>
    </row>
    <row r="6" spans="1:4" ht="27" customHeight="1" x14ac:dyDescent="0.25"/>
    <row r="8" spans="1:4" ht="15.75" thickBot="1" x14ac:dyDescent="0.3">
      <c r="A8" s="30" t="s">
        <v>127</v>
      </c>
      <c r="B8" s="30" t="s">
        <v>121</v>
      </c>
      <c r="C8" s="35" t="s">
        <v>120</v>
      </c>
      <c r="D8" s="30" t="s">
        <v>126</v>
      </c>
    </row>
    <row r="9" spans="1:4" x14ac:dyDescent="0.25">
      <c r="A9" s="32"/>
      <c r="B9" s="33"/>
      <c r="C9" s="33"/>
      <c r="D9" s="34"/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B25" sqref="B25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7" t="s">
        <v>117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162</v>
      </c>
      <c r="C4" t="s">
        <v>177</v>
      </c>
      <c r="D4" t="s">
        <v>176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131</v>
      </c>
      <c r="B6" s="20" t="s">
        <v>128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177</v>
      </c>
    </row>
    <row r="13" spans="1:10" x14ac:dyDescent="0.25">
      <c r="B13" t="s">
        <v>91</v>
      </c>
      <c r="C13" t="s">
        <v>176</v>
      </c>
      <c r="D13" s="2"/>
      <c r="E13" s="2"/>
    </row>
    <row r="14" spans="1:10" x14ac:dyDescent="0.25">
      <c r="B14" s="2" t="s">
        <v>93</v>
      </c>
      <c r="C14" s="12" t="s">
        <v>162</v>
      </c>
    </row>
    <row r="17" spans="1:2" x14ac:dyDescent="0.25">
      <c r="A17" t="s">
        <v>85</v>
      </c>
    </row>
    <row r="24" spans="1:2" x14ac:dyDescent="0.25">
      <c r="A24" t="s">
        <v>146</v>
      </c>
      <c r="B24" s="20" t="s">
        <v>178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  <hyperlink ref="C14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24" sqref="C24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147</v>
      </c>
      <c r="B3" t="s">
        <v>150</v>
      </c>
      <c r="C3" t="s">
        <v>148</v>
      </c>
      <c r="D3" t="s">
        <v>151</v>
      </c>
      <c r="E3" t="s">
        <v>149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97</v>
      </c>
    </row>
    <row r="3" spans="1:13" x14ac:dyDescent="0.25">
      <c r="A3" t="s">
        <v>79</v>
      </c>
      <c r="B3" s="2" t="s">
        <v>97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97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95</v>
      </c>
    </row>
    <row r="8" spans="1:13" x14ac:dyDescent="0.25">
      <c r="A8" t="s">
        <v>16</v>
      </c>
      <c r="B8" s="5" t="s">
        <v>97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97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100</v>
      </c>
    </row>
    <row r="13" spans="1:13" x14ac:dyDescent="0.25">
      <c r="A13" t="s">
        <v>101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5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5"/>
      <c r="K15" s="2"/>
      <c r="L15" s="2">
        <f>$B$4</f>
        <v>0</v>
      </c>
      <c r="M15" s="16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152</v>
      </c>
    </row>
    <row r="9" spans="1:2" x14ac:dyDescent="0.25">
      <c r="A9" s="6" t="s">
        <v>29</v>
      </c>
    </row>
    <row r="10" spans="1:2" x14ac:dyDescent="0.25">
      <c r="B10" t="s">
        <v>153</v>
      </c>
    </row>
    <row r="11" spans="1:2" x14ac:dyDescent="0.25">
      <c r="B11" t="s">
        <v>154</v>
      </c>
    </row>
    <row r="12" spans="1:2" x14ac:dyDescent="0.25">
      <c r="B12" t="s">
        <v>157</v>
      </c>
    </row>
    <row r="13" spans="1:2" x14ac:dyDescent="0.25">
      <c r="B13" t="s">
        <v>174</v>
      </c>
    </row>
    <row r="14" spans="1:2" x14ac:dyDescent="0.25">
      <c r="A14" t="s">
        <v>32</v>
      </c>
    </row>
    <row r="15" spans="1:2" x14ac:dyDescent="0.25">
      <c r="B15" t="s">
        <v>158</v>
      </c>
    </row>
    <row r="16" spans="1:2" x14ac:dyDescent="0.25">
      <c r="A16" s="10" t="s">
        <v>155</v>
      </c>
    </row>
    <row r="17" spans="1:3" x14ac:dyDescent="0.25">
      <c r="B17" t="s">
        <v>156</v>
      </c>
    </row>
    <row r="18" spans="1:3" x14ac:dyDescent="0.25">
      <c r="A18" s="10" t="s">
        <v>112</v>
      </c>
      <c r="B18" s="10"/>
    </row>
    <row r="19" spans="1:3" x14ac:dyDescent="0.25">
      <c r="B19" t="s">
        <v>116</v>
      </c>
    </row>
    <row r="20" spans="1:3" x14ac:dyDescent="0.25">
      <c r="B20" t="s">
        <v>113</v>
      </c>
    </row>
    <row r="21" spans="1:3" x14ac:dyDescent="0.25">
      <c r="B21" t="s">
        <v>114</v>
      </c>
    </row>
    <row r="22" spans="1:3" x14ac:dyDescent="0.25">
      <c r="B22" t="s">
        <v>115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44" t="s">
        <v>76</v>
      </c>
      <c r="G15" s="45"/>
      <c r="H15" s="45"/>
    </row>
    <row r="16" spans="5:8" x14ac:dyDescent="0.25">
      <c r="E16" s="14" t="s">
        <v>74</v>
      </c>
      <c r="F16" s="44" t="s">
        <v>37</v>
      </c>
      <c r="G16" s="45"/>
      <c r="H16" s="45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VSHEET_STOR_D5D31E</vt:lpstr>
      <vt:lpstr>Planning</vt:lpstr>
      <vt:lpstr>t86F89BCDC9F9FA3B4</vt:lpstr>
      <vt:lpstr>t429885C27F77EA728</vt:lpstr>
      <vt:lpstr>t35EBA085FF3A95514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2020-02-16T22:15:08Z</dcterms:modified>
  <cp:category/>
  <cp:contentStatus/>
</cp:coreProperties>
</file>