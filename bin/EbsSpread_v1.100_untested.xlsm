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5.xml" ContentType="application/vnd.openxmlformats-officedocument.spreadsheetml.table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6.xml" ContentType="application/vnd.openxmlformats-officedocument.spreadsheetml.table+xml"/>
  <Override PartName="/xl/drawings/drawing11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2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AAC6D0AF-2A9E-4837-B2E9-E25BA32FCF44}" xr6:coauthVersionLast="45" xr6:coauthVersionMax="45" xr10:uidLastSave="{00000000-0000-0000-0000-000000000000}"/>
  <bookViews>
    <workbookView xWindow="-120" yWindow="-120" windowWidth="24240" windowHeight="13140" tabRatio="813" activeTab="11" xr2:uid="{DAA936AD-5BF0-425A-A8EF-49858B3BE9B8}"/>
  </bookViews>
  <sheets>
    <sheet name="Planning" sheetId="1" r:id="rId1"/>
    <sheet name="tD63F7F4494CABA67B" sheetId="1403" state="hidden" r:id="rId2"/>
    <sheet name="t429885C27F77EA728" sheetId="1404" state="hidden" r:id="rId3"/>
    <sheet name="t5C33AE2C601539DCA" sheetId="1405" state="hidden" r:id="rId4"/>
    <sheet name="t86F89BCDC9F9FA3B4" sheetId="1406" state="hidden" r:id="rId5"/>
    <sheet name="t35EBA085FF3A95514" sheetId="1407" state="hidden" r:id="rId6"/>
    <sheet name="Analysis" sheetId="1004" r:id="rId7"/>
    <sheet name="EbsSheet (Me)" sheetId="978" r:id="rId8"/>
    <sheet name="Settings" sheetId="418" r:id="rId9"/>
    <sheet name="Messages" sheetId="1390" r:id="rId10"/>
    <sheet name="Task sheet template" sheetId="5" state="hidden" r:id="rId11"/>
    <sheet name="Version info" sheetId="3" r:id="rId12"/>
    <sheet name="EbsSheet template" sheetId="440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407" l="1"/>
  <c r="M21" i="1407" s="1"/>
  <c r="L20" i="1407"/>
  <c r="M20" i="1407" s="1"/>
  <c r="M19" i="1407"/>
  <c r="L19" i="1407"/>
  <c r="M18" i="1407"/>
  <c r="L18" i="1407"/>
  <c r="M17" i="1407"/>
  <c r="L17" i="1407"/>
  <c r="M16" i="1407"/>
  <c r="L16" i="1407"/>
  <c r="M15" i="1407"/>
  <c r="L15" i="1407"/>
  <c r="D15" i="1407"/>
  <c r="B4" i="1407" s="1"/>
  <c r="B11" i="1407" s="1"/>
  <c r="M21" i="1406"/>
  <c r="L21" i="1406"/>
  <c r="M20" i="1406"/>
  <c r="L20" i="1406"/>
  <c r="M19" i="1406"/>
  <c r="L19" i="1406"/>
  <c r="M18" i="1406"/>
  <c r="L18" i="1406"/>
  <c r="M17" i="1406"/>
  <c r="L17" i="1406"/>
  <c r="M16" i="1406"/>
  <c r="L16" i="1406"/>
  <c r="M15" i="1406"/>
  <c r="L15" i="1406"/>
  <c r="D15" i="1406"/>
  <c r="B4" i="1406" s="1"/>
  <c r="B11" i="1406" s="1"/>
  <c r="M21" i="1405"/>
  <c r="L21" i="1405"/>
  <c r="M20" i="1405"/>
  <c r="L20" i="1405"/>
  <c r="M19" i="1405"/>
  <c r="L19" i="1405"/>
  <c r="M18" i="1405"/>
  <c r="L18" i="1405"/>
  <c r="M17" i="1405"/>
  <c r="L17" i="1405"/>
  <c r="M16" i="1405"/>
  <c r="L16" i="1405"/>
  <c r="M15" i="1405"/>
  <c r="L15" i="1405"/>
  <c r="D15" i="1405"/>
  <c r="B4" i="1405" s="1"/>
  <c r="B11" i="1405" s="1"/>
  <c r="D15" i="1404"/>
  <c r="B4" i="1404" s="1"/>
  <c r="D16" i="1403"/>
  <c r="D15" i="1403"/>
  <c r="L21" i="1404" l="1"/>
  <c r="M21" i="1404" s="1"/>
  <c r="L19" i="1404"/>
  <c r="M19" i="1404" s="1"/>
  <c r="L17" i="1404"/>
  <c r="M17" i="1404" s="1"/>
  <c r="L15" i="1404"/>
  <c r="M15" i="1404" s="1"/>
  <c r="L20" i="1404"/>
  <c r="M20" i="1404" s="1"/>
  <c r="L18" i="1404"/>
  <c r="M18" i="1404" s="1"/>
  <c r="L16" i="1404"/>
  <c r="M16" i="1404" s="1"/>
  <c r="B11" i="1404"/>
  <c r="B4" i="1403"/>
  <c r="L21" i="1403" s="1"/>
  <c r="M21" i="1403" s="1"/>
  <c r="B11" i="1403"/>
  <c r="L15" i="1403" l="1"/>
  <c r="M15" i="1403" s="1"/>
  <c r="L18" i="1403"/>
  <c r="M18" i="1403" s="1"/>
  <c r="L19" i="1403"/>
  <c r="M19" i="1403" s="1"/>
  <c r="L16" i="1403"/>
  <c r="M16" i="1403" s="1"/>
  <c r="L17" i="1403"/>
  <c r="M17" i="1403" s="1"/>
  <c r="L20" i="1403"/>
  <c r="M20" i="1403" s="1"/>
  <c r="J4" i="418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tc={5BECE97B-DB74-4CCD-A56E-287AB29264F1}</author>
  </authors>
  <commentList>
    <comment ref="P18" authorId="0" shapeId="0" xr:uid="{5BECE97B-DB74-4CCD-A56E-287AB29264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<sst xmlns="http://schemas.openxmlformats.org/spreadsheetml/2006/main" count="460" uniqueCount="181">
  <si>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</si>
  <si>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</si>
  <si>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</si>
  <si>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</si>
  <si>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</si>
  <si>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</si>
  <si>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</si>
  <si>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</si>
  <si>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</si>
  <si>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</si>
  <si>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</si>
  <si>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</si>
  <si>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</si>
  <si>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</si>
  <si>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</si>
  <si>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</si>
  <si>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</si>
  <si>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</si>
  <si>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</si>
  <si>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</si>
  <si>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</si>
  <si>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</si>
  <si>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</si>
  <si>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</si>
  <si>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</si>
  <si>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</si>
  <si>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</si>
  <si>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</si>
  <si>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</si>
  <si>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</si>
  <si>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</si>
  <si>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</si>
  <si>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</si>
  <si>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</si>
  <si>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</si>
  <si>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</si>
  <si>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</si>
  <si>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</si>
  <si>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</si>
  <si>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</si>
  <si>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</si>
  <si>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</si>
  <si>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</si>
  <si>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</si>
  <si>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</si>
  <si>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</si>
  <si>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</si>
  <si>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</si>
  <si>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</si>
  <si>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</si>
  <si>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</si>
  <si>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</si>
  <si>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</si>
  <si>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</si>
  <si>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</si>
  <si>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</si>
  <si>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</si>
  <si>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</si>
  <si>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</si>
  <si>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</si>
  <si>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</si>
  <si>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</si>
  <si>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</si>
  <si>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</si>
  <si>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</si>
  <si>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</si>
  <si>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</si>
  <si>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</si>
  <si>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</si>
  <si>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</si>
  <si>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</si>
  <si>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</si>
  <si>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</si>
  <si>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</si>
  <si>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</si>
  <si>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</si>
  <si>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</si>
  <si>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</si>
  <si>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</si>
  <si>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</si>
  <si>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</si>
  <si>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</si>
  <si>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</si>
  <si>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</si>
  <si>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</si>
  <si>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</si>
  <si>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</si>
  <si>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</si>
  <si>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</si>
  <si>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</si>
  <si>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</si>
  <si>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</si>
  <si>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</si>
  <si>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</si>
  <si>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</si>
  <si>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</si>
  <si>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</si>
  <si>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</si>
  <si>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</si>
  <si>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</si>
  <si>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</si>
  <si>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</si>
  <si>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</si>
  <si>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</si>
  <si>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</si>
  <si>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</si>
  <si>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</si>
  <si>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</si>
  <si>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</si>
  <si>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</si>
  <si>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</si>
  <si>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t35EBA085FF3A95514</t>
  </si>
  <si>
    <t>Have a chat with the store owner</t>
  </si>
  <si>
    <t>tD63F7F4494CABA67B</t>
  </si>
  <si>
    <t>Take bags</t>
  </si>
  <si>
    <t>SetPlainDelta()</t>
  </si>
  <si>
    <t>SetCalendarDelta()</t>
  </si>
  <si>
    <t>Done</t>
  </si>
  <si>
    <t>{0,750;0,667}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</si>
  <si>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</si>
  <si>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</si>
  <si>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</si>
  <si>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</si>
  <si>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</si>
  <si>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</si>
  <si>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</si>
  <si>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</si>
  <si>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{4,083;4,125;4,292;4,417;4,458;4,625;4,625}</t>
  </si>
  <si>
    <t>{15/01/2020 12:05:00;15/01/2020 12:07:30;15/01/2020 12:17:30;15/01/2020 12:25:00;15/01/2020 12:27:30;15/01/2020 12:37:30;15/01/2020 12:37:30}</t>
  </si>
  <si>
    <t>e02CC749D33AEB9883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</si>
  <si>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</si>
  <si>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</si>
  <si>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</si>
  <si>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</si>
  <si>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</si>
  <si>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</si>
  <si>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</si>
  <si>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</si>
  <si>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</si>
  <si>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e61828CC4673454E2B</t>
  </si>
  <si>
    <t>{0,667}</t>
  </si>
  <si>
    <t>{2,999;2,999;2,999;2,999;2,999;2,999;2,999}</t>
  </si>
  <si>
    <t>{10/02/2020 10:59:55;10/02/2020 10:59:55;10/02/2020 10:59:55;10/02/2020 10:59:55;10/02/2020 10:59:55;10/02/2020 10:59:55;10/02/2020 10:59:55}</t>
  </si>
  <si>
    <t>#000011</t>
  </si>
  <si>
    <t>#000012</t>
  </si>
  <si>
    <t>FirstDayOfWeek</t>
  </si>
  <si>
    <t>Week</t>
  </si>
  <si>
    <t>In progress</t>
  </si>
  <si>
    <t>t86F89BCDC9F9FA3B4</t>
  </si>
  <si>
    <t>Buy pineapples</t>
  </si>
  <si>
    <t>t429885C27F77EA728</t>
  </si>
  <si>
    <t>Buy strawberries</t>
  </si>
  <si>
    <t>fruit</t>
  </si>
  <si>
    <t>important</t>
  </si>
  <si>
    <t>preparation</t>
  </si>
  <si>
    <t>food</t>
  </si>
  <si>
    <t>non food</t>
  </si>
  <si>
    <t>{%Tag 3}</t>
  </si>
  <si>
    <t>{non food}</t>
  </si>
  <si>
    <t>d</t>
  </si>
  <si>
    <t>{%Tag 2;%Tag 3}</t>
  </si>
  <si>
    <t>{fruit;d}</t>
  </si>
  <si>
    <t>ImportedTaskPostfix</t>
  </si>
  <si>
    <t>Message no.</t>
  </si>
  <si>
    <t>Message</t>
  </si>
  <si>
    <t>Severity</t>
  </si>
  <si>
    <t>Timestamp</t>
  </si>
  <si>
    <t>Caller</t>
  </si>
  <si>
    <t>{7,287;7,287;7,287;7,287;7,287;7,287;7,287}</t>
  </si>
  <si>
    <t>e2A98B57D200D1D944</t>
  </si>
  <si>
    <t>{6,667}</t>
  </si>
  <si>
    <t>{17/02/2020 15:17:14;17/02/2020 15:17:14;17/02/2020 15:17:14;17/02/2020 15:17:14;17/02/2020 15:17:14;17/02/2020 15:17:14;17/02/2020 15:17:14}</t>
  </si>
  <si>
    <t xml:space="preserve"> (imported2)</t>
  </si>
  <si>
    <t>{%Tag 2}</t>
  </si>
  <si>
    <t>{fruit}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</si>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</sst>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10" borderId="0" xfId="2" applyFont="1" applyFill="1"/>
    <xf numFmtId="22" fontId="0" fillId="0" borderId="0" xfId="0" applyNumberForma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8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14/01/2020 23:56:26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4A9B-4B96-981B-B1DDD26B02C2}"/>
            </c:ext>
          </c:extLst>
        </c:ser>
        <c:ser>
          <c:idx val="1"/>
          <c:order val="1"/>
          <c:tx>
            <c:v>Velo pool on: 09/02/2020 20:05:21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4A9B-4B96-981B-B1DDD26B02C2}"/>
            </c:ext>
          </c:extLst>
        </c:ser>
        <c:ser>
          <c:idx val="2"/>
          <c:order val="2"/>
          <c:tx>
            <c:v>Velo pool on: 15/02/2020 16:38:41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4A9B-4B96-981B-B1DDD26B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3"/>
              <c:pt idx="0">
                <c:v>43844.997523148151</c:v>
              </c:pt>
              <c:pt idx="1">
                <c:v>43870.837048611109</c:v>
              </c:pt>
              <c:pt idx="2">
                <c:v>43876.693530092591</c:v>
              </c:pt>
            </c:numLit>
          </c:xVal>
          <c:yVal>
            <c:numLit>
              <c:formatCode>General</c:formatCode>
              <c:ptCount val="3"/>
              <c:pt idx="0">
                <c:v>4.1875</c:v>
              </c:pt>
              <c:pt idx="1">
                <c:v>2.9990000000000001</c:v>
              </c:pt>
              <c:pt idx="2">
                <c:v>7.2869999999999999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0581-472B-99BC-A2E4DCFD5F2B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3"/>
              <c:pt idx="0">
                <c:v>43844.997523148151</c:v>
              </c:pt>
              <c:pt idx="1">
                <c:v>43870.837048611109</c:v>
              </c:pt>
              <c:pt idx="2">
                <c:v>43876.693530092591</c:v>
              </c:pt>
            </c:numLit>
          </c:xVal>
          <c:yVal>
            <c:numLit>
              <c:formatCode>General</c:formatCode>
              <c:ptCount val="3"/>
              <c:pt idx="0">
                <c:v>4.375</c:v>
              </c:pt>
              <c:pt idx="1">
                <c:v>2.9990000000000001</c:v>
              </c:pt>
              <c:pt idx="2">
                <c:v>7.2869999999999999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581-472B-99BC-A2E4DCFD5F2B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3"/>
              <c:pt idx="0">
                <c:v>43844.997523148151</c:v>
              </c:pt>
              <c:pt idx="1">
                <c:v>43870.837048611109</c:v>
              </c:pt>
              <c:pt idx="2">
                <c:v>43876.693530092591</c:v>
              </c:pt>
            </c:numLit>
          </c:xVal>
          <c:yVal>
            <c:numLit>
              <c:formatCode>General</c:formatCode>
              <c:ptCount val="3"/>
              <c:pt idx="0">
                <c:v>4.5415000000000001</c:v>
              </c:pt>
              <c:pt idx="1">
                <c:v>2.9990000000000001</c:v>
              </c:pt>
              <c:pt idx="2">
                <c:v>7.2869999999999999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581-472B-99BC-A2E4DCFD5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8324A3D-B300-4B94-8B60-9B52BD96CDC9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6F40415-1896-46AB-85A8-8930566461E2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BCA041-01F2-4EFB-B15A-D9294493D7DB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544C9D0-4055-483C-8388-AE4AFDD525C9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E0299A8-F794-4929-B80B-5DA86404F7EA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7D3E3DE-8B21-4FFE-A2D1-8051FDBD3D66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31116E8-FA08-44D8-BAE9-278BF4D44DC5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3C3BC61-46A6-498F-9CB6-6FAEB064CC66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D14B038-EE43-42F8-AD2C-E7BE8F90BF58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8B3D79D-5810-4B95-87C6-3476B7501D36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13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30" dataCellStyle="Standard"/>
    <tableColumn id="3" xr3:uid="{3AD21368-826B-4507-A159-BE8BE5B02C1F}" name="Indicator" dataDxfId="29" dataCellStyle="Spaltenebene_1"/>
    <tableColumn id="2" xr3:uid="{C139B307-7150-4838-B1FD-482AAB7B1208}" name="Task name" dataDxfId="28" dataCellStyle="Link"/>
    <tableColumn id="18" xr3:uid="{3B298737-E571-4F23-9C71-2BC3C2385355}" name="Comment" dataDxfId="27" dataCellStyle="Link"/>
    <tableColumn id="4" xr3:uid="{E2EAEAF6-33EC-4D8C-B42E-C249C36E3D3C}" name="%Tag 1" dataDxfId="26" dataCellStyle="Standard"/>
    <tableColumn id="5" xr3:uid="{1E4EAD98-8B30-4F09-AA64-D7613D00651F}" name="%Tag 2" dataDxfId="25" dataCellStyle="Standard"/>
    <tableColumn id="6" xr3:uid="{9E1E50BB-6DA2-47A1-BB20-8C9FAC4B0DB5}" name="%Tag 3" dataDxfId="24" dataCellStyle="Standard"/>
    <tableColumn id="10" xr3:uid="{85CEF83B-6217-49AE-8974-E4D5953E2637}" name="Kanban list" dataDxfId="23" dataCellStyle="Standard"/>
    <tableColumn id="11" xr3:uid="{E542542F-D34F-488A-95AF-76A724785E5A}" name="User time estimate" dataDxfId="22" dataCellStyle="Standard"/>
    <tableColumn id="12" xr3:uid="{7DA005F8-D924-4031-B65E-6C6F60E3212D}" name="Total time" dataDxfId="21" dataCellStyle="Standard"/>
    <tableColumn id="16" xr3:uid="{209AEE68-BDAE-4E8C-BCF6-6EEA4F9A7FDE}" name="Finished on" dataDxfId="20" dataCellStyle="Standard"/>
    <tableColumn id="8" xr3:uid="{727785B7-29B9-493D-A20B-C319B38E1DF3}" name="EBS 50% time" dataDxfId="19" dataCellStyle="Standard"/>
    <tableColumn id="9" xr3:uid="{B12BA9B8-3C81-408C-AFE4-25993FD8491D}" name="EBS 50% date" dataDxfId="18" dataCellStyle="Standard"/>
    <tableColumn id="20" xr3:uid="{DAE27A09-2EB0-4A47-A9F0-48ED802D8570}" name="Due date" dataDxfId="17" dataCellStyle="Spaltenebene_1"/>
    <tableColumn id="19" xr3:uid="{7A8CB495-6AE9-4A1E-AC5B-8B6487C84135}" name="Contributor" dataDxfId="16" dataCellStyle="Standard"/>
    <tableColumn id="17" xr3:uid="{EF767A93-0B38-4A66-A27B-92321C0E655C}" name="Priority" dataDxfId="15" dataCellStyle="Standard"/>
    <tableColumn id="15" xr3:uid="{2ADBC76B-EB88-4BCD-8956-7B4B22C5A3D4}" name="tHASH" dataDxfId="14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EE3A740-0B63-4BC1-B36B-6093D0014A56}" name="TimeEntries217355162" displayName="TimeEntries217355162" ref="A14:G16" totalsRowShown="0">
  <autoFilter ref="A14:G16" xr:uid="{3490D292-1AF1-44F9-83EF-4788BA60BB28}"/>
  <sortState xmlns:xlrd2="http://schemas.microsoft.com/office/spreadsheetml/2017/richdata2" ref="A15:E15">
    <sortCondition ref="A14:A15"/>
  </sortState>
  <tableColumns count="7">
    <tableColumn id="1" xr3:uid="{79E2E78F-6C6C-4E38-9F56-5BD8B5280482}" name="Time entry no."/>
    <tableColumn id="2" xr3:uid="{43C20941-4AA5-4834-96B1-D3929E635686}" name="Start time" dataDxfId="62"/>
    <tableColumn id="3" xr3:uid="{1168053C-913D-4A67-92DA-A1B89182A74D}" name="End time" dataDxfId="61"/>
    <tableColumn id="4" xr3:uid="{779D4C75-04D0-42FF-9879-145E330C9F08}" name="Time delta in h" dataDxfId="60">
      <calculatedColumnFormula>MAX((C15-B15)*24,0)</calculatedColumnFormula>
    </tableColumn>
    <tableColumn id="5" xr3:uid="{42A5BA49-3479-4F1D-9C75-2B3BC9D4D67E}" name="Indicator"/>
    <tableColumn id="6" xr3:uid="{F6296CF7-150B-4167-99E9-F00EC06CDAAD}" name="Action1" dataDxfId="55" dataCellStyle="Link"/>
    <tableColumn id="7" xr3:uid="{A483FD7B-E5A8-49C8-8019-4B5FC305780D}" name="Action2" dataDxfId="56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8ABE26E4-C5D6-429B-9D88-F83083D0E6E1}" name="Tabelle7367518365263" displayName="Tabelle7367518365263" ref="I14:M21" totalsRowShown="0">
  <autoFilter ref="I14:M21" xr:uid="{4C70834C-973A-4750-B238-E469777F6D02}"/>
  <tableColumns count="5">
    <tableColumn id="1" xr3:uid="{DDD58B33-F3C3-4074-B672-5D34184607CB}" name="Comparison entry no."/>
    <tableColumn id="2" xr3:uid="{296A4107-0197-4569-9AB8-EDF57CBC9E90}" name="Propability Support point" dataDxfId="59"/>
    <tableColumn id="3" xr3:uid="{11641D7B-FAE2-4172-9346-A0AAE5076F1F}" name="EBS self time" dataDxfId="58"/>
    <tableColumn id="4" xr3:uid="{8FADFDD5-5EFD-4E5E-8E3D-A181D7664176}" name="Total time">
      <calculatedColumnFormula>$B$4</calculatedColumnFormula>
    </tableColumn>
    <tableColumn id="5" xr3:uid="{E7C57CD2-C5C1-4966-8E1A-34130F1F6CAA}" name="Total time / Your estimate" dataDxfId="57">
      <calculatedColumnFormula>Tabelle7367518365263[[#This Row],[EBS self time]]/Tabelle7367518365263[[#This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406DB21-7749-4505-A86E-618A6E0BE9FD}" name="TimeEntries619314966" displayName="TimeEntries619314966" ref="A14:G15" totalsRowShown="0">
  <autoFilter ref="A14:G15" xr:uid="{EAE126C7-E1C7-4D3E-8254-F75152A013C6}"/>
  <sortState xmlns:xlrd2="http://schemas.microsoft.com/office/spreadsheetml/2017/richdata2" ref="A15:E15">
    <sortCondition ref="A14:A15"/>
  </sortState>
  <tableColumns count="7">
    <tableColumn id="1" xr3:uid="{F688B567-1147-4255-87FE-E1487AE5ABE1}" name="Time entry no."/>
    <tableColumn id="2" xr3:uid="{1E5E355A-F4C4-4B3A-9C1A-ACB607C3BC49}" name="Start time" dataDxfId="54"/>
    <tableColumn id="3" xr3:uid="{3D602951-E2A9-4594-8275-D2372984C9C3}" name="End time" dataDxfId="53"/>
    <tableColumn id="4" xr3:uid="{153E7496-C668-40FD-9D82-7C4329E3B245}" name="Time delta in h" dataDxfId="52">
      <calculatedColumnFormula>MAX((C15-B15)*24,0)</calculatedColumnFormula>
    </tableColumn>
    <tableColumn id="5" xr3:uid="{CB90B702-45DE-43CD-BB6E-BA2FBA9A13D9}" name="Indicator"/>
    <tableColumn id="6" xr3:uid="{78BB7E3D-EFDE-4AB1-8BBF-A8EA643E1BE4}" name="Action1"/>
    <tableColumn id="7" xr3:uid="{1E1BBD84-D9FC-4FAF-9D71-469F60F8DBD9}" name="Action2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22A8ED6-7069-4B9D-BC02-B793480D7650}" name="Tabelle7367720325068" displayName="Tabelle7367720325068" ref="I14:M21" totalsRowShown="0">
  <autoFilter ref="I14:M21" xr:uid="{146A596B-D80B-4F1D-9C74-31C65359693D}"/>
  <tableColumns count="5">
    <tableColumn id="1" xr3:uid="{2E26AED1-E76A-4779-A8B3-ADA9BCA36CFE}" name="Comparison entry no."/>
    <tableColumn id="2" xr3:uid="{DA64FD8D-B843-471D-A8FD-31C8C3F00E67}" name="Propability Support point" dataDxfId="51"/>
    <tableColumn id="3" xr3:uid="{FDC09E0F-AEF2-4191-9727-6CF6F5F38A07}" name="EBS self time" dataDxfId="50"/>
    <tableColumn id="4" xr3:uid="{74529A63-AE26-432B-BC8E-92F94EF2979C}" name="Total time">
      <calculatedColumnFormula>$B$4</calculatedColumnFormula>
    </tableColumn>
    <tableColumn id="5" xr3:uid="{64D4DB74-B756-4A78-9DDA-867EA808065A}" name="Total time / Your estimate" dataDxfId="49">
      <calculatedColumnFormula>Tabelle7367720325068[[#This Row],[EBS self time]]/Tabelle7367720325068[[#This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99B5017-6684-41BB-9A1F-40120063808D}" name="TimeEntries1525395371" displayName="TimeEntries1525395371" ref="A14:G15" totalsRowShown="0">
  <autoFilter ref="A14:G15" xr:uid="{6D4E4738-110B-4D86-B119-8C60C5E4A0DF}"/>
  <tableColumns count="7">
    <tableColumn id="1" xr3:uid="{13D406CB-FAF9-449F-AAFD-4560B851C69C}" name="Time entry no."/>
    <tableColumn id="2" xr3:uid="{2B129558-4038-498A-B640-A152E5AC00E4}" name="Start time" dataDxfId="48"/>
    <tableColumn id="3" xr3:uid="{4615FD5E-418F-4705-B8FA-8D09210B2563}" name="End time" dataDxfId="47"/>
    <tableColumn id="4" xr3:uid="{79AAB146-1210-4267-BC1D-5046BC9ECB19}" name="Time delta in h" dataDxfId="46">
      <calculatedColumnFormula>MAX((C15-B15)*24,0)</calculatedColumnFormula>
    </tableColumn>
    <tableColumn id="5" xr3:uid="{247B2AFE-1241-4F0E-8832-0383BEFC6C24}" name="Indicator"/>
    <tableColumn id="6" xr3:uid="{1909C4AD-1505-419E-8EF2-8D2C781E640D}" name="Action1"/>
    <tableColumn id="7" xr3:uid="{111A8B42-D3E6-43FB-96AD-7C26C0045422}" name="Action2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1569637-FCEA-4F26-BA4E-63ABAB566682}" name="Tabelle73671628405472" displayName="Tabelle73671628405472" ref="I14:M21" totalsRowShown="0">
  <autoFilter ref="I14:M21" xr:uid="{3E170402-DBFE-4C9D-A403-2597E8D86080}"/>
  <tableColumns count="5">
    <tableColumn id="1" xr3:uid="{9C917265-D5B7-4BEC-9AD6-EAEFC41A6E82}" name="Comparison entry no."/>
    <tableColumn id="2" xr3:uid="{B819F9C7-7099-48F1-B5B3-76BADFFAB7C0}" name="Propability Support point" dataDxfId="45"/>
    <tableColumn id="3" xr3:uid="{93F86A8B-5B64-4E26-ABEB-86298EDD10A8}" name="EBS self time" dataDxfId="44"/>
    <tableColumn id="4" xr3:uid="{90A31BB7-C80F-493C-8484-94F93E0764CC}" name="Total time">
      <calculatedColumnFormula>#REF!</calculatedColumnFormula>
    </tableColumn>
    <tableColumn id="5" xr3:uid="{3BAE38C1-28DF-4CFE-BC9A-FD876CABE271}" name="Total time / Your estimate" dataDxfId="43">
      <calculatedColumnFormula>Tabelle73671628405472[[#This Row],[EBS self time]]/Tabelle73671628405472[[#This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12AE7CE-A892-443D-A651-A107F48D41E8}" name="TimeEntries821435675" displayName="TimeEntries821435675" ref="A14:G15" totalsRowShown="0">
  <autoFilter ref="A14:G15" xr:uid="{87D08E92-DA53-46C5-B8CB-D9B1D27A11F3}"/>
  <tableColumns count="7">
    <tableColumn id="1" xr3:uid="{A5D73FF0-4554-4E14-A67E-86240242BC29}" name="Time entry no."/>
    <tableColumn id="2" xr3:uid="{4BB1BA4B-834C-428B-AE12-5D52A820F6C0}" name="Start time" dataDxfId="42"/>
    <tableColumn id="3" xr3:uid="{952E590B-C098-40B3-B7BB-0C29D5180891}" name="End time" dataDxfId="41"/>
    <tableColumn id="4" xr3:uid="{2B429EE5-1A65-43D7-A1A9-1A0689FA834D}" name="Time delta in h" dataDxfId="40">
      <calculatedColumnFormula>MAX((C15-B15)*24,0)</calculatedColumnFormula>
    </tableColumn>
    <tableColumn id="5" xr3:uid="{D85CF51B-6535-4108-A2C8-8A14B4DB7889}" name="Indicator"/>
    <tableColumn id="6" xr3:uid="{67684D83-356B-4CB9-BEA5-F1A28B860E95}" name="Action1"/>
    <tableColumn id="7" xr3:uid="{AD6551EB-B5A3-4AD7-A5C0-6181D62A56CB}" name="Action2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365C872-8C2B-446F-BDF4-45C099FC1E44}" name="Tabelle7367922445776" displayName="Tabelle7367922445776" ref="I14:M21" totalsRowShown="0">
  <autoFilter ref="I14:M21" xr:uid="{AE1E0129-45A7-4495-98E5-4C1C8E7C6DB4}"/>
  <tableColumns count="5">
    <tableColumn id="1" xr3:uid="{16B1D996-78E8-4DF7-A8AD-AA85D72CFA6A}" name="Comparison entry no."/>
    <tableColumn id="2" xr3:uid="{B838BCC1-5736-4D89-BE70-C2869417615B}" name="Propability Support point" dataDxfId="39"/>
    <tableColumn id="3" xr3:uid="{9E788127-1969-42D9-A544-B2D789D63E5A}" name="EBS self time" dataDxfId="38"/>
    <tableColumn id="4" xr3:uid="{C99C40EA-84C5-4CEE-9C2A-38376046D198}" name="Total time">
      <calculatedColumnFormula>#REF!</calculatedColumnFormula>
    </tableColumn>
    <tableColumn id="5" xr3:uid="{A4AB89AE-B531-4170-A10A-B881C69C957F}" name="Total time / Your estimate" dataDxfId="37">
      <calculatedColumnFormula>Tabelle7367922445776[[#This Row],[EBS self time]]/Tabelle7367922445776[[#This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25308CD1-8D3F-4CB3-8D70-71BC46C8CF88}" name="TimeEntries1323475879" displayName="TimeEntries1323475879" ref="A14:G15" totalsRowShown="0">
  <autoFilter ref="A14:G15" xr:uid="{E07C3AE9-A8B2-4041-980F-2153C976FF2C}"/>
  <tableColumns count="7">
    <tableColumn id="1" xr3:uid="{D8BBD658-AEE2-4912-9710-BD6C3307E9F2}" name="Time entry no."/>
    <tableColumn id="2" xr3:uid="{FB9CC520-F911-4434-BF44-CE4641CB438E}" name="Start time" dataDxfId="36"/>
    <tableColumn id="3" xr3:uid="{E50B61EF-D1E3-4B49-9695-C5579F9DDBC3}" name="End time" dataDxfId="35"/>
    <tableColumn id="4" xr3:uid="{954B9D70-9AEE-4FE6-93A1-FBFD19F8F26E}" name="Time delta in h" dataDxfId="34">
      <calculatedColumnFormula>MAX((C15-B15)*24,0)</calculatedColumnFormula>
    </tableColumn>
    <tableColumn id="5" xr3:uid="{B5B38D6A-6A7A-46B2-8155-A738B1660E02}" name="Indicator"/>
    <tableColumn id="6" xr3:uid="{61481DB2-26ED-47C8-BEFE-C8E1E7341959}" name="Action1"/>
    <tableColumn id="7" xr3:uid="{A27C35AC-C963-46E5-B3C3-BE70C4364791}" name="Action2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5AB433EE-0FFC-485E-949A-FF35E32FED1C}" name="Tabelle73671424485980" displayName="Tabelle73671424485980" ref="I14:M21" totalsRowShown="0">
  <autoFilter ref="I14:M21" xr:uid="{BD2B49BA-390C-447C-9A41-ABC98EDB3B8C}"/>
  <tableColumns count="5">
    <tableColumn id="1" xr3:uid="{75D1DCED-966F-4476-B41A-F30F8A65869C}" name="Comparison entry no."/>
    <tableColumn id="2" xr3:uid="{E69ABD4C-7278-4E2C-B7A6-4E2A92FF096E}" name="Propability Support point" dataDxfId="33"/>
    <tableColumn id="3" xr3:uid="{7E1FADC1-5620-4CDC-8D68-875640769A79}" name="EBS self time" dataDxfId="32"/>
    <tableColumn id="4" xr3:uid="{07752D6C-D04A-419A-AA72-3D37521ECBB1}" name="Total time">
      <calculatedColumnFormula>#REF!</calculatedColumnFormula>
    </tableColumn>
    <tableColumn id="5" xr3:uid="{F50691AB-948C-4885-BE77-6EE6FC69C69E}" name="Total time / Your estimate" dataDxfId="31">
      <calculatedColumnFormula>Tabelle73671424485980[[#This Row],[EBS self time]]/Tabelle73671424485980[[#This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9" totalsRowShown="0" headerRowDxfId="86" dataDxfId="84" headerRowBorderDxfId="85">
  <autoFilter ref="A8:D9" xr:uid="{8E9EC0C1-7901-48B6-A59A-1CE6ABEE7A55}"/>
  <tableColumns count="4">
    <tableColumn id="1" xr3:uid="{58BB2187-C79D-4A1A-A9A3-DA2F074C476C}" name="Split entry no." dataDxfId="83"/>
    <tableColumn id="2" xr3:uid="{A755482D-FFF4-43D8-8021-1956CE3A7021}" name="Split start" dataDxfId="82"/>
    <tableColumn id="3" xr3:uid="{FE0A0B8D-1F8A-4CEC-9FB3-C945A45F99BF}" name="Split end" dataDxfId="81"/>
    <tableColumn id="4" xr3:uid="{5443222D-0CE3-4625-9EDB-D13B87B6C388}" name="Time spent" dataDxfId="80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7D6B44D-CABA-417C-96B6-A30994641785}" name="EbsBaseData4326270426" displayName="EbsBaseData4326270426" ref="A18:H23" totalsRowShown="0">
  <autoFilter ref="A18:H23" xr:uid="{1948C160-1F52-48A7-8061-8AFF06D47134}"/>
  <tableColumns count="8">
    <tableColumn id="1" xr3:uid="{91517E98-D4F0-4A7E-84DA-227C1BE1665A}" name="EBS entry no."/>
    <tableColumn id="4" xr3:uid="{55F96566-5C71-4986-A9EA-6CFEA4B41FD8}" name="EBS run date" dataDxfId="79"/>
    <tableColumn id="8" xr3:uid="{E7BF2E9D-BAA6-4DCE-9CB8-7D19B2F9CA53}" name="[Velocity pool]"/>
    <tableColumn id="2" xr3:uid="{54B0F21A-8DAA-470B-8510-B61FD51691E3}" name="Show pool?"/>
    <tableColumn id="3" xr3:uid="{5C9609C1-7E08-4438-8537-D4EE693DB8FC}" name="[Propability support points]"/>
    <tableColumn id="5" xr3:uid="{42021D75-6616-4DEA-9FCF-A3EB22C8FAD0}" name="[Project time estimates]"/>
    <tableColumn id="6" xr3:uid="{FAEF8027-EA81-45FE-8B1F-1A1CD4F86BD1}" name="[Project date estimates]"/>
    <tableColumn id="7" xr3:uid="{CAB0B7AE-CD86-4889-8C28-2C4FB9B619C5}" name="eHASH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4000A3-C4F9-491B-B88B-B4354F36E248}" name="EbsTaskData9592711227" displayName="EbsTaskData9592711227" ref="J18:T19" totalsRowShown="0">
  <autoFilter ref="J18:T19" xr:uid="{2297DC20-55A3-4C75-B785-3C4ABEF5CB9C}"/>
  <tableColumns count="11">
    <tableColumn id="1" xr3:uid="{24DAE38F-68BF-42BA-A468-76F23E7946F5}" name="Data entry no."/>
    <tableColumn id="10" xr3:uid="{846A3B0F-DF9C-4EE8-94E4-A757B7C5E77D}" name="tHASH"/>
    <tableColumn id="5" xr3:uid="{E9F8B96F-0375-4FFA-A1CA-75A4410501A5}" name="Logged Priority"/>
    <tableColumn id="7" xr3:uid="{0C3AD91E-785E-41D7-B966-4FC1671810B6}" name="Time spent so far" dataDxfId="78"/>
    <tableColumn id="4" xr3:uid="{B9100390-2F49-43D5-AF03-D7AE698C0FEF}" name="User time estimate" dataDxfId="77"/>
    <tableColumn id="3" xr3:uid="{78613373-FB01-4F78-AEEF-28D3D67DCA18}" name="[Monte Carlo estimate pool]"/>
    <tableColumn id="2" xr3:uid="{47CE218C-7523-4EDB-BFC3-940103DF2B87}" name="[Remaining time pool]"/>
    <tableColumn id="6" xr3:uid="{9995C5A0-7939-49DA-B6EA-EC27F62627B1}" name="[Accumulated time pool]"/>
    <tableColumn id="8" xr3:uid="{429E7426-0B86-43B1-97F3-F36D70A5F9A5}" name="[Propability support points]"/>
    <tableColumn id="9" xr3:uid="{2BC8CA61-F84B-4931-9B0C-6ABB05E57B11}" name="[Interpolated time estimates]"/>
    <tableColumn id="11" xr3:uid="{200A92D7-49D5-4112-9D7F-A7C1E62C7D18}" name="[Interpolated date estimates]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76" dataCellStyle="Link"/>
    <tableColumn id="9" xr3:uid="{0037D127-E2BA-445A-BC63-1395BA3AC441}" name="Calendar ID" dataDxfId="75" dataCellStyle="Link"/>
    <tableColumn id="10" xr3:uid="{37CA3B7B-8FF0-4042-97C6-E23A79A74325}" name="Store ID"/>
    <tableColumn id="6" xr3:uid="{044D8005-25C5-4D31-940A-B6DE4C6B0EA5}" name="WorkingDays" dataDxfId="74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73"/>
    <tableColumn id="8" xr3:uid="{1177B0FB-46B2-406D-B988-C64E0ABA6972}" name="AppointmentOffsetHours" dataDxfId="72">
      <calculatedColumnFormula>5/60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71"/>
    <tableColumn id="3" xr3:uid="{78DABF02-3853-48FF-81AD-5801C74BED1B}" name="End time" dataDxfId="70"/>
    <tableColumn id="4" xr3:uid="{76C994F9-216A-4848-9FB6-16BAF8B0EEEA}" name="Time delta in h" dataDxfId="69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68"/>
    <tableColumn id="3" xr3:uid="{A62B365F-400F-45A4-B789-FE7B5FDBD312}" name="EBS self time" dataDxfId="67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66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65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64"/>
    <tableColumn id="4" xr3:uid="{F9EDA55E-5206-49A7-A846-6A0B14C04CAF}" name="User time estimate" dataDxfId="63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5BECE97B-DB74-4CCD-A56E-287AB29264F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5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opLeftCell="B1" zoomScaleNormal="100" workbookViewId="0">
      <selection activeCell="D16" sqref="D16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9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15.710937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9" customWidth="1" collapsed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8" t="s">
        <v>78</v>
      </c>
      <c r="M2" s="38" t="s">
        <v>78</v>
      </c>
      <c r="O2" s="8"/>
      <c r="P2" s="8"/>
      <c r="Q2" s="8"/>
      <c r="U2"/>
    </row>
    <row r="3" spans="1:22" x14ac:dyDescent="0.25">
      <c r="A3" s="6" t="s">
        <v>12</v>
      </c>
      <c r="B3" s="39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9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104</v>
      </c>
      <c r="B4" s="36"/>
      <c r="C4" s="23" t="s">
        <v>114</v>
      </c>
      <c r="D4" s="23" t="s">
        <v>159</v>
      </c>
      <c r="E4" s="24" t="s">
        <v>153</v>
      </c>
      <c r="F4" s="24"/>
      <c r="G4" s="24" t="s">
        <v>154</v>
      </c>
      <c r="H4" s="24" t="s">
        <v>117</v>
      </c>
      <c r="I4" s="25">
        <v>5</v>
      </c>
      <c r="J4" s="25">
        <v>0.50000000005820799</v>
      </c>
      <c r="K4" s="26">
        <v>43875.951493055552</v>
      </c>
      <c r="L4" s="25" t="s">
        <v>98</v>
      </c>
      <c r="M4" s="26" t="s">
        <v>98</v>
      </c>
      <c r="N4" s="36"/>
      <c r="O4" s="24" t="s">
        <v>19</v>
      </c>
      <c r="P4" s="24" t="s">
        <v>98</v>
      </c>
      <c r="Q4" s="24" t="s">
        <v>113</v>
      </c>
      <c r="U4"/>
    </row>
    <row r="5" spans="1:22" x14ac:dyDescent="0.25">
      <c r="A5" s="40" t="s">
        <v>144</v>
      </c>
      <c r="B5" s="36"/>
      <c r="C5" s="23" t="s">
        <v>151</v>
      </c>
      <c r="D5" s="23"/>
      <c r="E5" s="24"/>
      <c r="F5" s="40" t="s">
        <v>152</v>
      </c>
      <c r="G5" s="40"/>
      <c r="H5" s="40" t="s">
        <v>96</v>
      </c>
      <c r="I5" s="41">
        <v>42</v>
      </c>
      <c r="J5" s="41">
        <v>0</v>
      </c>
      <c r="K5" s="40" t="s">
        <v>98</v>
      </c>
      <c r="L5" s="41">
        <v>6.95</v>
      </c>
      <c r="M5" s="43">
        <v>43878.62290509259</v>
      </c>
      <c r="N5" s="36"/>
      <c r="O5" s="40" t="s">
        <v>19</v>
      </c>
      <c r="P5" s="40">
        <v>4</v>
      </c>
      <c r="Q5" s="40" t="s">
        <v>150</v>
      </c>
      <c r="U5"/>
    </row>
    <row r="6" spans="1:22" x14ac:dyDescent="0.25">
      <c r="A6" s="24" t="s">
        <v>95</v>
      </c>
      <c r="B6" s="36"/>
      <c r="C6" s="23" t="s">
        <v>110</v>
      </c>
      <c r="D6" s="23"/>
      <c r="E6" s="24"/>
      <c r="F6" s="24"/>
      <c r="G6" s="24" t="s">
        <v>155</v>
      </c>
      <c r="H6" s="24" t="s">
        <v>147</v>
      </c>
      <c r="I6" s="25">
        <v>1</v>
      </c>
      <c r="J6" s="25">
        <v>0</v>
      </c>
      <c r="K6" s="26"/>
      <c r="L6" s="25">
        <v>0.9</v>
      </c>
      <c r="M6" s="26">
        <v>43878.370833333334</v>
      </c>
      <c r="N6" s="36"/>
      <c r="O6" s="24" t="s">
        <v>19</v>
      </c>
      <c r="P6" s="24">
        <v>3</v>
      </c>
      <c r="Q6" s="24" t="s">
        <v>109</v>
      </c>
      <c r="U6"/>
    </row>
    <row r="7" spans="1:22" x14ac:dyDescent="0.25">
      <c r="A7" s="40" t="s">
        <v>143</v>
      </c>
      <c r="B7" s="36"/>
      <c r="C7" s="23" t="s">
        <v>149</v>
      </c>
      <c r="D7" s="23"/>
      <c r="E7" s="24"/>
      <c r="F7" s="40" t="s">
        <v>152</v>
      </c>
      <c r="G7" s="40" t="s">
        <v>159</v>
      </c>
      <c r="H7" s="40" t="s">
        <v>96</v>
      </c>
      <c r="I7" s="41">
        <v>0.25</v>
      </c>
      <c r="J7" s="41">
        <v>0</v>
      </c>
      <c r="K7" s="40" t="s">
        <v>98</v>
      </c>
      <c r="L7" s="41">
        <v>6.9870000000000001</v>
      </c>
      <c r="M7" s="43">
        <v>43878.624467592592</v>
      </c>
      <c r="N7" s="36"/>
      <c r="O7" s="40" t="s">
        <v>19</v>
      </c>
      <c r="P7" s="40">
        <v>2</v>
      </c>
      <c r="Q7" s="40" t="s">
        <v>148</v>
      </c>
      <c r="U7"/>
    </row>
    <row r="8" spans="1:22" x14ac:dyDescent="0.25">
      <c r="A8" s="24" t="s">
        <v>103</v>
      </c>
      <c r="B8" s="36"/>
      <c r="C8" s="23" t="s">
        <v>112</v>
      </c>
      <c r="D8" s="23"/>
      <c r="E8" s="24"/>
      <c r="F8" s="24"/>
      <c r="G8" s="24" t="s">
        <v>156</v>
      </c>
      <c r="H8" s="24" t="s">
        <v>96</v>
      </c>
      <c r="I8" s="25">
        <v>2</v>
      </c>
      <c r="J8" s="25">
        <v>0</v>
      </c>
      <c r="K8" s="26"/>
      <c r="L8" s="25">
        <v>7.2869999999999999</v>
      </c>
      <c r="M8" s="26">
        <v>43878.636967592596</v>
      </c>
      <c r="N8" s="36"/>
      <c r="O8" s="24" t="s">
        <v>19</v>
      </c>
      <c r="P8" s="24">
        <v>1</v>
      </c>
      <c r="Q8" s="24" t="s">
        <v>111</v>
      </c>
      <c r="U8"/>
    </row>
    <row r="9" spans="1:22" x14ac:dyDescent="0.25">
      <c r="A9" s="24"/>
      <c r="B9" s="36"/>
      <c r="C9" s="23"/>
      <c r="D9" s="23"/>
      <c r="F9" s="24"/>
      <c r="G9" s="24"/>
      <c r="H9" s="24"/>
      <c r="I9" s="24"/>
      <c r="J9" s="25"/>
      <c r="K9" s="24"/>
      <c r="L9" s="25"/>
      <c r="M9" s="25"/>
      <c r="N9" s="37"/>
      <c r="Q9" s="24"/>
      <c r="U9"/>
    </row>
    <row r="10" spans="1:22" x14ac:dyDescent="0.25">
      <c r="A10" s="24"/>
      <c r="B10" s="36"/>
      <c r="C10" s="23"/>
      <c r="D10" s="23"/>
      <c r="F10" s="24"/>
      <c r="G10" s="24"/>
      <c r="H10" s="24"/>
      <c r="I10" s="24"/>
      <c r="J10" s="25"/>
      <c r="K10" s="24"/>
      <c r="L10" s="25"/>
      <c r="M10" s="25"/>
      <c r="N10" s="37"/>
      <c r="Q10" s="24"/>
      <c r="R10" s="37"/>
      <c r="S10" s="24"/>
      <c r="T10" s="24"/>
    </row>
    <row r="11" spans="1:22" x14ac:dyDescent="0.25">
      <c r="R11" s="37"/>
      <c r="S11" s="24"/>
      <c r="T11" s="24"/>
      <c r="V11" s="8"/>
    </row>
    <row r="15" spans="1:22" x14ac:dyDescent="0.25">
      <c r="C15" s="11"/>
    </row>
    <row r="39" spans="22:22" x14ac:dyDescent="0.25">
      <c r="V39" t="s">
        <v>88</v>
      </c>
    </row>
  </sheetData>
  <dataConsolidate/>
  <conditionalFormatting sqref="B1 B3:B1048576">
    <cfRule type="containsText" dxfId="12" priority="6" operator="containsText" text="&lt;current">
      <formula>NOT(ISERROR(SEARCH("&lt;current",B1)))</formula>
    </cfRule>
  </conditionalFormatting>
  <conditionalFormatting sqref="N1:O1 H1:K1 H3:I3 L1:M3 I9:M10 Q11:Q1048576 I11:N1048576 J3:K4 N3:O8 H4:L8">
    <cfRule type="containsText" dxfId="11" priority="7" operator="containsText" text="Done">
      <formula>NOT(ISERROR(SEARCH("Done",H1)))</formula>
    </cfRule>
    <cfRule type="containsText" dxfId="10" priority="8" operator="containsText" text="In progress">
      <formula>NOT(ISERROR(SEARCH("In progress",H1)))</formula>
    </cfRule>
    <cfRule type="containsText" dxfId="9" priority="9" operator="containsText" text="To do">
      <formula>NOT(ISERROR(SEARCH("To do",H1)))</formula>
    </cfRule>
  </conditionalFormatting>
  <conditionalFormatting sqref="H4:H8">
    <cfRule type="containsText" dxfId="8" priority="1" operator="containsText" text="Note">
      <formula>NOT(ISERROR(SEARCH("Note",H4)))</formula>
    </cfRule>
  </conditionalFormatting>
  <conditionalFormatting sqref="S10:S1048576 P1 P3:P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8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FB316F81-29BC-465A-8DC5-6F7288CE3500}">
      <formula1>"important,a"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D6C045E6-6107-423C-9F7C-AD47F090ACCF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D51BFB7C-54C3-401F-B2E9-83C13D286296}">
      <formula1>"preparation,food,d,non food"</formula1>
    </dataValidation>
  </dataValidations>
  <hyperlinks>
    <hyperlink ref="C6" location="Planning!A1" display="Planning!A1" xr:uid="{E7E9EB20-9A6A-43A4-85F6-0260588D6383}"/>
    <hyperlink ref="C8" location="Planning!A1" display="Planning!A1" xr:uid="{8CFA1261-F85D-4859-A4DC-8DA15B465660}"/>
    <hyperlink ref="C4" location="Planning!A1" display="Planning!A1" xr:uid="{FB1E17D5-9329-412C-A215-AF443F84EE83}"/>
    <hyperlink ref="C7" location="Planning!A1" display="Planning!A1" xr:uid="{792735B3-7EC6-456B-AA74-6C5BB7D23AF3}"/>
    <hyperlink ref="C5" location="Planning!A1" display="Planning!A1" xr:uid="{9954AE94-97D8-47F5-8117-5885CDB8BC98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ED521-6EC7-42D7-9BE8-7C3C712DCEA1}">
  <sheetPr codeName="TaskSheetTemplate1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98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0.50000000005820766</v>
      </c>
      <c r="C4" t="s">
        <v>4</v>
      </c>
    </row>
    <row r="5" spans="1:13" x14ac:dyDescent="0.25">
      <c r="A5" t="s">
        <v>14</v>
      </c>
      <c r="B5" s="5" t="s">
        <v>98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96</v>
      </c>
    </row>
    <row r="8" spans="1:13" x14ac:dyDescent="0.25">
      <c r="A8" t="s">
        <v>16</v>
      </c>
      <c r="B8" s="5" t="s">
        <v>98</v>
      </c>
    </row>
    <row r="9" spans="1:13" x14ac:dyDescent="0.25">
      <c r="A9" t="s">
        <v>2</v>
      </c>
      <c r="B9" t="s">
        <v>159</v>
      </c>
    </row>
    <row r="10" spans="1:13" x14ac:dyDescent="0.25">
      <c r="A10" t="s">
        <v>47</v>
      </c>
      <c r="B10" t="s">
        <v>113</v>
      </c>
    </row>
    <row r="11" spans="1:13" x14ac:dyDescent="0.25">
      <c r="A11" t="s">
        <v>5</v>
      </c>
      <c r="B11" s="2">
        <f>B3/B4</f>
        <v>9.9999999988358468</v>
      </c>
      <c r="C11" t="s">
        <v>6</v>
      </c>
    </row>
    <row r="12" spans="1:13" x14ac:dyDescent="0.25">
      <c r="A12" t="s">
        <v>101</v>
      </c>
    </row>
    <row r="13" spans="1:13" x14ac:dyDescent="0.25">
      <c r="A13" t="s">
        <v>102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95</v>
      </c>
      <c r="B15" s="1">
        <v>43876.74627314815</v>
      </c>
      <c r="C15" s="1">
        <v>43876.756689814814</v>
      </c>
      <c r="D15" s="2">
        <f>MAX((C15-B15)*24,0)</f>
        <v>0.24999999994179234</v>
      </c>
      <c r="F15" s="42" t="s">
        <v>115</v>
      </c>
      <c r="G15" s="23" t="s">
        <v>116</v>
      </c>
      <c r="I15" t="s">
        <v>95</v>
      </c>
      <c r="J15" s="15">
        <v>0.05</v>
      </c>
      <c r="K15" s="2">
        <v>0.74996250187490632</v>
      </c>
      <c r="L15" s="2">
        <f>$B$4</f>
        <v>0.50000000005820766</v>
      </c>
      <c r="M15" s="16">
        <f>Tabelle7367518365263[[#This Row],[EBS self time]]/Tabelle7367518365263[[#This Row],[Total time]]</f>
        <v>1.4999250035751983</v>
      </c>
    </row>
    <row r="16" spans="1:13" x14ac:dyDescent="0.25">
      <c r="A16" t="s">
        <v>99</v>
      </c>
      <c r="B16" s="1">
        <v>43876.74628472222</v>
      </c>
      <c r="C16" s="1">
        <v>43876.756701388891</v>
      </c>
      <c r="D16" s="2">
        <f>MAX((C16-B16)*24,0)</f>
        <v>0.25000000011641532</v>
      </c>
      <c r="F16" s="42" t="s">
        <v>115</v>
      </c>
      <c r="G16" s="23" t="s">
        <v>116</v>
      </c>
      <c r="I16" t="s">
        <v>99</v>
      </c>
      <c r="J16" s="15">
        <v>0.2</v>
      </c>
      <c r="K16" s="2">
        <v>0.74996250187490632</v>
      </c>
      <c r="L16" s="2">
        <f>$B$4</f>
        <v>0.50000000005820766</v>
      </c>
      <c r="M16" s="16">
        <f>Tabelle7367518365263[[#This Row],[EBS self time]]/Tabelle7367518365263[[#This Row],[Total time]]</f>
        <v>1.4999250035751983</v>
      </c>
    </row>
    <row r="17" spans="9:13" x14ac:dyDescent="0.25">
      <c r="I17" t="s">
        <v>100</v>
      </c>
      <c r="J17" s="15">
        <v>0.35</v>
      </c>
      <c r="K17" s="2">
        <v>0.74996250187490632</v>
      </c>
      <c r="L17" s="2">
        <f>$B$4</f>
        <v>0.50000000005820766</v>
      </c>
      <c r="M17" s="16">
        <f>Tabelle7367518365263[[#This Row],[EBS self time]]/Tabelle7367518365263[[#This Row],[Total time]]</f>
        <v>1.4999250035751983</v>
      </c>
    </row>
    <row r="18" spans="9:13" x14ac:dyDescent="0.25">
      <c r="I18" t="s">
        <v>103</v>
      </c>
      <c r="J18" s="15">
        <v>0.5</v>
      </c>
      <c r="K18" s="2">
        <v>0.74996250187490632</v>
      </c>
      <c r="L18" s="2">
        <f>$B$4</f>
        <v>0.50000000005820766</v>
      </c>
      <c r="M18" s="16">
        <f>Tabelle7367518365263[[#This Row],[EBS self time]]/Tabelle7367518365263[[#This Row],[Total time]]</f>
        <v>1.4999250035751983</v>
      </c>
    </row>
    <row r="19" spans="9:13" x14ac:dyDescent="0.25">
      <c r="I19" t="s">
        <v>104</v>
      </c>
      <c r="J19" s="15">
        <v>0.65</v>
      </c>
      <c r="K19" s="2">
        <v>0.74996250187490632</v>
      </c>
      <c r="L19" s="2">
        <f>$B$4</f>
        <v>0.50000000005820766</v>
      </c>
      <c r="M19" s="16">
        <f>Tabelle7367518365263[[#This Row],[EBS self time]]/Tabelle7367518365263[[#This Row],[Total time]]</f>
        <v>1.4999250035751983</v>
      </c>
    </row>
    <row r="20" spans="9:13" x14ac:dyDescent="0.25">
      <c r="I20" t="s">
        <v>125</v>
      </c>
      <c r="J20" s="15">
        <v>0.8</v>
      </c>
      <c r="K20" s="2">
        <v>0.74996250187490632</v>
      </c>
      <c r="L20" s="2">
        <f>$B$4</f>
        <v>0.50000000005820766</v>
      </c>
      <c r="M20" s="16">
        <f>Tabelle7367518365263[[#This Row],[EBS self time]]/Tabelle7367518365263[[#This Row],[Total time]]</f>
        <v>1.4999250035751983</v>
      </c>
    </row>
    <row r="21" spans="9:13" x14ac:dyDescent="0.25">
      <c r="I21" t="s">
        <v>126</v>
      </c>
      <c r="J21" s="15">
        <v>0.95</v>
      </c>
      <c r="K21" s="2">
        <v>0.74996250187490632</v>
      </c>
      <c r="L21" s="2">
        <f>$B$4</f>
        <v>0.50000000005820766</v>
      </c>
      <c r="M21" s="16">
        <f>Tabelle7367518365263[[#This Row],[EBS self time]]/Tabelle7367518365263[[#This Row],[Total time]]</f>
        <v>1.4999250035751983</v>
      </c>
    </row>
  </sheetData>
  <dataConsolidate/>
  <hyperlinks>
    <hyperlink ref="A1" location="Planning!A1" display="Go back to 'Planning' sheet" xr:uid="{03AC9CE8-0D4F-4FB9-A3CA-1E314C13DF39}"/>
    <hyperlink ref="F15" location="$F$15" display="$F$15" xr:uid="{9F615F55-9D1D-4338-81C7-BE36A0F35FF1}"/>
    <hyperlink ref="G15" location="$G$15" display="$G$15" xr:uid="{11260E5A-8139-41CD-A374-C8CE55598C76}"/>
    <hyperlink ref="F16" location="$F$16" display="$F$16" xr:uid="{503BB002-03B9-4E86-87B4-D90CD0F2F6E4}"/>
    <hyperlink ref="G16" location="$G$16" display="$G$16" xr:uid="{9BBB6AF1-3191-4926-BF56-B74089839088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82446-D051-4A7A-AA21-C2B89FB44D9C}">
  <sheetPr codeName="TaskSheetTemplate2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98</v>
      </c>
    </row>
    <row r="3" spans="1:13" x14ac:dyDescent="0.25">
      <c r="A3" t="s">
        <v>79</v>
      </c>
      <c r="B3" s="2">
        <v>42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98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96</v>
      </c>
    </row>
    <row r="8" spans="1:13" x14ac:dyDescent="0.25">
      <c r="A8" t="s">
        <v>16</v>
      </c>
      <c r="B8" s="5" t="s">
        <v>98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150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101</v>
      </c>
      <c r="B12" t="s">
        <v>173</v>
      </c>
    </row>
    <row r="13" spans="1:13" x14ac:dyDescent="0.25">
      <c r="A13" t="s">
        <v>102</v>
      </c>
      <c r="B13" t="s">
        <v>174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I15" t="s">
        <v>95</v>
      </c>
      <c r="J15" s="15">
        <v>0.05</v>
      </c>
      <c r="K15" s="2">
        <v>6.2996850157492128</v>
      </c>
      <c r="L15" s="2">
        <f>$B$4</f>
        <v>0</v>
      </c>
      <c r="M15" s="16" t="e">
        <f>Tabelle7367720325068[[#This Row],[EBS self time]]/Tabelle7367720325068[[#This Row],[Total time]]</f>
        <v>#DIV/0!</v>
      </c>
    </row>
    <row r="16" spans="1:13" x14ac:dyDescent="0.25">
      <c r="I16" t="s">
        <v>99</v>
      </c>
      <c r="J16" s="15">
        <v>0.2</v>
      </c>
      <c r="K16" s="2">
        <v>6.2996850157492128</v>
      </c>
      <c r="L16" s="2">
        <f>$B$4</f>
        <v>0</v>
      </c>
      <c r="M16" s="16" t="e">
        <f>Tabelle7367720325068[[#This Row],[EBS self time]]/Tabelle7367720325068[[#This Row],[Total time]]</f>
        <v>#DIV/0!</v>
      </c>
    </row>
    <row r="17" spans="9:13" x14ac:dyDescent="0.25">
      <c r="I17" t="s">
        <v>100</v>
      </c>
      <c r="J17" s="15">
        <v>0.35</v>
      </c>
      <c r="K17" s="2">
        <v>6.2996850157492128</v>
      </c>
      <c r="L17" s="2">
        <f>$B$4</f>
        <v>0</v>
      </c>
      <c r="M17" s="16" t="e">
        <f>Tabelle7367720325068[[#This Row],[EBS self time]]/Tabelle7367720325068[[#This Row],[Total time]]</f>
        <v>#DIV/0!</v>
      </c>
    </row>
    <row r="18" spans="9:13" x14ac:dyDescent="0.25">
      <c r="I18" t="s">
        <v>103</v>
      </c>
      <c r="J18" s="15">
        <v>0.5</v>
      </c>
      <c r="K18" s="2">
        <v>6.2996850157492128</v>
      </c>
      <c r="L18" s="2">
        <f>$B$4</f>
        <v>0</v>
      </c>
      <c r="M18" s="16" t="e">
        <f>Tabelle7367720325068[[#This Row],[EBS self time]]/Tabelle7367720325068[[#This Row],[Total time]]</f>
        <v>#DIV/0!</v>
      </c>
    </row>
    <row r="19" spans="9:13" x14ac:dyDescent="0.25">
      <c r="I19" t="s">
        <v>104</v>
      </c>
      <c r="J19" s="15">
        <v>0.65</v>
      </c>
      <c r="K19" s="2">
        <v>6.2996850157492128</v>
      </c>
      <c r="L19" s="2">
        <f>$B$4</f>
        <v>0</v>
      </c>
      <c r="M19" s="16" t="e">
        <f>Tabelle7367720325068[[#This Row],[EBS self time]]/Tabelle7367720325068[[#This Row],[Total time]]</f>
        <v>#DIV/0!</v>
      </c>
    </row>
    <row r="20" spans="9:13" x14ac:dyDescent="0.25">
      <c r="I20" t="s">
        <v>125</v>
      </c>
      <c r="J20" s="15">
        <v>0.8</v>
      </c>
      <c r="K20" s="2">
        <v>6.2996850157492128</v>
      </c>
      <c r="L20" s="2">
        <f>$B$4</f>
        <v>0</v>
      </c>
      <c r="M20" s="16" t="e">
        <f>Tabelle7367720325068[[#This Row],[EBS self time]]/Tabelle7367720325068[[#This Row],[Total time]]</f>
        <v>#DIV/0!</v>
      </c>
    </row>
    <row r="21" spans="9:13" x14ac:dyDescent="0.25">
      <c r="I21" t="s">
        <v>126</v>
      </c>
      <c r="J21" s="15">
        <v>0.95</v>
      </c>
      <c r="K21" s="2">
        <v>6.2996850157492128</v>
      </c>
      <c r="L21" s="2">
        <f>$B$4</f>
        <v>0</v>
      </c>
      <c r="M21" s="16" t="e">
        <f>Tabelle7367720325068[[#This Row],[EBS self time]]/Tabelle7367720325068[[#This Row],[Total time]]</f>
        <v>#DIV/0!</v>
      </c>
    </row>
  </sheetData>
  <dataConsolidate/>
  <hyperlinks>
    <hyperlink ref="A1" location="Planning!A1" display="Go back to 'Planning' sheet" xr:uid="{B0D70E8D-55B2-46A1-B268-DC00F146ED5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5B26-77D9-4159-BCDC-D562EA672C6C}">
  <sheetPr codeName="TaskSheetTemplate3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98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98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96</v>
      </c>
    </row>
    <row r="8" spans="1:13" x14ac:dyDescent="0.25">
      <c r="A8" t="s">
        <v>16</v>
      </c>
      <c r="B8" s="5" t="s">
        <v>98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109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101</v>
      </c>
    </row>
    <row r="13" spans="1:13" x14ac:dyDescent="0.25">
      <c r="A13" t="s">
        <v>102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I15" t="s">
        <v>95</v>
      </c>
      <c r="J15" s="15">
        <v>0.05</v>
      </c>
      <c r="K15" s="2">
        <v>0.14999250037498124</v>
      </c>
      <c r="L15" s="2" t="e">
        <f>#REF!</f>
        <v>#REF!</v>
      </c>
      <c r="M15" s="16" t="e">
        <f>Tabelle73671628405472[[#This Row],[EBS self time]]/Tabelle73671628405472[[#This Row],[Total time]]</f>
        <v>#REF!</v>
      </c>
    </row>
    <row r="16" spans="1:13" x14ac:dyDescent="0.25">
      <c r="I16" t="s">
        <v>99</v>
      </c>
      <c r="J16" s="15">
        <v>0.2</v>
      </c>
      <c r="K16" s="2">
        <v>0.14999250037498124</v>
      </c>
      <c r="L16" s="2" t="e">
        <f>#REF!</f>
        <v>#REF!</v>
      </c>
      <c r="M16" s="16" t="e">
        <f>Tabelle73671628405472[[#This Row],[EBS self time]]/Tabelle73671628405472[[#This Row],[Total time]]</f>
        <v>#REF!</v>
      </c>
    </row>
    <row r="17" spans="9:13" x14ac:dyDescent="0.25">
      <c r="I17" t="s">
        <v>100</v>
      </c>
      <c r="J17" s="15">
        <v>0.35</v>
      </c>
      <c r="K17" s="2">
        <v>0.14999250037498124</v>
      </c>
      <c r="L17" s="2" t="e">
        <f>#REF!</f>
        <v>#REF!</v>
      </c>
      <c r="M17" s="16" t="e">
        <f>Tabelle73671628405472[[#This Row],[EBS self time]]/Tabelle73671628405472[[#This Row],[Total time]]</f>
        <v>#REF!</v>
      </c>
    </row>
    <row r="18" spans="9:13" x14ac:dyDescent="0.25">
      <c r="I18" t="s">
        <v>103</v>
      </c>
      <c r="J18" s="15">
        <v>0.5</v>
      </c>
      <c r="K18" s="2">
        <v>0.14999250037498124</v>
      </c>
      <c r="L18" s="2" t="e">
        <f>#REF!</f>
        <v>#REF!</v>
      </c>
      <c r="M18" s="16" t="e">
        <f>Tabelle73671628405472[[#This Row],[EBS self time]]/Tabelle73671628405472[[#This Row],[Total time]]</f>
        <v>#REF!</v>
      </c>
    </row>
    <row r="19" spans="9:13" x14ac:dyDescent="0.25">
      <c r="I19" t="s">
        <v>104</v>
      </c>
      <c r="J19" s="15">
        <v>0.65</v>
      </c>
      <c r="K19" s="2">
        <v>0.14999250037498124</v>
      </c>
      <c r="L19" s="2" t="e">
        <f>#REF!</f>
        <v>#REF!</v>
      </c>
      <c r="M19" s="16" t="e">
        <f>Tabelle73671628405472[[#This Row],[EBS self time]]/Tabelle73671628405472[[#This Row],[Total time]]</f>
        <v>#REF!</v>
      </c>
    </row>
    <row r="20" spans="9:13" x14ac:dyDescent="0.25">
      <c r="I20" t="s">
        <v>125</v>
      </c>
      <c r="J20" s="15">
        <v>0.8</v>
      </c>
      <c r="K20" s="2">
        <v>0.14999250037498124</v>
      </c>
      <c r="L20" s="2" t="e">
        <f>#REF!</f>
        <v>#REF!</v>
      </c>
      <c r="M20" s="16" t="e">
        <f>Tabelle73671628405472[[#This Row],[EBS self time]]/Tabelle73671628405472[[#This Row],[Total time]]</f>
        <v>#REF!</v>
      </c>
    </row>
    <row r="21" spans="9:13" x14ac:dyDescent="0.25">
      <c r="I21" t="s">
        <v>126</v>
      </c>
      <c r="J21" s="15">
        <v>0.95</v>
      </c>
      <c r="K21" s="2">
        <v>0.14999250037498124</v>
      </c>
      <c r="L21" s="2" t="e">
        <f>#REF!</f>
        <v>#REF!</v>
      </c>
      <c r="M21" s="16" t="e">
        <f>Tabelle73671628405472[[#This Row],[EBS self time]]/Tabelle73671628405472[[#This Row],[Total time]]</f>
        <v>#REF!</v>
      </c>
    </row>
  </sheetData>
  <dataConsolidate/>
  <hyperlinks>
    <hyperlink ref="A1" location="Planning!A1" display="Go back to 'Planning' sheet" xr:uid="{AF24D319-647C-442E-A4E2-600498AD2DC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63BF-06F6-4CB4-9A6A-E6335B6CC82E}">
  <sheetPr codeName="TaskSheetTemplate4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98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98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96</v>
      </c>
    </row>
    <row r="8" spans="1:13" x14ac:dyDescent="0.25">
      <c r="A8" t="s">
        <v>16</v>
      </c>
      <c r="B8" s="5" t="s">
        <v>98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148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101</v>
      </c>
      <c r="B12" t="s">
        <v>160</v>
      </c>
    </row>
    <row r="13" spans="1:13" x14ac:dyDescent="0.25">
      <c r="A13" t="s">
        <v>102</v>
      </c>
      <c r="B13" t="s">
        <v>161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I15" t="s">
        <v>95</v>
      </c>
      <c r="J15" s="15">
        <v>0.05</v>
      </c>
      <c r="K15" s="2">
        <v>3.749812509374531E-2</v>
      </c>
      <c r="L15" s="2" t="e">
        <f>#REF!</f>
        <v>#REF!</v>
      </c>
      <c r="M15" s="16" t="e">
        <f>Tabelle7367922445776[[#This Row],[EBS self time]]/Tabelle7367922445776[[#This Row],[Total time]]</f>
        <v>#REF!</v>
      </c>
    </row>
    <row r="16" spans="1:13" x14ac:dyDescent="0.25">
      <c r="I16" t="s">
        <v>99</v>
      </c>
      <c r="J16" s="15">
        <v>0.2</v>
      </c>
      <c r="K16" s="2">
        <v>3.749812509374531E-2</v>
      </c>
      <c r="L16" s="2" t="e">
        <f>#REF!</f>
        <v>#REF!</v>
      </c>
      <c r="M16" s="16" t="e">
        <f>Tabelle7367922445776[[#This Row],[EBS self time]]/Tabelle7367922445776[[#This Row],[Total time]]</f>
        <v>#REF!</v>
      </c>
    </row>
    <row r="17" spans="9:13" x14ac:dyDescent="0.25">
      <c r="I17" t="s">
        <v>100</v>
      </c>
      <c r="J17" s="15">
        <v>0.35</v>
      </c>
      <c r="K17" s="2">
        <v>3.749812509374531E-2</v>
      </c>
      <c r="L17" s="2" t="e">
        <f>#REF!</f>
        <v>#REF!</v>
      </c>
      <c r="M17" s="16" t="e">
        <f>Tabelle7367922445776[[#This Row],[EBS self time]]/Tabelle7367922445776[[#This Row],[Total time]]</f>
        <v>#REF!</v>
      </c>
    </row>
    <row r="18" spans="9:13" x14ac:dyDescent="0.25">
      <c r="I18" t="s">
        <v>103</v>
      </c>
      <c r="J18" s="15">
        <v>0.5</v>
      </c>
      <c r="K18" s="2">
        <v>3.749812509374531E-2</v>
      </c>
      <c r="L18" s="2" t="e">
        <f>#REF!</f>
        <v>#REF!</v>
      </c>
      <c r="M18" s="16" t="e">
        <f>Tabelle7367922445776[[#This Row],[EBS self time]]/Tabelle7367922445776[[#This Row],[Total time]]</f>
        <v>#REF!</v>
      </c>
    </row>
    <row r="19" spans="9:13" x14ac:dyDescent="0.25">
      <c r="I19" t="s">
        <v>104</v>
      </c>
      <c r="J19" s="15">
        <v>0.65</v>
      </c>
      <c r="K19" s="2">
        <v>3.749812509374531E-2</v>
      </c>
      <c r="L19" s="2" t="e">
        <f>#REF!</f>
        <v>#REF!</v>
      </c>
      <c r="M19" s="16" t="e">
        <f>Tabelle7367922445776[[#This Row],[EBS self time]]/Tabelle7367922445776[[#This Row],[Total time]]</f>
        <v>#REF!</v>
      </c>
    </row>
    <row r="20" spans="9:13" x14ac:dyDescent="0.25">
      <c r="I20" t="s">
        <v>125</v>
      </c>
      <c r="J20" s="15">
        <v>0.8</v>
      </c>
      <c r="K20" s="2">
        <v>3.749812509374531E-2</v>
      </c>
      <c r="L20" s="2" t="e">
        <f>#REF!</f>
        <v>#REF!</v>
      </c>
      <c r="M20" s="16" t="e">
        <f>Tabelle7367922445776[[#This Row],[EBS self time]]/Tabelle7367922445776[[#This Row],[Total time]]</f>
        <v>#REF!</v>
      </c>
    </row>
    <row r="21" spans="9:13" x14ac:dyDescent="0.25">
      <c r="I21" t="s">
        <v>126</v>
      </c>
      <c r="J21" s="15">
        <v>0.95</v>
      </c>
      <c r="K21" s="2">
        <v>3.749812509374531E-2</v>
      </c>
      <c r="L21" s="2" t="e">
        <f>#REF!</f>
        <v>#REF!</v>
      </c>
      <c r="M21" s="16" t="e">
        <f>Tabelle7367922445776[[#This Row],[EBS self time]]/Tabelle7367922445776[[#This Row],[Total time]]</f>
        <v>#REF!</v>
      </c>
    </row>
  </sheetData>
  <dataConsolidate/>
  <hyperlinks>
    <hyperlink ref="A1" location="Planning!A1" display="Go back to 'Planning' sheet" xr:uid="{0855EFD8-FA4F-479F-A6D6-187D8BB1917F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B570D-324E-47C4-ABB9-2C5A357BB64C}">
  <sheetPr codeName="TaskSheetTemplate5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98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98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96</v>
      </c>
    </row>
    <row r="8" spans="1:13" x14ac:dyDescent="0.25">
      <c r="A8" t="s">
        <v>16</v>
      </c>
      <c r="B8" s="5" t="s">
        <v>98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111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101</v>
      </c>
      <c r="B12" t="s">
        <v>157</v>
      </c>
    </row>
    <row r="13" spans="1:13" x14ac:dyDescent="0.25">
      <c r="A13" t="s">
        <v>102</v>
      </c>
      <c r="B13" t="s">
        <v>158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I15" t="s">
        <v>95</v>
      </c>
      <c r="J15" s="15">
        <v>0.05</v>
      </c>
      <c r="K15" s="2">
        <v>0.29998500074996248</v>
      </c>
      <c r="L15" s="2" t="e">
        <f>#REF!</f>
        <v>#REF!</v>
      </c>
      <c r="M15" s="16" t="e">
        <f>Tabelle73671424485980[[#This Row],[EBS self time]]/Tabelle73671424485980[[#This Row],[Total time]]</f>
        <v>#REF!</v>
      </c>
    </row>
    <row r="16" spans="1:13" x14ac:dyDescent="0.25">
      <c r="I16" t="s">
        <v>99</v>
      </c>
      <c r="J16" s="15">
        <v>0.2</v>
      </c>
      <c r="K16" s="2">
        <v>0.29998500074996248</v>
      </c>
      <c r="L16" s="2" t="e">
        <f>#REF!</f>
        <v>#REF!</v>
      </c>
      <c r="M16" s="16" t="e">
        <f>Tabelle73671424485980[[#This Row],[EBS self time]]/Tabelle73671424485980[[#This Row],[Total time]]</f>
        <v>#REF!</v>
      </c>
    </row>
    <row r="17" spans="9:13" x14ac:dyDescent="0.25">
      <c r="I17" t="s">
        <v>100</v>
      </c>
      <c r="J17" s="15">
        <v>0.35</v>
      </c>
      <c r="K17" s="2">
        <v>0.29998500074996248</v>
      </c>
      <c r="L17" s="2" t="e">
        <f>#REF!</f>
        <v>#REF!</v>
      </c>
      <c r="M17" s="16" t="e">
        <f>Tabelle73671424485980[[#This Row],[EBS self time]]/Tabelle73671424485980[[#This Row],[Total time]]</f>
        <v>#REF!</v>
      </c>
    </row>
    <row r="18" spans="9:13" x14ac:dyDescent="0.25">
      <c r="I18" t="s">
        <v>103</v>
      </c>
      <c r="J18" s="15">
        <v>0.5</v>
      </c>
      <c r="K18" s="2">
        <v>0.29998500074996248</v>
      </c>
      <c r="L18" s="2" t="e">
        <f>#REF!</f>
        <v>#REF!</v>
      </c>
      <c r="M18" s="16" t="e">
        <f>Tabelle73671424485980[[#This Row],[EBS self time]]/Tabelle73671424485980[[#This Row],[Total time]]</f>
        <v>#REF!</v>
      </c>
    </row>
    <row r="19" spans="9:13" x14ac:dyDescent="0.25">
      <c r="I19" t="s">
        <v>104</v>
      </c>
      <c r="J19" s="15">
        <v>0.65</v>
      </c>
      <c r="K19" s="2">
        <v>0.29998500074996248</v>
      </c>
      <c r="L19" s="2" t="e">
        <f>#REF!</f>
        <v>#REF!</v>
      </c>
      <c r="M19" s="16" t="e">
        <f>Tabelle73671424485980[[#This Row],[EBS self time]]/Tabelle73671424485980[[#This Row],[Total time]]</f>
        <v>#REF!</v>
      </c>
    </row>
    <row r="20" spans="9:13" x14ac:dyDescent="0.25">
      <c r="I20" t="s">
        <v>125</v>
      </c>
      <c r="J20" s="15">
        <v>0.8</v>
      </c>
      <c r="K20" s="2">
        <v>0.29998500074996248</v>
      </c>
      <c r="L20" s="2" t="e">
        <f>#REF!</f>
        <v>#REF!</v>
      </c>
      <c r="M20" s="16" t="e">
        <f>Tabelle73671424485980[[#This Row],[EBS self time]]/Tabelle73671424485980[[#This Row],[Total time]]</f>
        <v>#REF!</v>
      </c>
    </row>
    <row r="21" spans="9:13" x14ac:dyDescent="0.25">
      <c r="I21" t="s">
        <v>126</v>
      </c>
      <c r="J21" s="15">
        <v>0.95</v>
      </c>
      <c r="K21" s="2">
        <v>0.29998500074996248</v>
      </c>
      <c r="L21" s="2" t="e">
        <f>#REF!</f>
        <v>#REF!</v>
      </c>
      <c r="M21" s="16" t="e">
        <f>Tabelle73671424485980[[#This Row],[EBS self time]]/Tabelle73671424485980[[#This Row],[Total time]]</f>
        <v>#REF!</v>
      </c>
    </row>
  </sheetData>
  <dataConsolidate/>
  <hyperlinks>
    <hyperlink ref="A1" location="Planning!A1" display="Go back to 'Planning' sheet" xr:uid="{2EBA1096-03D4-44C5-A6B4-18FA82E42CFC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9"/>
  <sheetViews>
    <sheetView workbookViewId="0">
      <selection activeCell="B20" sqref="B20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132</v>
      </c>
    </row>
    <row r="2" spans="1:4" x14ac:dyDescent="0.25">
      <c r="A2" s="10"/>
    </row>
    <row r="3" spans="1:4" x14ac:dyDescent="0.25">
      <c r="A3" t="s">
        <v>133</v>
      </c>
      <c r="B3" s="31">
        <v>43817.077002314814</v>
      </c>
      <c r="C3" s="29"/>
      <c r="D3" s="29"/>
    </row>
    <row r="4" spans="1:4" x14ac:dyDescent="0.25">
      <c r="A4" t="s">
        <v>134</v>
      </c>
      <c r="B4" s="31">
        <v>43862</v>
      </c>
      <c r="C4" s="29"/>
      <c r="D4" s="29"/>
    </row>
    <row r="5" spans="1:4" x14ac:dyDescent="0.25">
      <c r="A5" t="s">
        <v>135</v>
      </c>
      <c r="B5" s="28" t="s">
        <v>146</v>
      </c>
      <c r="C5" s="29"/>
      <c r="D5" s="29"/>
    </row>
    <row r="6" spans="1:4" ht="27" customHeight="1" x14ac:dyDescent="0.25"/>
    <row r="8" spans="1:4" ht="15.75" thickBot="1" x14ac:dyDescent="0.3">
      <c r="A8" s="30" t="s">
        <v>137</v>
      </c>
      <c r="B8" s="30" t="s">
        <v>131</v>
      </c>
      <c r="C8" s="35" t="s">
        <v>130</v>
      </c>
      <c r="D8" s="30" t="s">
        <v>136</v>
      </c>
    </row>
    <row r="9" spans="1:4" x14ac:dyDescent="0.25">
      <c r="A9" s="32" t="s">
        <v>95</v>
      </c>
      <c r="B9" s="33">
        <v>43857</v>
      </c>
      <c r="C9" s="33">
        <v>43862</v>
      </c>
      <c r="D9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51A0-0C19-4175-A730-A7B703D68C60}">
  <sheetPr codeName="EbsSheetTemplate1"/>
  <dimension ref="A15:T52"/>
  <sheetViews>
    <sheetView topLeftCell="C1"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95</v>
      </c>
      <c r="B19" s="17">
        <v>43844.997523148151</v>
      </c>
      <c r="C19" t="s">
        <v>118</v>
      </c>
      <c r="D19" t="s">
        <v>27</v>
      </c>
      <c r="E19" t="s">
        <v>97</v>
      </c>
      <c r="F19" t="s">
        <v>127</v>
      </c>
      <c r="G19" t="s">
        <v>128</v>
      </c>
      <c r="H19" t="s">
        <v>129</v>
      </c>
      <c r="J19" t="s">
        <v>95</v>
      </c>
      <c r="M19" s="2"/>
      <c r="N19" s="2"/>
    </row>
    <row r="20" spans="1:20" x14ac:dyDescent="0.25">
      <c r="A20" t="s">
        <v>99</v>
      </c>
      <c r="B20" s="17">
        <v>43870.837048611109</v>
      </c>
      <c r="C20" t="s">
        <v>140</v>
      </c>
      <c r="D20" t="s">
        <v>27</v>
      </c>
      <c r="E20" t="s">
        <v>97</v>
      </c>
      <c r="F20" t="s">
        <v>141</v>
      </c>
      <c r="G20" t="s">
        <v>142</v>
      </c>
      <c r="H20" t="s">
        <v>139</v>
      </c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A23" t="s">
        <v>100</v>
      </c>
      <c r="B23" s="17">
        <v>43876.693530092591</v>
      </c>
      <c r="C23" t="s">
        <v>170</v>
      </c>
      <c r="D23" t="s">
        <v>27</v>
      </c>
      <c r="E23" t="s">
        <v>97</v>
      </c>
      <c r="F23" t="s">
        <v>168</v>
      </c>
      <c r="G23" t="s">
        <v>171</v>
      </c>
      <c r="H23" t="s">
        <v>169</v>
      </c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:D23" xr:uid="{B35F6300-AE24-4E12-811D-B47DB6C152E7}">
      <formula1>"Yes,No"</formula1>
    </dataValidation>
    <dataValidation type="list" allowBlank="1" showInputMessage="1" showErrorMessage="1" sqref="F16" xr:uid="{0DA49313-C29A-4242-AC1F-0DB55851F7A6}">
      <formula1>"Time,Date"</formula1>
    </dataValidation>
    <dataValidation type="list" allowBlank="1" showInputMessage="1" showErrorMessage="1" sqref="F15:H15" xr:uid="{6028E4CA-4985-401E-8812-8C89D427572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B25" sqref="B2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7" t="s">
        <v>124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105</v>
      </c>
      <c r="C4" t="s">
        <v>106</v>
      </c>
      <c r="D4" t="s">
        <v>91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145</v>
      </c>
      <c r="B6" s="20" t="s">
        <v>138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93</v>
      </c>
      <c r="C12" t="s">
        <v>106</v>
      </c>
    </row>
    <row r="13" spans="1:10" x14ac:dyDescent="0.25">
      <c r="B13" t="s">
        <v>92</v>
      </c>
      <c r="C13" t="s">
        <v>107</v>
      </c>
      <c r="D13" s="2"/>
      <c r="E13" s="2"/>
    </row>
    <row r="14" spans="1:10" x14ac:dyDescent="0.25">
      <c r="B14" s="2" t="s">
        <v>94</v>
      </c>
      <c r="C14" s="12" t="s">
        <v>108</v>
      </c>
    </row>
    <row r="17" spans="1:2" x14ac:dyDescent="0.25">
      <c r="A17" t="s">
        <v>85</v>
      </c>
    </row>
    <row r="24" spans="1:2" x14ac:dyDescent="0.25">
      <c r="A24" t="s">
        <v>162</v>
      </c>
      <c r="B24" s="20" t="s">
        <v>172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4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8" sqref="C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7.28515625" customWidth="1"/>
    <col min="4" max="4" width="28.7109375" customWidth="1"/>
    <col min="5" max="5" width="10.5703125" bestFit="1" customWidth="1"/>
  </cols>
  <sheetData>
    <row r="3" spans="1:5" x14ac:dyDescent="0.25">
      <c r="A3" t="s">
        <v>163</v>
      </c>
      <c r="B3" t="s">
        <v>166</v>
      </c>
      <c r="C3" t="s">
        <v>164</v>
      </c>
      <c r="D3" t="s">
        <v>167</v>
      </c>
      <c r="E3" t="s">
        <v>165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98</v>
      </c>
    </row>
    <row r="3" spans="1:13" x14ac:dyDescent="0.25">
      <c r="A3" t="s">
        <v>79</v>
      </c>
      <c r="B3" s="2" t="s">
        <v>98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98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96</v>
      </c>
    </row>
    <row r="8" spans="1:13" x14ac:dyDescent="0.25">
      <c r="A8" t="s">
        <v>16</v>
      </c>
      <c r="B8" s="5" t="s">
        <v>98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98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101</v>
      </c>
    </row>
    <row r="13" spans="1:13" x14ac:dyDescent="0.25">
      <c r="A13" t="s">
        <v>102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3"/>
  <sheetViews>
    <sheetView tabSelected="1" topLeftCell="A12" workbookViewId="0">
      <selection activeCell="A34" sqref="A34"/>
    </sheetView>
  </sheetViews>
  <sheetFormatPr baseColWidth="10" defaultColWidth="11.42578125" defaultRowHeight="15" x14ac:dyDescent="0.25"/>
  <sheetData>
    <row r="1" spans="1:3" x14ac:dyDescent="0.25">
      <c r="A1" s="10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0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0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0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0" t="s">
        <v>57</v>
      </c>
    </row>
    <row r="21" spans="1:3" x14ac:dyDescent="0.25">
      <c r="B21" t="s">
        <v>58</v>
      </c>
    </row>
    <row r="22" spans="1:3" x14ac:dyDescent="0.25">
      <c r="A22" s="10" t="s">
        <v>119</v>
      </c>
      <c r="B22" s="10"/>
    </row>
    <row r="23" spans="1:3" x14ac:dyDescent="0.25">
      <c r="B23" t="s">
        <v>123</v>
      </c>
    </row>
    <row r="24" spans="1:3" x14ac:dyDescent="0.25">
      <c r="B24" t="s">
        <v>120</v>
      </c>
    </row>
    <row r="25" spans="1:3" x14ac:dyDescent="0.25">
      <c r="B25" t="s">
        <v>121</v>
      </c>
    </row>
    <row r="26" spans="1:3" x14ac:dyDescent="0.25">
      <c r="B26" t="s">
        <v>122</v>
      </c>
    </row>
    <row r="28" spans="1:3" x14ac:dyDescent="0.25">
      <c r="A28" s="10" t="s">
        <v>178</v>
      </c>
    </row>
    <row r="29" spans="1:3" x14ac:dyDescent="0.25">
      <c r="B29" t="s">
        <v>179</v>
      </c>
    </row>
    <row r="30" spans="1:3" x14ac:dyDescent="0.25">
      <c r="A30" s="10" t="s">
        <v>175</v>
      </c>
    </row>
    <row r="31" spans="1:3" x14ac:dyDescent="0.25">
      <c r="B31" t="s">
        <v>176</v>
      </c>
    </row>
    <row r="32" spans="1:3" x14ac:dyDescent="0.25">
      <c r="B32" t="s">
        <v>177</v>
      </c>
    </row>
    <row r="33" spans="2:2" x14ac:dyDescent="0.25">
      <c r="B33" t="s">
        <v>180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Planning</vt:lpstr>
      <vt:lpstr>tD63F7F4494CABA67B</vt:lpstr>
      <vt:lpstr>t429885C27F77EA728</vt:lpstr>
      <vt:lpstr>t5C33AE2C601539DCA</vt:lpstr>
      <vt:lpstr>t86F89BCDC9F9FA3B4</vt:lpstr>
      <vt:lpstr>t35EBA085FF3A95514</vt:lpstr>
      <vt:lpstr>Analysis</vt:lpstr>
      <vt:lpstr>EbsSheet (Me)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2020-02-15T17:13:10Z</dcterms:modified>
  <cp:category/>
  <cp:contentStatus/>
</cp:coreProperties>
</file>