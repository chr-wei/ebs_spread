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0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92FD8286-432B-4B6E-ACDF-AA3C2BE62459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t347B5B6A9B6D2C3D4" sheetId="1111" state="hidden" r:id="rId2"/>
    <sheet name="t5C33AE2C601539DCA" sheetId="1112" state="hidden" r:id="rId3"/>
    <sheet name="t35EBA085FF3A95514" sheetId="1113" state="hidden" r:id="rId4"/>
    <sheet name="tD63F7F4494CABA67B" sheetId="1117" state="hidden" r:id="rId5"/>
    <sheet name="Analysis" sheetId="1004" r:id="rId6"/>
    <sheet name="EbsSheet (Me)" sheetId="978" r:id="rId7"/>
    <sheet name="Settings" sheetId="418" r:id="rId8"/>
    <sheet name="Task sheet template" sheetId="5" state="hidden" r:id="rId9"/>
    <sheet name="Version info" sheetId="3" r:id="rId10"/>
    <sheet name="EbsSheet template" sheetId="44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1117" l="1"/>
  <c r="D16" i="1117"/>
  <c r="D15" i="1117"/>
  <c r="B4" i="1117"/>
  <c r="B11" i="1117" s="1"/>
  <c r="D27" i="1113"/>
  <c r="D26" i="1113"/>
  <c r="D25" i="1113"/>
  <c r="D24" i="1113"/>
  <c r="D23" i="1113"/>
  <c r="D22" i="1113"/>
  <c r="D21" i="1113"/>
  <c r="D20" i="1113"/>
  <c r="D19" i="1113"/>
  <c r="D18" i="1113"/>
  <c r="D17" i="1113"/>
  <c r="D16" i="1113"/>
  <c r="D15" i="1113"/>
  <c r="B4" i="1113" s="1"/>
  <c r="B11" i="1113" s="1"/>
  <c r="M21" i="1112"/>
  <c r="L21" i="1112"/>
  <c r="M20" i="1112"/>
  <c r="L20" i="1112"/>
  <c r="M19" i="1112"/>
  <c r="L19" i="1112"/>
  <c r="M18" i="1112"/>
  <c r="L18" i="1112"/>
  <c r="L17" i="1112"/>
  <c r="M17" i="1112" s="1"/>
  <c r="D17" i="1112"/>
  <c r="M16" i="1112"/>
  <c r="L16" i="1112"/>
  <c r="D16" i="1112"/>
  <c r="L15" i="1112"/>
  <c r="M15" i="1112" s="1"/>
  <c r="D15" i="1112"/>
  <c r="B4" i="1112"/>
  <c r="B11" i="1112" s="1"/>
  <c r="M15" i="1111"/>
  <c r="L15" i="1111"/>
  <c r="D15" i="1111"/>
  <c r="B4" i="1111" s="1"/>
  <c r="B11" i="1111" s="1"/>
  <c r="C42" i="3" l="1"/>
  <c r="L15" i="5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tc={5BECE97B-DB74-4CCD-A56E-287AB29264F1}</author>
  </authors>
  <commentList>
    <comment ref="P18" authorId="0" shapeId="0" xr:uid="{5BECE97B-DB74-4CCD-A56E-287AB29264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<sst xmlns="http://schemas.openxmlformats.org/spreadsheetml/2006/main" count="466" uniqueCount="189">
  <si>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</si>
  <si>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</si>
  <si>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</si>
  <si>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</si>
  <si>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</si>
  <si>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</si>
  <si>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</si>
  <si>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</si>
  <si>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</si>
  <si>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</si>
  <si>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</si>
  <si>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</si>
  <si>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</si>
  <si>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</si>
  <si>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</si>
  <si>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</si>
  <si>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</si>
  <si>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</si>
  <si>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</si>
  <si>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</si>
  <si>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</si>
  <si>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</si>
  <si>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</si>
  <si>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</si>
  <si>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</si>
  <si>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</si>
  <si>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</si>
  <si>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</si>
  <si>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</si>
  <si>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</si>
  <si>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</si>
  <si>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</si>
  <si>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</si>
  <si>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</si>
  <si>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</si>
  <si>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</si>
  <si>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</si>
  <si>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</si>
  <si>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</si>
  <si>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</si>
  <si>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</si>
  <si>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</si>
  <si>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</si>
  <si>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</si>
  <si>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</si>
  <si>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</si>
  <si>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</si>
  <si>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</si>
  <si>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</si>
  <si>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</si>
  <si>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</si>
  <si>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</si>
  <si>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</si>
  <si>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</si>
  <si>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</si>
  <si>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</si>
  <si>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</si>
  <si>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</si>
  <si>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</si>
  <si>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</si>
  <si>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</si>
  <si>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</si>
  <si>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</si>
  <si>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</si>
  <si>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</si>
  <si>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</si>
  <si>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</si>
  <si>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</si>
  <si>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</si>
  <si>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</si>
  <si>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</si>
  <si>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</si>
  <si>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</si>
  <si>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</si>
  <si>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</si>
  <si>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</si>
  <si>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</si>
  <si>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</si>
  <si>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</si>
  <si>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</si>
  <si>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</si>
  <si>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</si>
  <si>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</si>
  <si>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</si>
  <si>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</si>
  <si>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</si>
  <si>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</si>
  <si>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</si>
  <si>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Lines of code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</si>
  <si>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</si>
  <si>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</si>
  <si>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</si>
  <si>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</si>
  <si>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</si>
  <si>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</si>
  <si>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</si>
  <si>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</si>
  <si>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</si>
  <si>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</si>
  <si>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</si>
  <si>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</si>
  <si>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</si>
  <si>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</si>
  <si>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</si>
  <si>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</si>
  <si>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</si>
  <si>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</si>
  <si>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</si>
  <si>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</si>
  <si>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</si>
  <si>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</si>
  <si>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</si>
  <si>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</si>
  <si>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</si>
  <si>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</si>
  <si>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</si>
  <si>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</si>
  <si>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</si>
  <si>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</si>
  <si>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</si>
  <si>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</si>
  <si>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</si>
  <si>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</si>
  <si>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</si>
  <si>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</si>
  <si>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</si>
  <si>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sheet.xlsm</t>
  </si>
  <si>
    <t>SetPlainDelta()</t>
  </si>
  <si>
    <t>SetCalendarDelta()</t>
  </si>
  <si>
    <t>Done</t>
  </si>
  <si>
    <t>{0,750;0,667}</t>
  </si>
  <si>
    <t>v1.093</t>
  </si>
  <si>
    <t>Base.bas</t>
  </si>
  <si>
    <t>EbsUtils.bas</t>
  </si>
  <si>
    <t>SettingUtils.bas</t>
  </si>
  <si>
    <t>CalendarUtils.bas</t>
  </si>
  <si>
    <t>ExportImportUtils.bas</t>
  </si>
  <si>
    <t>TaskSheetTemplate.cls</t>
  </si>
  <si>
    <t>clsSHA256.cls</t>
  </si>
  <si>
    <t>Planning.cls</t>
  </si>
  <si>
    <t>TaskUtils.bas</t>
  </si>
  <si>
    <t>CodeUtils.bas</t>
  </si>
  <si>
    <t>PlanningUtils.bas</t>
  </si>
  <si>
    <t>ThisWorkbook.cls</t>
  </si>
  <si>
    <t>Constants.bas</t>
  </si>
  <si>
    <t>SanityChecks.bas</t>
  </si>
  <si>
    <t>Utils.bas</t>
  </si>
  <si>
    <t>EbsSheetTemplate.cls</t>
  </si>
  <si>
    <t>Settings.cls</t>
  </si>
  <si>
    <t>VirtualSheetUtils.bas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</si>
  <si>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</si>
  <si>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</si>
  <si>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</si>
  <si>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</si>
  <si>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</si>
  <si>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#000006</t>
  </si>
  <si>
    <t>#000007</t>
  </si>
  <si>
    <t>{4,083;4,125;4,292;4,417;4,458;4,625;4,625}</t>
  </si>
  <si>
    <t>{15/01/2020 12:05:00;15/01/2020 12:07:30;15/01/2020 12:17:30;15/01/2020 12:25:00;15/01/2020 12:27:30;15/01/2020 12:37:30;15/01/2020 12:37:30}</t>
  </si>
  <si>
    <t>e02CC749D33AEB9883</t>
  </si>
  <si>
    <t>&lt;ENTER_ESTIMATE&gt;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</si>
  <si>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</si>
  <si>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</si>
  <si>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</si>
  <si>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</si>
  <si>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</si>
  <si>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</si>
  <si>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</si>
  <si>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</si>
  <si>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#000009</t>
  </si>
  <si>
    <t>Mon</t>
  </si>
  <si>
    <t>#000010</t>
  </si>
  <si>
    <t>t347B5B6A9B6D2C3D4</t>
  </si>
  <si>
    <t>My second task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</si>
  <si>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</si>
  <si>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{0,000;0,000;0,000;0,000;0,000;0,000;0,000}</t>
  </si>
  <si>
    <t>{10/02/2020 08:00:00;10/02/2020 08:00:00;10/02/2020 08:00:00;10/02/2020 08:00:00;10/02/2020 08:00:00;10/02/2020 08:00:00;10/02/2020 08:00:00}</t>
  </si>
  <si>
    <t>e61828CC4673454E2B</t>
  </si>
  <si>
    <t>{0,667}</t>
  </si>
  <si>
    <t>{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;1,499}</t>
  </si>
  <si>
    <t>{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;2,999}</t>
  </si>
  <si>
    <t>{2,999;2,999;2,999;2,999;2,999;2,999;2,999}</t>
  </si>
  <si>
    <t>{10/02/2020 10:59:55;10/02/2020 10:59:55;10/02/2020 10:59:55;10/02/2020 10:59:55;10/02/2020 10:59:55;10/02/2020 10:59:55;10/02/2020 10:59:55}</t>
  </si>
  <si>
    <t>#000011</t>
  </si>
  <si>
    <t>#000012</t>
  </si>
  <si>
    <t>FirstDayOfWeek</t>
  </si>
  <si>
    <t>Week</t>
  </si>
  <si>
    <t>#000008</t>
  </si>
  <si>
    <t>#000013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</si>
</sst>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4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7" fillId="0" borderId="0" xfId="2" applyFont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7" fillId="10" borderId="0" xfId="2" applyFon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82"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14/01/2020 23:56:26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3A7-4C3A-904D-6FD55AC0697B}"/>
            </c:ext>
          </c:extLst>
        </c:ser>
        <c:ser>
          <c:idx val="1"/>
          <c:order val="1"/>
          <c:tx>
            <c:v>Velo pool on: 09/02/2020 20:05:21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3A7-4C3A-904D-6FD55AC06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15%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43844.997523148151</c:v>
              </c:pt>
              <c:pt idx="1">
                <c:v>43870.837048611109</c:v>
              </c:pt>
            </c:numLit>
          </c:xVal>
          <c:yVal>
            <c:numLit>
              <c:formatCode>General</c:formatCode>
              <c:ptCount val="2"/>
              <c:pt idx="0">
                <c:v>4.1526666666666667</c:v>
              </c:pt>
              <c:pt idx="1">
                <c:v>2.9990000000000001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6C7-4BD4-A917-50AA97BCE4E8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43844.997523148151</c:v>
              </c:pt>
              <c:pt idx="1">
                <c:v>43870.837048611109</c:v>
              </c:pt>
            </c:numLit>
          </c:xVal>
          <c:yVal>
            <c:numLit>
              <c:formatCode>General</c:formatCode>
              <c:ptCount val="2"/>
              <c:pt idx="0">
                <c:v>4.375</c:v>
              </c:pt>
              <c:pt idx="1">
                <c:v>2.9990000000000001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6C7-4BD4-A917-50AA97BCE4E8}"/>
            </c:ext>
          </c:extLst>
        </c:ser>
        <c:ser>
          <c:idx val="2"/>
          <c:order val="2"/>
          <c:tx>
            <c:v>85%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43844.997523148151</c:v>
              </c:pt>
              <c:pt idx="1">
                <c:v>43870.837048611109</c:v>
              </c:pt>
            </c:numLit>
          </c:xVal>
          <c:yVal>
            <c:numLit>
              <c:formatCode>General</c:formatCode>
              <c:ptCount val="2"/>
              <c:pt idx="0">
                <c:v>4.6806666666666663</c:v>
              </c:pt>
              <c:pt idx="1">
                <c:v>2.9990000000000001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6C7-4BD4-A917-50AA97BCE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7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54F1668-1191-4C69-BF4D-9B8975150D25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05B7B34-C651-4853-A69F-2D5C2EDEE684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2041C54-DD34-46CC-A99F-7A7A62A8C074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72662C1-13CE-4556-A856-E8F147641742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8666A81-9E65-4446-BCD6-BBA64EA74159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52D8EC-8939-41D5-A516-066218FAF80D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120C7E7-6BC4-4DAE-AAAD-8FD73A126170}"/>
            </a:ext>
          </a:extLst>
        </xdr:cNvPr>
        <xdr:cNvSpPr/>
      </xdr:nvSpPr>
      <xdr:spPr bwMode="auto">
        <a:xfrm>
          <a:off x="7600950" y="24765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220E3CA-FC0B-4FC9-A281-D2A3C5AFAD3D}"/>
            </a:ext>
          </a:extLst>
        </xdr:cNvPr>
        <xdr:cNvSpPr/>
      </xdr:nvSpPr>
      <xdr:spPr bwMode="auto">
        <a:xfrm>
          <a:off x="9096375" y="2476500"/>
          <a:ext cx="426720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7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9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9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9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9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7" totalsRowShown="0" dataDxfId="0">
  <autoFilter ref="A3:Q7" xr:uid="{520F3973-795E-47E6-97CD-1C1265CA838A}"/>
  <sortState xmlns:xlrd2="http://schemas.microsoft.com/office/spreadsheetml/2017/richdata2" ref="A4:Q7">
    <sortCondition descending="1" ref="P3:P7"/>
  </sortState>
  <tableColumns count="17">
    <tableColumn id="1" xr3:uid="{78BB2EF9-C626-4B0D-94B3-1781BE57C67F}" name="Task no." dataDxfId="17"/>
    <tableColumn id="2" xr3:uid="{C139B307-7150-4838-B1FD-482AAB7B1208}" name="Task name" dataDxfId="16" dataCellStyle="Link"/>
    <tableColumn id="18" xr3:uid="{3B298737-E571-4F23-9C71-2BC3C2385355}" name="Comment" dataDxfId="15" dataCellStyle="Link"/>
    <tableColumn id="3" xr3:uid="{3AD21368-826B-4507-A159-BE8BE5B02C1F}" name="Indicator" dataDxfId="14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paltenebene_1"/>
    <tableColumn id="11" xr3:uid="{E542542F-D34F-488A-95AF-76A724785E5A}" name="User time estimate" dataDxfId="9" dataCellStyle="Spaltenebene_1"/>
    <tableColumn id="8" xr3:uid="{727785B7-29B9-493D-A20B-C319B38E1DF3}" name="EBS 50% time" dataDxfId="8" dataCellStyle="Spaltenebene_1"/>
    <tableColumn id="9" xr3:uid="{B12BA9B8-3C81-408C-AFE4-25993FD8491D}" name="EBS 50% date" dataDxfId="7" dataCellStyle="Spaltenebene_1"/>
    <tableColumn id="12" xr3:uid="{7DA005F8-D924-4031-B65E-6C6F60E3212D}" name="Total time" dataDxfId="6"/>
    <tableColumn id="20" xr3:uid="{DAE27A09-2EB0-4A47-A9F0-48ED802D8570}" name="Due date" dataDxfId="5" dataCellStyle="Standard"/>
    <tableColumn id="19" xr3:uid="{7A8CB495-6AE9-4A1E-AC5B-8B6487C84135}" name="Contributor" dataDxfId="4"/>
    <tableColumn id="16" xr3:uid="{209AEE68-BDAE-4E8C-BCF6-6EEA4F9A7FDE}" name="Finished on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B7EED087-E472-418B-84F6-8C451FC3A8B9}" name="TimeEntries8295169891051251411611771852072332492692853051725825478197123137163175215" displayName="TimeEntries8295169891051251411611771852072332492692853051725825478197123137163175215" ref="A14:G15" totalsRowShown="0">
  <autoFilter ref="A14:G15" xr:uid="{ADA20076-2D5E-466A-9BB8-DE1E982D1525}"/>
  <tableColumns count="7">
    <tableColumn id="1" xr3:uid="{A1C83ADB-A367-46BA-AA18-2D6A9D69EC7F}" name="Time entry no."/>
    <tableColumn id="2" xr3:uid="{6D080847-35E5-49EA-B066-0BAEB4821420}" name="Start time" dataDxfId="57"/>
    <tableColumn id="3" xr3:uid="{011D85A8-32C7-414B-947D-62C74F111C5F}" name="End time" dataDxfId="56"/>
    <tableColumn id="4" xr3:uid="{DF941A96-62B5-4F7C-ADA2-4667D282917F}" name="Time delta in h" dataDxfId="55">
      <calculatedColumnFormula>MAX((C15-B15)*24,0)</calculatedColumnFormula>
    </tableColumn>
    <tableColumn id="5" xr3:uid="{314092DF-1214-49BE-8120-B8F370A3F366}" name="Indicator"/>
    <tableColumn id="6" xr3:uid="{2E477F9A-A07B-42BD-BEC2-2279AA3AA5A1}" name="Action1" dataDxfId="54" dataCellStyle="Link"/>
    <tableColumn id="7" xr3:uid="{EFF0F6B6-DCBE-434A-ADFC-4F14D5473BBB}" name="Action2" dataDxfId="53" dataCellStyle="Link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18C5227C-125E-48FD-941D-8A15E59DA75C}" name="Tabelle73679305270901061261421621781862082342502702863061828928488298124138164176216" displayName="Tabelle73679305270901061261421621781862082342502702863061828928488298124138164176216" ref="I14:M15" totalsRowShown="0">
  <autoFilter ref="I14:M15" xr:uid="{7EC8F809-0972-4223-8975-71EC7D250CB9}"/>
  <tableColumns count="5">
    <tableColumn id="1" xr3:uid="{129AB78E-EB9C-488F-97BF-693BD42E6443}" name="Comparison entry no."/>
    <tableColumn id="2" xr3:uid="{63624A93-B9E2-44AF-8FE1-9B0ED8074734}" name="Propability Support point" dataDxfId="52"/>
    <tableColumn id="3" xr3:uid="{4BE70544-2787-47C2-9D01-9053EFB34430}" name="EBS self time" dataDxfId="51"/>
    <tableColumn id="4" xr3:uid="{F1BF608F-CAFD-4870-A329-66F17643FA59}" name="Total time">
      <calculatedColumnFormula>#REF!</calculatedColumnFormula>
    </tableColumn>
    <tableColumn id="5" xr3:uid="{37709634-D5FA-4492-8891-3294FCB9FFBC}" name="Total time / Your estimate" dataDxfId="50">
      <calculatedColumnFormula>Tabelle73679305270901061261421621781862082342502702863061828928488298124138164176216[[#This Row],[EBS self time]]/Tabelle73679305270901061261421621781862082342502702863061828928488298124138164176216[[#This Row],[Total time]]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FA4D7260-8190-42FF-8B20-F9B5909257C4}" name="TimeEntries218526880244481846829411813014221173156719310712914316517919721323725127328730919391739538599127139179201219" displayName="TimeEntries218526880244481846829411813014221173156719310712914316517919721323725127328730919391739538599127139179201219" ref="A14:G17" totalsRowShown="0">
  <autoFilter ref="A14:G17" xr:uid="{29FC41BD-DA39-4BE4-A0CA-1D035792A7E9}"/>
  <tableColumns count="7">
    <tableColumn id="1" xr3:uid="{C9D43EA4-5504-46F5-AA8D-0A72A89D12EB}" name="Time entry no."/>
    <tableColumn id="2" xr3:uid="{0FCCD60E-8B59-4358-9D31-1264ED30A32C}" name="Start time" dataDxfId="49"/>
    <tableColumn id="3" xr3:uid="{5A38D297-034B-4B54-8C16-858B5FA81FC0}" name="End time" dataDxfId="48"/>
    <tableColumn id="4" xr3:uid="{180737E3-C265-4553-AEDC-DB80FC827E08}" name="Time delta in h" dataDxfId="47">
      <calculatedColumnFormula>MAX((TimeEntries218526880244481846829411813014221173156719310712914316517919721323725127328730919391739538599127139179201219[[#This Row],[End time]]-TimeEntries218526880244481846829411813014221173156719310712914316517919721323725127328730919391739538599127139179201219[[#This Row],[Start time]])*24,0)</calculatedColumnFormula>
    </tableColumn>
    <tableColumn id="5" xr3:uid="{9ADD7B45-E721-4CF1-9AA4-4351C9BB5AF2}" name="Indicator"/>
    <tableColumn id="6" xr3:uid="{AF71608C-D8C0-468D-9C91-06CD8CD8B84C}" name="Action1" dataDxfId="46" dataCellStyle="Link"/>
    <tableColumn id="7" xr3:uid="{AC8A57B7-99CA-4257-8494-0C5524EBAFF7}" name="Action2" dataDxfId="45" dataCellStyle="Link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EEEEFEBA-2EDA-4E1B-92BC-4E21B8593BA8}" name="Tabelle73675195369812545919478395119131143221832577294108130144166180198214238252274288310204018405486100128140180202220" displayName="Tabelle73675195369812545919478395119131143221832577294108130144166180198214238252274288310204018405486100128140180202220" ref="I14:M21" totalsRowShown="0">
  <autoFilter ref="I14:M21" xr:uid="{BCE3DA1F-CDFA-4BD2-B372-B75B6CC4053C}"/>
  <tableColumns count="5">
    <tableColumn id="1" xr3:uid="{FCD4EFE9-8223-471E-9440-AE4DF0CF9B8E}" name="Comparison entry no."/>
    <tableColumn id="2" xr3:uid="{3BC18349-E984-4507-BD56-6FE6FF5AEAC4}" name="Propability Support point" dataDxfId="44"/>
    <tableColumn id="3" xr3:uid="{F1EE15C4-D4D4-44A0-B1A8-1EC50FA94C6A}" name="EBS self time" dataDxfId="43"/>
    <tableColumn id="4" xr3:uid="{75C3ED4D-51AF-43C4-BBB3-F5996DA0D162}" name="Total time">
      <calculatedColumnFormula>#REF!</calculatedColumnFormula>
    </tableColumn>
    <tableColumn id="5" xr3:uid="{561DEA79-6E55-4954-AA30-6D78DBDFCE76}" name="Total time / Your estimate" dataDxfId="42">
      <calculatedColumnFormula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D25F3ABC-69E0-4E92-A637-C04B5A694C44}" name="TimeEntries11244061203248114457618498120134192333476685103121139157175201215229247265283301154319435689101143165183203223" displayName="TimeEntries11244061203248114457618498120134192333476685103121139157175201215229247265283301154319435689101143165183203223" ref="A14:G27" totalsRowShown="0">
  <autoFilter ref="A14:G27" xr:uid="{2F057355-E2E1-4651-810F-5BC81B3CDA72}"/>
  <tableColumns count="7">
    <tableColumn id="1" xr3:uid="{9B747494-A37C-4BFD-9F5B-B7B4FFDF3320}" name="Time entry no."/>
    <tableColumn id="2" xr3:uid="{012B2CF9-894C-4C85-8E73-A7698E38BA0D}" name="Start time" dataDxfId="41"/>
    <tableColumn id="3" xr3:uid="{1330345E-0578-4273-9B48-328DCCC6EDFA}" name="End time" dataDxfId="40"/>
    <tableColumn id="4" xr3:uid="{80B89CF3-6447-4B53-8E1F-5DD8D0D23F77}" name="Time delta in h" dataDxfId="39">
      <calculatedColumnFormula>MAX((C15-B15)*24,0)</calculatedColumnFormula>
    </tableColumn>
    <tableColumn id="5" xr3:uid="{744226AC-0EAE-432B-91E7-5155EBFA3AFD}" name="Indicator"/>
    <tableColumn id="6" xr3:uid="{D0AD8588-69A1-4B62-9FFC-E26B897D060E}" name="Action1" dataDxfId="38" dataCellStyle="Link"/>
    <tableColumn id="7" xr3:uid="{7C6DB369-CDC5-486B-98F9-0970891FD54B}" name="Action2" dataDxfId="37" dataCellStyle="Link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287BEC8-9594-4DF5-B968-751B678EE7EE}" name="Tabelle736713254162213349134558628599121135202434486886104122140158176202216230248266284302164420445790102144166184204224" displayName="Tabelle736713254162213349134558628599121135202434486886104122140158176202216230248266284302164420445790102144166184204224" ref="I14:M15" insertRow="1" totalsRowShown="0">
  <autoFilter ref="I14:M15" xr:uid="{6F3A290B-2FA8-435F-82E0-BEF21583CAB4}"/>
  <tableColumns count="5">
    <tableColumn id="1" xr3:uid="{7831B859-6C05-4FC4-A015-FE6844DB7AC1}" name="Comparison entry no."/>
    <tableColumn id="2" xr3:uid="{F4F3A16C-4C31-4DFC-B533-A098B6B7609E}" name="Propability Support point" dataDxfId="36"/>
    <tableColumn id="3" xr3:uid="{426DDB97-1E40-4508-95F7-F9D80EBC2E69}" name="EBS self time" dataDxfId="35"/>
    <tableColumn id="4" xr3:uid="{93C916F0-BCA3-4EAC-8E22-C51C8F4BFCDE}" name="Total time">
      <calculatedColumnFormula>#REF!</calculatedColumnFormula>
    </tableColumn>
    <tableColumn id="5" xr3:uid="{DA445470-33DF-435B-BA84-427B156F8794}" name="Total time / Your estimate" dataDxfId="34">
      <calculatedColumnFormula>Tabelle736713254162213349134558628599121135202434486886104122140158176202216230248266284302164420445790102144166184204224[[#This Row],[EBS self time]]/Tabelle736713254162213349134558628599121135202434486886104122140158176202216230248266284302164420445790102144166184204224[[#This Row],[Total time]]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4BAF581B-B539-4DAA-8437-EFB7D3E2FB9E}" name="TimeEntries1426365962652143652658610212219256073971091331451691812052172412532772896216217795115133147167187205239" displayName="TimeEntries1426365962652143652658610212219256073971091331451691812052172412532772896216217795115133147167187205239" ref="A14:G17" totalsRowShown="0">
  <autoFilter ref="A14:G17" xr:uid="{561901D2-27D8-4AA6-A94E-28638FA7C833}"/>
  <tableColumns count="7">
    <tableColumn id="1" xr3:uid="{8BD2DBD1-476C-4BD7-9929-BB0D6DF76F1B}" name="Time entry no."/>
    <tableColumn id="2" xr3:uid="{B4722D96-3755-4740-89F6-86F776B0F814}" name="Start time" dataDxfId="33"/>
    <tableColumn id="3" xr3:uid="{141DA6AB-B0E8-4749-9F0F-F88BC035FA73}" name="End time" dataDxfId="32"/>
    <tableColumn id="4" xr3:uid="{702F9C5C-E2F2-4799-8A70-3F704100663D}" name="Time delta in h" dataDxfId="31">
      <calculatedColumnFormula>MAX((C15-B15)*24,0)</calculatedColumnFormula>
    </tableColumn>
    <tableColumn id="5" xr3:uid="{630D3B63-FA64-43E1-B68C-89D47A785DC3}" name="Indicator"/>
    <tableColumn id="6" xr3:uid="{530A9C9A-97BD-4D1C-A9D3-4627237CFEE7}" name="Action1" dataDxfId="30" dataCellStyle="Link"/>
    <tableColumn id="7" xr3:uid="{B99BCCE3-98B3-42AC-BEF0-4E9698E798D7}" name="Action2" dataDxfId="29" dataCellStyle="Link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C9355A13-565D-4512-BEA3-3F039EA46CAB}" name="Tabelle73671527376072753153753668710312320286174981101341461701822062182422542782907227227896116134148168188206240" displayName="Tabelle73671527376072753153753668710312320286174981101341461701822062182422542782907227227896116134148168188206240" ref="I14:M15" insertRow="1" totalsRowShown="0">
  <autoFilter ref="I14:M15" xr:uid="{12C0FD3D-FDE7-4885-99BD-FCE09596654F}"/>
  <tableColumns count="5">
    <tableColumn id="1" xr3:uid="{C6E96711-95CA-4771-8C99-792D2F86737C}" name="Comparison entry no."/>
    <tableColumn id="2" xr3:uid="{ED4F9F4B-5959-46D0-ABBB-2A3DF05CDECB}" name="Propability Support point" dataDxfId="28"/>
    <tableColumn id="3" xr3:uid="{A67422BC-FC1F-4AC8-8A7F-1BCFB14A3171}" name="EBS self time" dataDxfId="27"/>
    <tableColumn id="4" xr3:uid="{03B9E413-AF5F-45F3-842B-5D75EAE42E44}" name="Total time">
      <calculatedColumnFormula>#REF!</calculatedColumnFormula>
    </tableColumn>
    <tableColumn id="5" xr3:uid="{A5B6F4D9-19F0-41B7-874C-05D015832227}" name="Total time / Your estimate" dataDxfId="26">
      <calculatedColumnFormula>Tabelle73671527376072753153753668710312320286174981101341461701822062182422542782907227227896116134148168188206240[[#This Row],[EBS self time]]/Tabelle73671527376072753153753668710312320286174981101341461701822062182422542782907227227896116134148168188206240[[#This Row],[Total time]]</calculatedColumnFormula>
    </tableColumn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5" totalsRowShown="0" headerRowDxfId="81" dataDxfId="79" headerRowBorderDxfId="80">
  <autoFilter ref="A8:D15" xr:uid="{8E9EC0C1-7901-48B6-A59A-1CE6ABEE7A55}"/>
  <tableColumns count="4">
    <tableColumn id="1" xr3:uid="{58BB2187-C79D-4A1A-A9A3-DA2F074C476C}" name="Split entry no." dataDxfId="78"/>
    <tableColumn id="2" xr3:uid="{A755482D-FFF4-43D8-8021-1956CE3A7021}" name="Split start" dataDxfId="77"/>
    <tableColumn id="3" xr3:uid="{FE0A0B8D-1F8A-4CEC-9FB3-C945A45F99BF}" name="Split end" dataDxfId="76"/>
    <tableColumn id="4" xr3:uid="{5443222D-0CE3-4625-9EDB-D13B87B6C388}" name="Time spent" dataDxfId="75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7D6B44D-CABA-417C-96B6-A30994641785}" name="EbsBaseData4326270426" displayName="EbsBaseData4326270426" ref="A18:H20" totalsRowShown="0">
  <autoFilter ref="A18:H20" xr:uid="{1948C160-1F52-48A7-8061-8AFF06D47134}"/>
  <tableColumns count="8">
    <tableColumn id="1" xr3:uid="{91517E98-D4F0-4A7E-84DA-227C1BE1665A}" name="EBS entry no."/>
    <tableColumn id="4" xr3:uid="{55F96566-5C71-4986-A9EA-6CFEA4B41FD8}" name="EBS run date" dataDxfId="74"/>
    <tableColumn id="8" xr3:uid="{E7BF2E9D-BAA6-4DCE-9CB8-7D19B2F9CA53}" name="[Velocity pool]"/>
    <tableColumn id="2" xr3:uid="{54B0F21A-8DAA-470B-8510-B61FD51691E3}" name="Show pool?"/>
    <tableColumn id="3" xr3:uid="{5C9609C1-7E08-4438-8537-D4EE693DB8FC}" name="[Propability support points]"/>
    <tableColumn id="5" xr3:uid="{42021D75-6616-4DEA-9FCF-A3EB22C8FAD0}" name="[Project time estimates]"/>
    <tableColumn id="6" xr3:uid="{FAEF8027-EA81-45FE-8B1F-1A1CD4F86BD1}" name="[Project date estimates]"/>
    <tableColumn id="7" xr3:uid="{CAB0B7AE-CD86-4889-8C28-2C4FB9B619C5}" name="eHASH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4000A3-C4F9-491B-B88B-B4354F36E248}" name="EbsTaskData9592711227" displayName="EbsTaskData9592711227" ref="J18:T20" totalsRowShown="0">
  <autoFilter ref="J18:T20" xr:uid="{2297DC20-55A3-4C75-B785-3C4ABEF5CB9C}"/>
  <tableColumns count="11">
    <tableColumn id="1" xr3:uid="{24DAE38F-68BF-42BA-A468-76F23E7946F5}" name="Data entry no."/>
    <tableColumn id="10" xr3:uid="{846A3B0F-DF9C-4EE8-94E4-A757B7C5E77D}" name="tHASH"/>
    <tableColumn id="5" xr3:uid="{E9F8B96F-0375-4FFA-A1CA-75A4410501A5}" name="Logged Priority"/>
    <tableColumn id="7" xr3:uid="{0C3AD91E-785E-41D7-B966-4FC1671810B6}" name="Time spent so far" dataDxfId="73"/>
    <tableColumn id="4" xr3:uid="{B9100390-2F49-43D5-AF03-D7AE698C0FEF}" name="User time estimate" dataDxfId="72"/>
    <tableColumn id="3" xr3:uid="{78613373-FB01-4F78-AEEF-28D3D67DCA18}" name="[Monte Carlo estimate pool]"/>
    <tableColumn id="2" xr3:uid="{47CE218C-7523-4EDB-BFC3-940103DF2B87}" name="[Remaining time pool]"/>
    <tableColumn id="6" xr3:uid="{9995C5A0-7939-49DA-B6EA-EC27F62627B1}" name="[Accumulated time pool]"/>
    <tableColumn id="8" xr3:uid="{429E7426-0B86-43B1-97F3-F36D70A5F9A5}" name="[Propability support points]"/>
    <tableColumn id="9" xr3:uid="{2BC8CA61-F84B-4931-9B0C-6ABB05E57B11}" name="[Interpolated time estimates]"/>
    <tableColumn id="11" xr3:uid="{200A92D7-49D5-4112-9D7F-A7C1E62C7D18}" name="[Interpolated date estimates]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71" dataCellStyle="Link"/>
    <tableColumn id="9" xr3:uid="{0037D127-E2BA-445A-BC63-1395BA3AC441}" name="Calendar ID" dataDxfId="70" dataCellStyle="Link"/>
    <tableColumn id="10" xr3:uid="{37CA3B7B-8FF0-4042-97C6-E23A79A74325}" name="Store ID"/>
    <tableColumn id="6" xr3:uid="{044D8005-25C5-4D31-940A-B6DE4C6B0EA5}" name="WorkingDays" dataDxfId="69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68"/>
    <tableColumn id="8" xr3:uid="{1177B0FB-46B2-406D-B988-C64E0ABA6972}" name="AppointmentOffsetHours" dataDxfId="67">
      <calculatedColumnFormula>5/60</calculatedColumnFormula>
    </tableColumn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66"/>
    <tableColumn id="3" xr3:uid="{78DABF02-3853-48FF-81AD-5801C74BED1B}" name="End time" dataDxfId="65"/>
    <tableColumn id="4" xr3:uid="{76C994F9-216A-4848-9FB6-16BAF8B0EEEA}" name="Time delta in h" dataDxfId="64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63"/>
    <tableColumn id="3" xr3:uid="{A62B365F-400F-45A4-B789-FE7B5FDBD312}" name="EBS self time" dataDxfId="62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61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60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59"/>
    <tableColumn id="4" xr3:uid="{F9EDA55E-5206-49A7-A846-6A0B14C04CAF}" name="User time estimate" dataDxfId="58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5BECE97B-DB74-4CCD-A56E-287AB29264F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15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3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zoomScaleNormal="100" workbookViewId="0">
      <selection activeCell="D10" sqref="D10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32.140625" style="9" customWidth="1"/>
    <col min="3" max="3" width="25.7109375" style="9" customWidth="1"/>
    <col min="4" max="4" width="13.5703125" style="6" bestFit="1" customWidth="1"/>
    <col min="5" max="6" width="9.28515625" style="7" customWidth="1" outlineLevel="1"/>
    <col min="7" max="7" width="12.42578125" style="7" bestFit="1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1.28515625" style="6" bestFit="1" customWidth="1"/>
    <col min="14" max="14" width="13.57031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9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19" t="s">
        <v>78</v>
      </c>
      <c r="K2" s="19" t="s">
        <v>78</v>
      </c>
      <c r="L2" s="8"/>
      <c r="M2" s="8"/>
      <c r="N2" s="8"/>
      <c r="O2" s="8"/>
      <c r="P2" s="8"/>
      <c r="Q2" s="8"/>
      <c r="R2"/>
    </row>
    <row r="3" spans="1:19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7" t="s">
        <v>83</v>
      </c>
      <c r="K3" s="7" t="s">
        <v>77</v>
      </c>
      <c r="L3" s="20" t="s">
        <v>72</v>
      </c>
      <c r="M3" s="6" t="s">
        <v>14</v>
      </c>
      <c r="N3" s="6" t="s">
        <v>15</v>
      </c>
      <c r="O3" t="s">
        <v>16</v>
      </c>
      <c r="P3" t="s">
        <v>13</v>
      </c>
      <c r="Q3" t="s">
        <v>47</v>
      </c>
      <c r="R3"/>
    </row>
    <row r="4" spans="1:19" x14ac:dyDescent="0.25">
      <c r="A4" s="26" t="s">
        <v>106</v>
      </c>
      <c r="B4" s="25" t="s">
        <v>116</v>
      </c>
      <c r="C4" s="25"/>
      <c r="D4" s="26"/>
      <c r="E4" s="26" t="s">
        <v>123</v>
      </c>
      <c r="F4" s="26"/>
      <c r="G4" s="26" t="s">
        <v>117</v>
      </c>
      <c r="H4" s="31" t="s">
        <v>129</v>
      </c>
      <c r="I4" s="29">
        <v>0.5</v>
      </c>
      <c r="J4" s="29" t="s">
        <v>99</v>
      </c>
      <c r="K4" s="30" t="s">
        <v>99</v>
      </c>
      <c r="L4" s="27">
        <v>0.74999999982537702</v>
      </c>
      <c r="M4" s="26"/>
      <c r="N4" s="26" t="s">
        <v>19</v>
      </c>
      <c r="O4" s="28">
        <v>43817.078483796293</v>
      </c>
      <c r="P4" s="26" t="s">
        <v>99</v>
      </c>
      <c r="Q4" s="26" t="s">
        <v>115</v>
      </c>
    </row>
    <row r="5" spans="1:19" x14ac:dyDescent="0.25">
      <c r="A5" s="26" t="s">
        <v>171</v>
      </c>
      <c r="B5" s="25" t="s">
        <v>173</v>
      </c>
      <c r="C5" s="25"/>
      <c r="D5" s="26"/>
      <c r="E5" s="26"/>
      <c r="F5" s="26"/>
      <c r="G5" s="26"/>
      <c r="H5" s="31" t="s">
        <v>97</v>
      </c>
      <c r="I5" s="29" t="s">
        <v>160</v>
      </c>
      <c r="J5" s="29" t="s">
        <v>99</v>
      </c>
      <c r="K5" s="30" t="s">
        <v>99</v>
      </c>
      <c r="L5" s="27">
        <v>0.24999999994179201</v>
      </c>
      <c r="M5" s="26"/>
      <c r="N5" s="26" t="s">
        <v>19</v>
      </c>
      <c r="O5" s="28" t="s">
        <v>99</v>
      </c>
      <c r="P5" s="26">
        <v>3</v>
      </c>
      <c r="Q5" s="26" t="s">
        <v>172</v>
      </c>
    </row>
    <row r="6" spans="1:19" x14ac:dyDescent="0.25">
      <c r="A6" s="26" t="s">
        <v>96</v>
      </c>
      <c r="B6" s="25" t="s">
        <v>112</v>
      </c>
      <c r="C6" s="25"/>
      <c r="D6" s="26"/>
      <c r="E6" s="26"/>
      <c r="F6" s="26"/>
      <c r="G6" s="26" t="s">
        <v>121</v>
      </c>
      <c r="H6" s="31" t="s">
        <v>97</v>
      </c>
      <c r="I6" s="29">
        <v>1</v>
      </c>
      <c r="J6" s="29">
        <v>0</v>
      </c>
      <c r="K6" s="30">
        <v>43871.333333333336</v>
      </c>
      <c r="L6" s="27">
        <v>49.749999999941799</v>
      </c>
      <c r="M6" s="26"/>
      <c r="N6" s="26" t="s">
        <v>19</v>
      </c>
      <c r="O6" s="28"/>
      <c r="P6" s="26">
        <v>2</v>
      </c>
      <c r="Q6" s="26" t="s">
        <v>111</v>
      </c>
    </row>
    <row r="7" spans="1:19" x14ac:dyDescent="0.25">
      <c r="A7" s="26" t="s">
        <v>105</v>
      </c>
      <c r="B7" s="25" t="s">
        <v>114</v>
      </c>
      <c r="C7" s="25"/>
      <c r="D7" s="26"/>
      <c r="E7" s="26"/>
      <c r="F7" s="26"/>
      <c r="G7" s="26" t="s">
        <v>119</v>
      </c>
      <c r="H7" s="31" t="s">
        <v>97</v>
      </c>
      <c r="I7" s="29">
        <v>2</v>
      </c>
      <c r="J7" s="29">
        <v>2.9990000000000001</v>
      </c>
      <c r="K7" s="30">
        <v>43871.458275462966</v>
      </c>
      <c r="L7" s="27">
        <v>3.2500000006402798</v>
      </c>
      <c r="M7" s="26"/>
      <c r="N7" s="26" t="s">
        <v>19</v>
      </c>
      <c r="O7" s="28"/>
      <c r="P7" s="26">
        <v>1</v>
      </c>
      <c r="Q7" s="26" t="s">
        <v>113</v>
      </c>
    </row>
    <row r="8" spans="1:19" x14ac:dyDescent="0.25">
      <c r="A8" s="26"/>
      <c r="B8" s="25"/>
      <c r="C8" s="25"/>
      <c r="D8" s="26"/>
      <c r="E8" s="26"/>
      <c r="F8" s="26"/>
      <c r="G8" s="26"/>
      <c r="H8" s="31"/>
      <c r="I8" s="29"/>
      <c r="J8" s="29"/>
      <c r="K8" s="30"/>
      <c r="L8" s="27"/>
      <c r="M8" s="26"/>
      <c r="N8" s="26"/>
      <c r="O8" s="28"/>
      <c r="P8" s="26"/>
      <c r="Q8" s="26"/>
    </row>
    <row r="9" spans="1:19" x14ac:dyDescent="0.25">
      <c r="A9" s="26"/>
      <c r="B9" s="25"/>
      <c r="C9" s="25"/>
      <c r="D9" s="26"/>
      <c r="E9" s="26"/>
      <c r="F9" s="26"/>
      <c r="G9" s="26"/>
      <c r="H9" s="31"/>
      <c r="I9" s="29"/>
      <c r="J9" s="29"/>
      <c r="K9" s="30"/>
      <c r="L9" s="27"/>
      <c r="M9" s="26"/>
      <c r="N9" s="26"/>
      <c r="O9" s="28"/>
      <c r="P9" s="26"/>
      <c r="Q9" s="26"/>
    </row>
    <row r="11" spans="1:19" x14ac:dyDescent="0.25">
      <c r="S11" s="8"/>
    </row>
    <row r="14" spans="1:19" x14ac:dyDescent="0.25">
      <c r="B14" s="12"/>
    </row>
    <row r="39" spans="19:19" x14ac:dyDescent="0.25">
      <c r="S39" t="s">
        <v>89</v>
      </c>
    </row>
  </sheetData>
  <dataConsolidate/>
  <conditionalFormatting sqref="D1 D3:D1048576">
    <cfRule type="containsText" dxfId="25" priority="5" operator="containsText" text="&lt;current">
      <formula>NOT(ISERROR(SEARCH("&lt;current",D1)))</formula>
    </cfRule>
  </conditionalFormatting>
  <conditionalFormatting sqref="H1:N1 H3:N3 J2:K2 H10:N1048576 H4:J9 L4:N7">
    <cfRule type="containsText" dxfId="24" priority="6" operator="containsText" text="Done">
      <formula>NOT(ISERROR(SEARCH("Done",H1)))</formula>
    </cfRule>
    <cfRule type="containsText" dxfId="23" priority="7" operator="containsText" text="In progress">
      <formula>NOT(ISERROR(SEARCH("In progress",H1)))</formula>
    </cfRule>
    <cfRule type="containsText" dxfId="22" priority="8" operator="containsText" text="To do">
      <formula>NOT(ISERROR(SEARCH("To do",H1)))</formula>
    </cfRule>
  </conditionalFormatting>
  <conditionalFormatting sqref="P3:P1048576 P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7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7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7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7" xr:uid="{9F542B9B-6457-4DF0-A686-12CFDB2D0871}">
      <formula1>"Important"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7" xr:uid="{5BC6DE82-994E-4984-9BFB-1292C1A6B6C3}">
      <formula1>"Me,Me3"</formula1>
    </dataValidation>
  </dataValidations>
  <hyperlinks>
    <hyperlink ref="B6" location="Planning!A1" display="Planning!A1" xr:uid="{E7E9EB20-9A6A-43A4-85F6-0260588D6383}"/>
    <hyperlink ref="B7" location="Planning!A1" display="Planning!A1" xr:uid="{8CFA1261-F85D-4859-A4DC-8DA15B465660}"/>
    <hyperlink ref="B4" location="Planning!A1" display="Planning!A1" xr:uid="{FB1E17D5-9329-412C-A215-AF443F84EE83}"/>
    <hyperlink ref="B5" location="Planning!A1" display="Planning!A1" xr:uid="{743DA06B-2641-4B04-A304-ED29FCE3400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936CD-98FD-4B9E-9E0D-396406B544D8}">
  <sheetPr codeName="TaskSheetTemplate1"/>
  <dimension ref="A1:M15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173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0.24999999994179234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172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43870.804606481484</v>
      </c>
      <c r="C15" s="1">
        <v>43870.815023148149</v>
      </c>
      <c r="D15" s="2">
        <f>MAX((C15-B15)*24,0)</f>
        <v>0.24999999994179234</v>
      </c>
      <c r="F15" s="42" t="s">
        <v>127</v>
      </c>
      <c r="G15" s="25" t="s">
        <v>128</v>
      </c>
      <c r="J15" s="16"/>
      <c r="K15" s="2"/>
      <c r="L15" s="2" t="e">
        <f>#REF!</f>
        <v>#REF!</v>
      </c>
      <c r="M15" s="17" t="e">
        <f>Tabelle73679305270901061261421621781862082342502702863061828928488298124138164176216[[#This Row],[EBS self time]]/Tabelle73679305270901061261421621781862082342502702863061828928488298124138164176216[[#This Row],[Total time]]</f>
        <v>#REF!</v>
      </c>
    </row>
  </sheetData>
  <dataConsolidate/>
  <hyperlinks>
    <hyperlink ref="A1" location="Planning!A1" display="Go back to 'Planning' sheet" xr:uid="{1C97D3DF-4C5B-487B-90AC-153512BD3D27}"/>
    <hyperlink ref="F15" location="$F$15" display="$F$15" xr:uid="{31695B27-6B78-4809-B757-CD992793AC45}"/>
    <hyperlink ref="G15" location="$G$15" display="$G$15" xr:uid="{73312E31-63E0-4388-B4C1-71AF148B9D4F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B32B9-D275-4F6D-932D-357B581BD240}">
  <sheetPr codeName="TaskSheetTemplate2"/>
  <dimension ref="A1:M21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112</v>
      </c>
    </row>
    <row r="3" spans="1:13" x14ac:dyDescent="0.25">
      <c r="A3" t="s">
        <v>79</v>
      </c>
      <c r="B3" s="2">
        <v>1</v>
      </c>
      <c r="C3" t="s">
        <v>4</v>
      </c>
    </row>
    <row r="4" spans="1:13" x14ac:dyDescent="0.25">
      <c r="A4" t="s">
        <v>0</v>
      </c>
      <c r="B4" s="2">
        <f>SUM(D:D)</f>
        <v>1.7499999999417923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111</v>
      </c>
    </row>
    <row r="11" spans="1:13" x14ac:dyDescent="0.25">
      <c r="A11" t="s">
        <v>5</v>
      </c>
      <c r="B11" s="2">
        <f>B3/B4</f>
        <v>0.57142857144757797</v>
      </c>
      <c r="C11" t="s">
        <v>6</v>
      </c>
    </row>
    <row r="12" spans="1:13" x14ac:dyDescent="0.25">
      <c r="A12" t="s">
        <v>103</v>
      </c>
      <c r="B12" t="s">
        <v>118</v>
      </c>
    </row>
    <row r="13" spans="1:13" x14ac:dyDescent="0.25">
      <c r="A13" t="s">
        <v>104</v>
      </c>
      <c r="B13" t="s">
        <v>122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43817.077002314814</v>
      </c>
      <c r="C15" s="1">
        <v>43817.087418981479</v>
      </c>
      <c r="D15" s="2">
        <f>MAX((TimeEntries218526880244481846829411813014221173156719310712914316517919721323725127328730919391739538599127139179201219[[#This Row],[End time]]-TimeEntries218526880244481846829411813014221173156719310712914316517919721323725127328730919391739538599127139179201219[[#This Row],[Start time]])*24,0)</f>
        <v>0.24999999994179234</v>
      </c>
      <c r="F15" s="42" t="s">
        <v>127</v>
      </c>
      <c r="G15" s="25" t="s">
        <v>128</v>
      </c>
      <c r="I15" t="s">
        <v>96</v>
      </c>
      <c r="J15" s="16">
        <v>0.05</v>
      </c>
      <c r="K15" s="2">
        <v>1.3333333333333333</v>
      </c>
      <c r="L15" s="2" t="e">
        <f>#REF!</f>
        <v>#REF!</v>
      </c>
      <c r="M15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  <row r="16" spans="1:13" x14ac:dyDescent="0.25">
      <c r="A16" t="s">
        <v>100</v>
      </c>
      <c r="B16" s="1">
        <v>43817.126307870371</v>
      </c>
      <c r="C16" s="1">
        <v>43817.147141203706</v>
      </c>
      <c r="D16" s="2">
        <f>MAX((TimeEntries218526880244481846829411813014221173156719310712914316517919721323725127328730919391739538599127139179201219[[#This Row],[End time]]-TimeEntries218526880244481846829411813014221173156719310712914316517919721323725127328730919391739538599127139179201219[[#This Row],[Start time]])*24,0)</f>
        <v>0.50000000005820766</v>
      </c>
      <c r="F16" s="42" t="s">
        <v>127</v>
      </c>
      <c r="G16" s="25" t="s">
        <v>128</v>
      </c>
      <c r="I16" t="s">
        <v>100</v>
      </c>
      <c r="J16" s="16">
        <v>0.2</v>
      </c>
      <c r="K16" s="2">
        <v>1.3333333333333333</v>
      </c>
      <c r="L16" s="2" t="e">
        <f>#REF!</f>
        <v>#REF!</v>
      </c>
      <c r="M16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  <row r="17" spans="1:13" x14ac:dyDescent="0.25">
      <c r="A17" t="s">
        <v>101</v>
      </c>
      <c r="B17" s="1">
        <v>43817.126307870371</v>
      </c>
      <c r="C17" s="1">
        <v>43817.167974537035</v>
      </c>
      <c r="D17" s="2">
        <f>MAX((TimeEntries218526880244481846829411813014221173156719310712914316517919721323725127328730919391739538599127139179201219[[#This Row],[End time]]-TimeEntries218526880244481846829411813014221173156719310712914316517919721323725127328730919391739538599127139179201219[[#This Row],[Start time]])*24,0)</f>
        <v>0.99999999994179234</v>
      </c>
      <c r="F17" s="42" t="s">
        <v>127</v>
      </c>
      <c r="G17" s="25" t="s">
        <v>128</v>
      </c>
      <c r="I17" t="s">
        <v>101</v>
      </c>
      <c r="J17" s="16">
        <v>0.35</v>
      </c>
      <c r="K17" s="2">
        <v>1.3333333333333333</v>
      </c>
      <c r="L17" s="2" t="e">
        <f>#REF!</f>
        <v>#REF!</v>
      </c>
      <c r="M17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  <row r="18" spans="1:13" x14ac:dyDescent="0.25">
      <c r="B18" s="1"/>
      <c r="C18" s="1"/>
      <c r="D18" s="2"/>
      <c r="G18" s="25"/>
      <c r="I18" t="s">
        <v>105</v>
      </c>
      <c r="J18" s="16">
        <v>0.5</v>
      </c>
      <c r="K18" s="2">
        <v>1.3333333333333333</v>
      </c>
      <c r="L18" s="2" t="e">
        <f>#REF!</f>
        <v>#REF!</v>
      </c>
      <c r="M18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  <row r="19" spans="1:13" x14ac:dyDescent="0.25">
      <c r="I19" t="s">
        <v>106</v>
      </c>
      <c r="J19" s="16">
        <v>0.65</v>
      </c>
      <c r="K19" s="2">
        <v>1.4992503748125936</v>
      </c>
      <c r="L19" s="2" t="e">
        <f>#REF!</f>
        <v>#REF!</v>
      </c>
      <c r="M19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  <row r="20" spans="1:13" x14ac:dyDescent="0.25">
      <c r="I20" t="s">
        <v>155</v>
      </c>
      <c r="J20" s="16">
        <v>0.8</v>
      </c>
      <c r="K20" s="2">
        <v>1.4992503748125936</v>
      </c>
      <c r="L20" s="2" t="e">
        <f>#REF!</f>
        <v>#REF!</v>
      </c>
      <c r="M20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  <row r="21" spans="1:13" x14ac:dyDescent="0.25">
      <c r="I21" t="s">
        <v>156</v>
      </c>
      <c r="J21" s="16">
        <v>0.95</v>
      </c>
      <c r="K21" s="2">
        <v>1.4992503748125936</v>
      </c>
      <c r="L21" s="2" t="e">
        <f>#REF!</f>
        <v>#REF!</v>
      </c>
      <c r="M21" s="17" t="e">
        <f>Tabelle73675195369812545919478395119131143221832577294108130144166180198214238252274288310204018405486100128140180202220[[#This Row],[EBS self time]]/Tabelle73675195369812545919478395119131143221832577294108130144166180198214238252274288310204018405486100128140180202220[[#This Row],[Total time]]</f>
        <v>#REF!</v>
      </c>
    </row>
  </sheetData>
  <dataConsolidate/>
  <hyperlinks>
    <hyperlink ref="A1" location="Planning!A1" display="Go back to 'Planning' sheet" xr:uid="{8BC80DC4-F221-4D54-A53A-A70CFACACE60}"/>
    <hyperlink ref="F15" location="$F$15" display="$F$15" xr:uid="{08429EED-520C-4149-94DB-F9FD43ABDE22}"/>
    <hyperlink ref="G15" location="$G$15" display="$G$15" xr:uid="{80FDF849-2A72-4E77-8B16-E23F40C035F8}"/>
    <hyperlink ref="F16" location="$F$16" display="$F$16" xr:uid="{96E21429-9F8A-4F76-9452-819EB114199F}"/>
    <hyperlink ref="G16" location="$G$16" display="$G$16" xr:uid="{521B69DA-1737-48FE-BD0B-4F354A516D3B}"/>
    <hyperlink ref="F17" location="$F$17" display="$F$17" xr:uid="{77AD04EE-8CF0-4188-87D3-97B69038AEDB}"/>
    <hyperlink ref="G17" location="$G$17" display="$G$17" xr:uid="{399E9E94-683F-45EE-9CC5-6E5E2A5CD7E6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DF5C2-244A-42FE-BC65-48DBF41164F4}">
  <sheetPr codeName="TaskSheetTemplate3"/>
  <dimension ref="A1:M27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114</v>
      </c>
    </row>
    <row r="3" spans="1:13" x14ac:dyDescent="0.25">
      <c r="A3" t="s">
        <v>79</v>
      </c>
      <c r="B3" s="2">
        <v>2</v>
      </c>
      <c r="C3" t="s">
        <v>4</v>
      </c>
    </row>
    <row r="4" spans="1:13" x14ac:dyDescent="0.25">
      <c r="A4" t="s">
        <v>0</v>
      </c>
      <c r="B4" s="2">
        <f>SUM(D:D)</f>
        <v>3.2500000006402843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113</v>
      </c>
    </row>
    <row r="11" spans="1:13" x14ac:dyDescent="0.25">
      <c r="A11" t="s">
        <v>5</v>
      </c>
      <c r="B11" s="2">
        <f>B3/B4</f>
        <v>0.61538461526337818</v>
      </c>
      <c r="C11" t="s">
        <v>6</v>
      </c>
    </row>
    <row r="12" spans="1:13" x14ac:dyDescent="0.25">
      <c r="A12" t="s">
        <v>103</v>
      </c>
      <c r="B12" t="s">
        <v>118</v>
      </c>
    </row>
    <row r="13" spans="1:13" x14ac:dyDescent="0.25">
      <c r="A13" t="s">
        <v>104</v>
      </c>
      <c r="B13" t="s">
        <v>120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43870.964432870373</v>
      </c>
      <c r="C15" s="1">
        <v>43870.974849537037</v>
      </c>
      <c r="D15" s="2">
        <f>MAX((C15-B15)*24,0)</f>
        <v>0.24999999994179234</v>
      </c>
      <c r="F15" s="42" t="s">
        <v>127</v>
      </c>
      <c r="G15" s="25" t="s">
        <v>128</v>
      </c>
      <c r="J15" s="16"/>
      <c r="K15" s="2"/>
      <c r="L15" s="2"/>
      <c r="M15" s="17"/>
    </row>
    <row r="16" spans="1:13" x14ac:dyDescent="0.25">
      <c r="A16" t="s">
        <v>100</v>
      </c>
      <c r="B16" s="1">
        <v>43870.964432870373</v>
      </c>
      <c r="C16" s="1">
        <v>43870.974849537037</v>
      </c>
      <c r="D16" s="2">
        <f>MAX((C16-B16)*24,0)</f>
        <v>0.24999999994179234</v>
      </c>
      <c r="F16" s="42" t="s">
        <v>127</v>
      </c>
      <c r="G16" s="25" t="s">
        <v>128</v>
      </c>
    </row>
    <row r="17" spans="1:7" x14ac:dyDescent="0.25">
      <c r="A17" t="s">
        <v>101</v>
      </c>
      <c r="B17" s="1">
        <v>43870.964432870373</v>
      </c>
      <c r="C17" s="1">
        <v>43870.974849537037</v>
      </c>
      <c r="D17" s="2">
        <f>MAX((C17-B17)*24,0)</f>
        <v>0.24999999994179234</v>
      </c>
      <c r="F17" s="42" t="s">
        <v>127</v>
      </c>
      <c r="G17" s="25" t="s">
        <v>128</v>
      </c>
    </row>
    <row r="18" spans="1:7" x14ac:dyDescent="0.25">
      <c r="A18" t="s">
        <v>105</v>
      </c>
      <c r="B18" s="1">
        <v>43870.964432870373</v>
      </c>
      <c r="C18" s="1">
        <v>43870.974849537037</v>
      </c>
      <c r="D18" s="2">
        <f>MAX((C18-B18)*24,0)</f>
        <v>0.24999999994179234</v>
      </c>
      <c r="F18" s="42" t="s">
        <v>127</v>
      </c>
      <c r="G18" s="25" t="s">
        <v>128</v>
      </c>
    </row>
    <row r="19" spans="1:7" x14ac:dyDescent="0.25">
      <c r="A19" t="s">
        <v>106</v>
      </c>
      <c r="B19" s="1">
        <v>43870.964444444442</v>
      </c>
      <c r="C19" s="1">
        <v>43870.974861111114</v>
      </c>
      <c r="D19" s="2">
        <f>MAX((C19-B19)*24,0)</f>
        <v>0.25000000011641532</v>
      </c>
      <c r="F19" s="42" t="s">
        <v>127</v>
      </c>
      <c r="G19" s="25" t="s">
        <v>128</v>
      </c>
    </row>
    <row r="20" spans="1:7" x14ac:dyDescent="0.25">
      <c r="A20" t="s">
        <v>155</v>
      </c>
      <c r="B20" s="1">
        <v>43870.964444444442</v>
      </c>
      <c r="C20" s="1">
        <v>43870.974861111114</v>
      </c>
      <c r="D20" s="2">
        <f>MAX((C20-B20)*24,0)</f>
        <v>0.25000000011641532</v>
      </c>
      <c r="F20" s="42" t="s">
        <v>127</v>
      </c>
      <c r="G20" s="25" t="s">
        <v>128</v>
      </c>
    </row>
    <row r="21" spans="1:7" x14ac:dyDescent="0.25">
      <c r="A21" t="s">
        <v>156</v>
      </c>
      <c r="B21" s="1">
        <v>43870.964444444442</v>
      </c>
      <c r="C21" s="1">
        <v>43870.974861111114</v>
      </c>
      <c r="D21" s="2">
        <f>MAX((C21-B21)*24,0)</f>
        <v>0.25000000011641532</v>
      </c>
      <c r="F21" s="42" t="s">
        <v>127</v>
      </c>
      <c r="G21" s="25" t="s">
        <v>128</v>
      </c>
    </row>
    <row r="22" spans="1:7" x14ac:dyDescent="0.25">
      <c r="A22" t="s">
        <v>187</v>
      </c>
      <c r="B22" s="1">
        <v>43870.964444444442</v>
      </c>
      <c r="C22" s="1">
        <v>43870.974861111114</v>
      </c>
      <c r="D22" s="2">
        <f>MAX((C22-B22)*24,0)</f>
        <v>0.25000000011641532</v>
      </c>
      <c r="F22" s="42" t="s">
        <v>127</v>
      </c>
      <c r="G22" s="25" t="s">
        <v>128</v>
      </c>
    </row>
    <row r="23" spans="1:7" x14ac:dyDescent="0.25">
      <c r="A23" t="s">
        <v>169</v>
      </c>
      <c r="B23" s="1">
        <v>43870.964444444442</v>
      </c>
      <c r="C23" s="1">
        <v>43870.974861111114</v>
      </c>
      <c r="D23" s="2">
        <f>MAX((C23-B23)*24,0)</f>
        <v>0.25000000011641532</v>
      </c>
      <c r="F23" s="42" t="s">
        <v>127</v>
      </c>
      <c r="G23" s="25" t="s">
        <v>128</v>
      </c>
    </row>
    <row r="24" spans="1:7" x14ac:dyDescent="0.25">
      <c r="A24" t="s">
        <v>171</v>
      </c>
      <c r="B24" s="1">
        <v>43870.964444444442</v>
      </c>
      <c r="C24" s="1">
        <v>43870.974861111114</v>
      </c>
      <c r="D24" s="2">
        <f>MAX((C24-B24)*24,0)</f>
        <v>0.25000000011641532</v>
      </c>
      <c r="F24" s="42" t="s">
        <v>127</v>
      </c>
      <c r="G24" s="25" t="s">
        <v>128</v>
      </c>
    </row>
    <row r="25" spans="1:7" x14ac:dyDescent="0.25">
      <c r="A25" t="s">
        <v>183</v>
      </c>
      <c r="B25" s="1">
        <v>43870.964456018519</v>
      </c>
      <c r="C25" s="1">
        <v>43870.974872685183</v>
      </c>
      <c r="D25" s="2">
        <f>MAX((C25-B25)*24,0)</f>
        <v>0.24999999994179234</v>
      </c>
      <c r="F25" s="42" t="s">
        <v>127</v>
      </c>
      <c r="G25" s="25" t="s">
        <v>128</v>
      </c>
    </row>
    <row r="26" spans="1:7" x14ac:dyDescent="0.25">
      <c r="A26" t="s">
        <v>184</v>
      </c>
      <c r="B26" s="1">
        <v>43870.964479166665</v>
      </c>
      <c r="C26" s="1">
        <v>43870.974895833337</v>
      </c>
      <c r="D26" s="2">
        <f>MAX((C26-B26)*24,0)</f>
        <v>0.25000000011641532</v>
      </c>
      <c r="F26" s="42" t="s">
        <v>127</v>
      </c>
      <c r="G26" s="25" t="s">
        <v>128</v>
      </c>
    </row>
    <row r="27" spans="1:7" x14ac:dyDescent="0.25">
      <c r="A27" t="s">
        <v>188</v>
      </c>
      <c r="B27" s="1">
        <v>43870.964479166665</v>
      </c>
      <c r="C27" s="1">
        <v>43870.974895833337</v>
      </c>
      <c r="D27" s="2">
        <f>MAX((C27-B27)*24,0)</f>
        <v>0.25000000011641532</v>
      </c>
      <c r="F27" s="42" t="s">
        <v>127</v>
      </c>
      <c r="G27" s="25" t="s">
        <v>128</v>
      </c>
    </row>
  </sheetData>
  <dataConsolidate/>
  <hyperlinks>
    <hyperlink ref="A1" location="Planning!A1" display="Go back to 'Planning' sheet" xr:uid="{D42ED816-CA76-4AB8-907A-76C73149D562}"/>
    <hyperlink ref="F15" location="$F$15" display="$F$15" xr:uid="{C18A6212-0255-4CAE-8DD5-5A4A4533D37D}"/>
    <hyperlink ref="G15" location="$G$15" display="$G$15" xr:uid="{E20F540B-A0EB-4777-818D-2A5B1101FFBC}"/>
    <hyperlink ref="F16" location="$F$16" display="$F$16" xr:uid="{E6213B2E-615D-430E-B57B-42E201AF200B}"/>
    <hyperlink ref="G16" location="$G$16" display="$G$16" xr:uid="{7FF91E2C-EF21-4077-8A76-F8896CFF2CF0}"/>
    <hyperlink ref="F17" location="$F$17" display="$F$17" xr:uid="{65B88020-140F-4DE6-A9FF-2C3143A227CF}"/>
    <hyperlink ref="G17" location="$G$17" display="$G$17" xr:uid="{232AFC1C-9079-4AA9-B92C-E4864E110367}"/>
    <hyperlink ref="F18" location="$F$18" display="$F$18" xr:uid="{AFF041AC-F584-41CB-8C5B-666303D7EC07}"/>
    <hyperlink ref="G18" location="$G$18" display="$G$18" xr:uid="{4D03877D-AA3F-413C-9980-16FAB896ABA4}"/>
    <hyperlink ref="F19" location="$F$19" display="$F$19" xr:uid="{748B1940-F38B-42F3-871C-1932C285978E}"/>
    <hyperlink ref="G19" location="$G$19" display="$G$19" xr:uid="{21216BE9-6A11-4C85-BB20-0E44273E087B}"/>
    <hyperlink ref="F20" location="$F$20" display="$F$20" xr:uid="{EAE1EB12-1D02-49EA-B6F5-FDAEEDA206F8}"/>
    <hyperlink ref="G20" location="$G$20" display="$G$20" xr:uid="{0919C1FD-CB5E-4894-BF2F-2F778A642131}"/>
    <hyperlink ref="F21" location="$F$21" display="$F$21" xr:uid="{D64CC484-F551-4BEF-A160-E26D5117F0D6}"/>
    <hyperlink ref="G21" location="$G$21" display="$G$21" xr:uid="{C46EDBBE-5504-4C01-B954-81CA4E0FE2B3}"/>
    <hyperlink ref="F22" location="$F$22" display="$F$22" xr:uid="{E9AD71D4-8307-4D55-B24C-5048F4E17199}"/>
    <hyperlink ref="G22" location="$G$22" display="$G$22" xr:uid="{E105ABAB-423F-41F0-8BB6-50876B924116}"/>
    <hyperlink ref="F23" location="$F$23" display="$F$23" xr:uid="{E24657CE-0437-4B2D-914C-96B42A3FC76C}"/>
    <hyperlink ref="G23" location="$G$23" display="$G$23" xr:uid="{F5B253DE-46BB-4159-86EC-289799F07F43}"/>
    <hyperlink ref="F24" location="$F$24" display="$F$24" xr:uid="{47C3207F-34E7-48BF-A549-86FF70505F0B}"/>
    <hyperlink ref="G24" location="$G$24" display="$G$24" xr:uid="{AF8FFC19-25DC-45A5-9B6D-683F1910B60B}"/>
    <hyperlink ref="F25" location="$F$25" display="$F$25" xr:uid="{2E966648-0AF2-45BE-A173-C133D9F73F0E}"/>
    <hyperlink ref="G25" location="$G$25" display="$G$25" xr:uid="{EB29F3EF-8193-43C6-9D9D-8B475F2D731A}"/>
    <hyperlink ref="F26" location="$F$26" display="$F$26" xr:uid="{65F8C2D6-48B4-4170-8E07-18C1AA92BE95}"/>
    <hyperlink ref="G26" location="$G$26" display="$G$26" xr:uid="{99A258D5-6793-4455-9647-CB909E93FA4A}"/>
    <hyperlink ref="F27" location="$F$27" display="$F$27" xr:uid="{0F336E35-2943-428C-A70F-4D266C5141F0}"/>
    <hyperlink ref="G27" location="$G$27" display="$G$27" xr:uid="{1D6031D7-D21D-45F7-AF3A-089C453F74BB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3AB63-F038-4C00-A45F-81408E4318EC}">
  <sheetPr codeName="TaskSheetTemplate4"/>
  <dimension ref="A1:M17"/>
  <sheetViews>
    <sheetView workbookViewId="0">
      <selection sqref="A1:M1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116</v>
      </c>
    </row>
    <row r="3" spans="1:13" x14ac:dyDescent="0.25">
      <c r="A3" t="s">
        <v>79</v>
      </c>
      <c r="B3" s="2">
        <v>0.5</v>
      </c>
      <c r="C3" t="s">
        <v>4</v>
      </c>
    </row>
    <row r="4" spans="1:13" x14ac:dyDescent="0.25">
      <c r="A4" t="s">
        <v>0</v>
      </c>
      <c r="B4" s="2">
        <f>SUM(D:D)</f>
        <v>0.74999999982537702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129</v>
      </c>
    </row>
    <row r="8" spans="1:13" x14ac:dyDescent="0.25">
      <c r="A8" t="s">
        <v>16</v>
      </c>
      <c r="B8" s="5">
        <v>43817.078483796293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115</v>
      </c>
    </row>
    <row r="11" spans="1:13" x14ac:dyDescent="0.25">
      <c r="A11" t="s">
        <v>5</v>
      </c>
      <c r="B11" s="2">
        <f>B3/B4</f>
        <v>0.66666666682188713</v>
      </c>
      <c r="C11" t="s">
        <v>6</v>
      </c>
    </row>
    <row r="12" spans="1:13" x14ac:dyDescent="0.25">
      <c r="A12" t="s">
        <v>103</v>
      </c>
      <c r="B12" t="s">
        <v>124</v>
      </c>
    </row>
    <row r="13" spans="1:13" x14ac:dyDescent="0.25">
      <c r="A13" t="s">
        <v>104</v>
      </c>
      <c r="B13" t="s">
        <v>125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A15" t="s">
        <v>96</v>
      </c>
      <c r="B15" s="1">
        <v>43817.068055555559</v>
      </c>
      <c r="C15" s="1">
        <v>43817.078472222223</v>
      </c>
      <c r="D15" s="2">
        <f>MAX((C15-B15)*24,0)</f>
        <v>0.24999999994179234</v>
      </c>
      <c r="F15" s="32" t="s">
        <v>127</v>
      </c>
      <c r="G15" s="32" t="s">
        <v>128</v>
      </c>
      <c r="J15" s="16"/>
      <c r="K15" s="2"/>
      <c r="L15" s="2"/>
      <c r="M15" s="17"/>
    </row>
    <row r="16" spans="1:13" x14ac:dyDescent="0.25">
      <c r="A16" t="s">
        <v>100</v>
      </c>
      <c r="B16" s="1">
        <v>43817.068067129629</v>
      </c>
      <c r="C16" s="1">
        <v>43817.078483796293</v>
      </c>
      <c r="D16" s="2">
        <f>MAX((C16-B16)*24,0)</f>
        <v>0.24999999994179234</v>
      </c>
      <c r="F16" s="32" t="s">
        <v>127</v>
      </c>
      <c r="G16" s="32" t="s">
        <v>128</v>
      </c>
    </row>
    <row r="17" spans="1:7" x14ac:dyDescent="0.25">
      <c r="A17" t="s">
        <v>101</v>
      </c>
      <c r="B17" s="1">
        <v>43817.068067129629</v>
      </c>
      <c r="C17" s="1">
        <v>43817.078483796293</v>
      </c>
      <c r="D17" s="2">
        <f>MAX((C17-B17)*24,0)</f>
        <v>0.24999999994179234</v>
      </c>
      <c r="F17" s="32" t="s">
        <v>127</v>
      </c>
      <c r="G17" s="32" t="s">
        <v>128</v>
      </c>
    </row>
  </sheetData>
  <dataConsolidate/>
  <hyperlinks>
    <hyperlink ref="A1" location="Planning!A1" display="Go back to 'Planning' sheet" xr:uid="{DD2CEF7D-93D2-4A7B-8D99-7880D31BDFDE}"/>
    <hyperlink ref="F15" location="$F$15" display="$F$15" xr:uid="{CF3AA9F1-CD91-4886-BF0E-B4135ADF69DC}"/>
    <hyperlink ref="G15" location="$G$15" display="$G$15" xr:uid="{85CAF854-31F4-49D7-BC09-F416011D75B1}"/>
    <hyperlink ref="F16" location="$F$16" display="$F$16" xr:uid="{618896E3-DA4B-4C69-82B6-8BA3D5DBACD8}"/>
    <hyperlink ref="G16" location="$G$16" display="$G$16" xr:uid="{B0939418-62A7-4380-9F4C-38566F88F7F6}"/>
    <hyperlink ref="F17" location="$F$17" display="$F$17" xr:uid="{85C2289B-ACDF-4EFB-9207-5C9446BCBF68}"/>
    <hyperlink ref="G17" location="$G$17" display="$G$17" xr:uid="{E46C1BD9-865E-4D6C-89DB-308C434A34FF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5"/>
  <sheetViews>
    <sheetView workbookViewId="0">
      <selection activeCell="B20" sqref="B20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163</v>
      </c>
    </row>
    <row r="2" spans="1:4" x14ac:dyDescent="0.25">
      <c r="A2" s="11"/>
    </row>
    <row r="3" spans="1:4" x14ac:dyDescent="0.25">
      <c r="A3" t="s">
        <v>164</v>
      </c>
      <c r="B3" s="37">
        <v>43817.077002314814</v>
      </c>
      <c r="C3" s="35"/>
      <c r="D3" s="35"/>
    </row>
    <row r="4" spans="1:4" x14ac:dyDescent="0.25">
      <c r="A4" t="s">
        <v>165</v>
      </c>
      <c r="B4" s="37">
        <v>43862</v>
      </c>
      <c r="C4" s="35"/>
      <c r="D4" s="35"/>
    </row>
    <row r="5" spans="1:4" x14ac:dyDescent="0.25">
      <c r="A5" t="s">
        <v>166</v>
      </c>
      <c r="B5" s="34" t="s">
        <v>186</v>
      </c>
      <c r="C5" s="35"/>
      <c r="D5" s="35"/>
    </row>
    <row r="6" spans="1:4" ht="27" customHeight="1" x14ac:dyDescent="0.25"/>
    <row r="8" spans="1:4" ht="15.75" thickBot="1" x14ac:dyDescent="0.3">
      <c r="A8" s="36" t="s">
        <v>168</v>
      </c>
      <c r="B8" s="36" t="s">
        <v>162</v>
      </c>
      <c r="C8" s="41" t="s">
        <v>161</v>
      </c>
      <c r="D8" s="36" t="s">
        <v>167</v>
      </c>
    </row>
    <row r="9" spans="1:4" x14ac:dyDescent="0.25">
      <c r="A9" s="38" t="s">
        <v>96</v>
      </c>
      <c r="B9" s="39">
        <v>43817.077002314814</v>
      </c>
      <c r="C9" s="39">
        <v>43822</v>
      </c>
      <c r="D9" s="40">
        <v>2.499999999767168</v>
      </c>
    </row>
    <row r="10" spans="1:4" x14ac:dyDescent="0.25">
      <c r="A10" s="38" t="s">
        <v>100</v>
      </c>
      <c r="B10" s="39">
        <v>43822</v>
      </c>
      <c r="C10" s="39">
        <v>43829</v>
      </c>
      <c r="D10" s="40">
        <v>0</v>
      </c>
    </row>
    <row r="11" spans="1:4" x14ac:dyDescent="0.25">
      <c r="A11" s="38" t="s">
        <v>101</v>
      </c>
      <c r="B11" s="39">
        <v>43829</v>
      </c>
      <c r="C11" s="39">
        <v>43836</v>
      </c>
      <c r="D11" s="40">
        <v>0</v>
      </c>
    </row>
    <row r="12" spans="1:4" x14ac:dyDescent="0.25">
      <c r="A12" s="38" t="s">
        <v>105</v>
      </c>
      <c r="B12" s="39">
        <v>43836</v>
      </c>
      <c r="C12" s="39">
        <v>43843</v>
      </c>
      <c r="D12" s="40">
        <v>0</v>
      </c>
    </row>
    <row r="13" spans="1:4" x14ac:dyDescent="0.25">
      <c r="A13" s="38" t="s">
        <v>106</v>
      </c>
      <c r="B13" s="39">
        <v>43843</v>
      </c>
      <c r="C13" s="39">
        <v>43850</v>
      </c>
      <c r="D13" s="40">
        <v>0</v>
      </c>
    </row>
    <row r="14" spans="1:4" x14ac:dyDescent="0.25">
      <c r="A14" s="38" t="s">
        <v>155</v>
      </c>
      <c r="B14" s="39">
        <v>43850</v>
      </c>
      <c r="C14" s="39">
        <v>43857</v>
      </c>
      <c r="D14" s="40">
        <v>0</v>
      </c>
    </row>
    <row r="15" spans="1:4" x14ac:dyDescent="0.25">
      <c r="A15" s="38" t="s">
        <v>156</v>
      </c>
      <c r="B15" s="39">
        <v>43857</v>
      </c>
      <c r="C15" s="39">
        <v>43862</v>
      </c>
      <c r="D15" s="40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151A0-0C19-4175-A730-A7B703D68C60}">
  <sheetPr codeName="EbsSheetTemplate1"/>
  <dimension ref="A15:T49"/>
  <sheetViews>
    <sheetView topLeftCell="C1"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43" t="s">
        <v>76</v>
      </c>
      <c r="G15" s="44"/>
      <c r="H15" s="44"/>
    </row>
    <row r="16" spans="5:8" x14ac:dyDescent="0.25">
      <c r="E16" s="15" t="s">
        <v>74</v>
      </c>
      <c r="F16" s="43" t="s">
        <v>37</v>
      </c>
      <c r="G16" s="44"/>
      <c r="H16" s="4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96</v>
      </c>
      <c r="B19" s="18">
        <v>43844.997523148151</v>
      </c>
      <c r="C19" t="s">
        <v>130</v>
      </c>
      <c r="D19" t="s">
        <v>27</v>
      </c>
      <c r="E19" t="s">
        <v>98</v>
      </c>
      <c r="F19" t="s">
        <v>157</v>
      </c>
      <c r="G19" t="s">
        <v>158</v>
      </c>
      <c r="H19" t="s">
        <v>159</v>
      </c>
      <c r="J19" t="s">
        <v>96</v>
      </c>
      <c r="K19" t="s">
        <v>111</v>
      </c>
      <c r="L19">
        <v>2</v>
      </c>
      <c r="M19" s="2">
        <v>1.7499999999417899</v>
      </c>
      <c r="N19" s="2">
        <v>1</v>
      </c>
      <c r="O19" t="s">
        <v>179</v>
      </c>
      <c r="P19" t="s">
        <v>174</v>
      </c>
      <c r="Q19" t="s">
        <v>174</v>
      </c>
      <c r="R19" t="s">
        <v>98</v>
      </c>
      <c r="S19" t="s">
        <v>175</v>
      </c>
      <c r="T19" t="s">
        <v>176</v>
      </c>
    </row>
    <row r="20" spans="1:20" x14ac:dyDescent="0.25">
      <c r="A20" t="s">
        <v>100</v>
      </c>
      <c r="B20" s="18">
        <v>43870.837048611109</v>
      </c>
      <c r="C20" t="s">
        <v>178</v>
      </c>
      <c r="D20" t="s">
        <v>27</v>
      </c>
      <c r="E20" t="s">
        <v>98</v>
      </c>
      <c r="F20" t="s">
        <v>181</v>
      </c>
      <c r="G20" t="s">
        <v>182</v>
      </c>
      <c r="H20" t="s">
        <v>177</v>
      </c>
      <c r="J20" t="s">
        <v>100</v>
      </c>
      <c r="K20" t="s">
        <v>113</v>
      </c>
      <c r="L20">
        <v>1</v>
      </c>
      <c r="M20" s="2">
        <v>0</v>
      </c>
      <c r="N20" s="2">
        <v>2</v>
      </c>
      <c r="O20" t="s">
        <v>180</v>
      </c>
      <c r="P20" t="s">
        <v>180</v>
      </c>
      <c r="Q20" t="s">
        <v>180</v>
      </c>
      <c r="R20" t="s">
        <v>98</v>
      </c>
      <c r="S20" t="s">
        <v>181</v>
      </c>
      <c r="T20" t="s">
        <v>182</v>
      </c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  <c r="M24" s="2"/>
      <c r="N24" s="2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4" spans="2:2" x14ac:dyDescent="0.25">
      <c r="B44" s="18"/>
    </row>
    <row r="47" spans="2:2" x14ac:dyDescent="0.25">
      <c r="B47" s="18"/>
    </row>
    <row r="48" spans="2:2" x14ac:dyDescent="0.25">
      <c r="B48" s="18"/>
    </row>
    <row r="49" spans="2:2" x14ac:dyDescent="0.25">
      <c r="B49" s="18"/>
    </row>
  </sheetData>
  <mergeCells count="2">
    <mergeCell ref="F15:H15"/>
    <mergeCell ref="F16:H16"/>
  </mergeCells>
  <conditionalFormatting sqref="D1:D1048576">
    <cfRule type="containsText" dxfId="21" priority="1" operator="containsText" text="No">
      <formula>NOT(ISERROR(SEARCH("No",D1)))</formula>
    </cfRule>
    <cfRule type="containsText" dxfId="20" priority="2" operator="containsText" text="Yes">
      <formula>NOT(ISERROR(SEARCH("Yes",D1)))</formula>
    </cfRule>
  </conditionalFormatting>
  <dataValidations count="3">
    <dataValidation type="list" allowBlank="1" showInputMessage="1" showErrorMessage="1" sqref="D19:D20" xr:uid="{B35F6300-AE24-4E12-811D-B47DB6C152E7}">
      <formula1>"Yes,No"</formula1>
    </dataValidation>
    <dataValidation type="list" allowBlank="1" showInputMessage="1" showErrorMessage="1" sqref="F16" xr:uid="{0DA49313-C29A-4242-AC1F-0DB55851F7A6}">
      <formula1>"Time,Date"</formula1>
    </dataValidation>
    <dataValidation type="list" allowBlank="1" showInputMessage="1" showErrorMessage="1" sqref="F15:H15" xr:uid="{6028E4CA-4985-401E-8812-8C89D427572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7" sqref="B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33" t="s">
        <v>154</v>
      </c>
    </row>
    <row r="3" spans="1:10" x14ac:dyDescent="0.25">
      <c r="A3" t="s">
        <v>15</v>
      </c>
      <c r="B3" s="2" t="s">
        <v>61</v>
      </c>
      <c r="C3" s="2" t="s">
        <v>90</v>
      </c>
      <c r="D3" s="2" t="s">
        <v>91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107</v>
      </c>
      <c r="C4" t="s">
        <v>108</v>
      </c>
      <c r="D4" t="s">
        <v>92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3"/>
      <c r="E5" s="14"/>
      <c r="F5" s="14"/>
      <c r="G5" s="14"/>
      <c r="I5" s="2"/>
      <c r="J5" s="2"/>
    </row>
    <row r="6" spans="1:10" x14ac:dyDescent="0.25">
      <c r="A6" t="s">
        <v>185</v>
      </c>
      <c r="B6" s="22" t="s">
        <v>170</v>
      </c>
      <c r="E6" s="14"/>
      <c r="F6" s="14"/>
      <c r="G6" s="14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2"/>
      <c r="C8" s="5"/>
      <c r="D8" s="5"/>
      <c r="E8" s="5"/>
    </row>
    <row r="9" spans="1:10" x14ac:dyDescent="0.25">
      <c r="A9" t="s">
        <v>81</v>
      </c>
      <c r="B9" s="24"/>
      <c r="C9" s="5"/>
      <c r="D9" s="5"/>
    </row>
    <row r="10" spans="1:10" x14ac:dyDescent="0.25">
      <c r="A10" t="s">
        <v>82</v>
      </c>
      <c r="B10" s="23"/>
      <c r="C10" s="5"/>
      <c r="D10" s="5"/>
      <c r="E10" s="5"/>
    </row>
    <row r="12" spans="1:10" x14ac:dyDescent="0.25">
      <c r="B12" t="s">
        <v>94</v>
      </c>
      <c r="C12" t="s">
        <v>108</v>
      </c>
    </row>
    <row r="13" spans="1:10" x14ac:dyDescent="0.25">
      <c r="B13" t="s">
        <v>93</v>
      </c>
      <c r="C13" t="s">
        <v>109</v>
      </c>
      <c r="D13" s="2"/>
      <c r="E13" s="2"/>
    </row>
    <row r="14" spans="1:10" x14ac:dyDescent="0.25">
      <c r="B14" s="2" t="s">
        <v>95</v>
      </c>
      <c r="C14" s="13" t="s">
        <v>110</v>
      </c>
    </row>
    <row r="17" spans="1:2" x14ac:dyDescent="0.25">
      <c r="A17" t="s">
        <v>85</v>
      </c>
    </row>
    <row r="25" spans="1:2" x14ac:dyDescent="0.25">
      <c r="A25" t="s">
        <v>102</v>
      </c>
      <c r="B25" s="22" t="s">
        <v>126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4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99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99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>
        <f>$B$4</f>
        <v>0</v>
      </c>
      <c r="M15" s="17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47"/>
  <sheetViews>
    <sheetView topLeftCell="A19" workbookViewId="0">
      <selection activeCell="C24" sqref="C24"/>
    </sheetView>
  </sheetViews>
  <sheetFormatPr baseColWidth="10" defaultColWidth="11.42578125" defaultRowHeight="15" x14ac:dyDescent="0.25"/>
  <sheetData>
    <row r="1" spans="1:3" x14ac:dyDescent="0.25">
      <c r="A1" s="11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1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1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1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1" t="s">
        <v>57</v>
      </c>
    </row>
    <row r="21" spans="1:3" x14ac:dyDescent="0.25">
      <c r="B21" t="s">
        <v>58</v>
      </c>
    </row>
    <row r="23" spans="1:3" x14ac:dyDescent="0.25">
      <c r="A23" s="11" t="s">
        <v>131</v>
      </c>
      <c r="B23" s="11" t="s">
        <v>88</v>
      </c>
    </row>
    <row r="24" spans="1:3" x14ac:dyDescent="0.25">
      <c r="A24" t="s">
        <v>132</v>
      </c>
      <c r="C24">
        <v>709</v>
      </c>
    </row>
    <row r="25" spans="1:3" x14ac:dyDescent="0.25">
      <c r="A25" t="s">
        <v>133</v>
      </c>
      <c r="C25">
        <v>1714</v>
      </c>
    </row>
    <row r="26" spans="1:3" x14ac:dyDescent="0.25">
      <c r="A26" t="s">
        <v>134</v>
      </c>
      <c r="C26">
        <v>403</v>
      </c>
    </row>
    <row r="27" spans="1:3" x14ac:dyDescent="0.25">
      <c r="A27" t="s">
        <v>135</v>
      </c>
      <c r="C27">
        <v>1115</v>
      </c>
    </row>
    <row r="28" spans="1:3" x14ac:dyDescent="0.25">
      <c r="A28" t="s">
        <v>136</v>
      </c>
      <c r="C28">
        <v>255</v>
      </c>
    </row>
    <row r="29" spans="1:3" x14ac:dyDescent="0.25">
      <c r="A29" t="s">
        <v>137</v>
      </c>
      <c r="C29">
        <v>12</v>
      </c>
    </row>
    <row r="30" spans="1:3" x14ac:dyDescent="0.25">
      <c r="A30" t="s">
        <v>138</v>
      </c>
      <c r="C30">
        <v>643</v>
      </c>
    </row>
    <row r="31" spans="1:3" x14ac:dyDescent="0.25">
      <c r="A31" t="s">
        <v>139</v>
      </c>
      <c r="C31">
        <v>686</v>
      </c>
    </row>
    <row r="32" spans="1:3" x14ac:dyDescent="0.25">
      <c r="A32" t="s">
        <v>140</v>
      </c>
      <c r="C32">
        <v>788</v>
      </c>
    </row>
    <row r="33" spans="1:3" x14ac:dyDescent="0.25">
      <c r="A33" t="s">
        <v>141</v>
      </c>
      <c r="C33">
        <v>72</v>
      </c>
    </row>
    <row r="34" spans="1:3" x14ac:dyDescent="0.25">
      <c r="A34" t="s">
        <v>142</v>
      </c>
      <c r="C34">
        <v>1290</v>
      </c>
    </row>
    <row r="35" spans="1:3" x14ac:dyDescent="0.25">
      <c r="A35" t="s">
        <v>143</v>
      </c>
      <c r="C35">
        <v>53</v>
      </c>
    </row>
    <row r="36" spans="1:3" x14ac:dyDescent="0.25">
      <c r="A36" t="s">
        <v>144</v>
      </c>
      <c r="C36">
        <v>210</v>
      </c>
    </row>
    <row r="37" spans="1:3" x14ac:dyDescent="0.25">
      <c r="A37" t="s">
        <v>145</v>
      </c>
      <c r="C37">
        <v>28</v>
      </c>
    </row>
    <row r="38" spans="1:3" x14ac:dyDescent="0.25">
      <c r="A38" t="s">
        <v>146</v>
      </c>
      <c r="C38">
        <v>1168</v>
      </c>
    </row>
    <row r="39" spans="1:3" x14ac:dyDescent="0.25">
      <c r="A39" t="s">
        <v>147</v>
      </c>
      <c r="C39">
        <v>17</v>
      </c>
    </row>
    <row r="40" spans="1:3" x14ac:dyDescent="0.25">
      <c r="A40" t="s">
        <v>148</v>
      </c>
      <c r="C40">
        <v>84</v>
      </c>
    </row>
    <row r="41" spans="1:3" x14ac:dyDescent="0.25">
      <c r="A41" t="s">
        <v>149</v>
      </c>
      <c r="C41">
        <v>528</v>
      </c>
    </row>
    <row r="42" spans="1:3" x14ac:dyDescent="0.25">
      <c r="C42">
        <f>SUM(C24:C41)</f>
        <v>9775</v>
      </c>
    </row>
    <row r="44" spans="1:3" x14ac:dyDescent="0.25">
      <c r="B44" t="s">
        <v>153</v>
      </c>
    </row>
    <row r="45" spans="1:3" x14ac:dyDescent="0.25">
      <c r="B45" t="s">
        <v>150</v>
      </c>
    </row>
    <row r="46" spans="1:3" x14ac:dyDescent="0.25">
      <c r="B46" t="s">
        <v>151</v>
      </c>
    </row>
    <row r="47" spans="1:3" x14ac:dyDescent="0.25">
      <c r="B47" t="s">
        <v>152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43" t="s">
        <v>76</v>
      </c>
      <c r="G15" s="44"/>
      <c r="H15" s="44"/>
    </row>
    <row r="16" spans="5:8" x14ac:dyDescent="0.25">
      <c r="E16" s="15" t="s">
        <v>74</v>
      </c>
      <c r="F16" s="43" t="s">
        <v>37</v>
      </c>
      <c r="G16" s="44"/>
      <c r="H16" s="4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9" priority="1" operator="containsText" text="No">
      <formula>NOT(ISERROR(SEARCH("No",D1)))</formula>
    </cfRule>
    <cfRule type="containsText" dxfId="18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Planning</vt:lpstr>
      <vt:lpstr>t347B5B6A9B6D2C3D4</vt:lpstr>
      <vt:lpstr>t5C33AE2C601539DCA</vt:lpstr>
      <vt:lpstr>t35EBA085FF3A95514</vt:lpstr>
      <vt:lpstr>tD63F7F4494CABA67B</vt:lpstr>
      <vt:lpstr>Analysis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2020-02-09T22:31:55Z</dcterms:modified>
  <cp:category/>
  <cp:contentStatus/>
</cp:coreProperties>
</file>