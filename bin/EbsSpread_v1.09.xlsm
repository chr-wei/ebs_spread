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esktop\"/>
    </mc:Choice>
  </mc:AlternateContent>
  <xr:revisionPtr revIDLastSave="0" documentId="13_ncr:1_{97D9F9FD-590D-4228-8EA5-6842D6500B33}" xr6:coauthVersionLast="44" xr6:coauthVersionMax="44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Settings" sheetId="418" r:id="rId2"/>
    <sheet name="Task sheet template" sheetId="5" state="hidden" r:id="rId3"/>
    <sheet name="Version info" sheetId="3" r:id="rId4"/>
    <sheet name="EbsSheet template" sheetId="440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4" i="3" l="1"/>
  <c r="I4" i="418" l="1"/>
  <c r="D14" i="5" l="1"/>
  <c r="B4" i="5" s="1"/>
  <c r="B11" i="5" l="1"/>
  <c r="L14" i="5"/>
  <c r="M14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<sst xmlns="http://schemas.openxmlformats.org/spreadsheetml/2006/main" count="134" uniqueCount="111">
  <si>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</si>
  <si>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</si>
  <si>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</si>
  <si>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</si>
  <si>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</si>
  <si>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</si>
  <si>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</si>
  <si>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</si>
  <si>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</si>
  <si>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</si>
  <si>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Indicator</t>
  </si>
  <si>
    <t>Time entry no.</t>
  </si>
  <si>
    <t>Task no.</t>
  </si>
  <si>
    <t>&lt;TASK_ESTIMATE&gt;</t>
  </si>
  <si>
    <t>&lt;TASK_NAME&gt;</t>
  </si>
  <si>
    <t>Backlog</t>
  </si>
  <si>
    <t>Priority</t>
  </si>
  <si>
    <t>Due date</t>
  </si>
  <si>
    <t>Contributor</t>
  </si>
  <si>
    <t>Finished on</t>
  </si>
  <si>
    <t>EBS entry no.</t>
  </si>
  <si>
    <t>n/a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</si>
  <si>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</si>
  <si>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</si>
  <si>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</si>
  <si>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</si>
  <si>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</si>
  <si>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</si>
  <si>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</si>
  <si>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</si>
  <si>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EBS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</si>
  <si>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</si>
  <si>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</si>
  <si>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</si>
  <si>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</si>
  <si>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</si>
  <si>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</si>
  <si>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</si>
  <si>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</si>
  <si>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</si>
  <si>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</si>
  <si>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</si>
  <si>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</si>
  <si>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</si>
  <si>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</si>
  <si>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</si>
  <si>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</si>
  <si>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</si>
  <si>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</si>
  <si>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</si>
  <si>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</si>
  <si>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</si>
  <si>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</si>
  <si>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</si>
  <si>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&lt;tHASH&gt;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</si>
  <si>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</si>
  <si>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</si>
  <si>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</si>
  <si>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</si>
  <si>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</si>
  <si>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</si>
  <si>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</si>
  <si>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</si>
  <si>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</si>
  <si>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</si>
  <si>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</si>
  <si>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</si>
  <si>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weihsbach.c@outlook.com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</si>
  <si>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</si>
  <si>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</si>
  <si>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</si>
  <si>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</si>
  <si>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</si>
  <si>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</si>
  <si>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</si>
  <si>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</si>
  <si>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</si>
  <si>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</si>
  <si>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</si>
  <si>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</si>
  <si>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</si>
  <si>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</si>
  <si>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</si>
  <si>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</si>
  <si>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EBS 50% date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</si>
  <si>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</si>
  <si>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</si>
  <si>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</si>
  <si>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</si>
  <si>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</si>
  <si>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</si>
  <si>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</si>
  <si>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</si>
  <si>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</si>
  <si>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</si>
  <si>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Utils</t>
  </si>
  <si>
    <t>TaskUtils</t>
  </si>
  <si>
    <t>SettingUtils</t>
  </si>
  <si>
    <t>SanityChecks</t>
  </si>
  <si>
    <t>Planning</t>
  </si>
  <si>
    <t>Constants</t>
  </si>
  <si>
    <t>Base</t>
  </si>
  <si>
    <t>Calendar</t>
  </si>
  <si>
    <t>Lines of code</t>
  </si>
  <si>
    <t>PlanningSheet</t>
  </si>
  <si>
    <t>v1.05</t>
  </si>
  <si>
    <t>hh</t>
  </si>
  <si>
    <t>Calendar ID</t>
  </si>
  <si>
    <t>Calendar path</t>
  </si>
  <si>
    <t>00000000F593AB5CD8A4614C8B1EC1E4C84EFB870100D67807C5E37E4B47A653892DF42F73BD00000000010D0000</t>
  </si>
  <si>
    <t>\\weihsbach.c@outlook.com\Kalender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</si>
</sst>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</borders>
  <cellStyleXfs count="4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</cellStyleXfs>
  <cellXfs count="34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1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6" fillId="4" borderId="0" xfId="1" applyFont="1" applyFill="1" applyAlignment="1">
      <alignment horizontal="center"/>
    </xf>
    <xf numFmtId="2" fontId="0" fillId="0" borderId="0" xfId="0" applyNumberFormat="1" applyFont="1" applyFill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22" fontId="7" fillId="0" borderId="0" xfId="0" applyNumberFormat="1" applyFont="1" applyFill="1"/>
    <xf numFmtId="2" fontId="7" fillId="0" borderId="0" xfId="1" applyNumberFormat="1" applyFont="1" applyFill="1"/>
    <xf numFmtId="22" fontId="7" fillId="0" borderId="0" xfId="1" applyNumberFormat="1" applyFont="1" applyFill="1"/>
    <xf numFmtId="0" fontId="7" fillId="0" borderId="0" xfId="1" applyFont="1" applyFill="1"/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4">
    <cellStyle name="Eingabe" xfId="3" builtinId="20"/>
    <cellStyle name="Link" xfId="2" builtinId="8"/>
    <cellStyle name="Spaltenebene_1" xfId="1" builtinId="2" iLevel="0"/>
    <cellStyle name="Standard" xfId="0" builtinId="0"/>
  </cellStyles>
  <dxfs count="38"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4" tint="0.39994506668294322"/>
      </font>
    </dxf>
  </dxfs>
  <tableStyles count="0" defaultTableStyle="TableStyleMedium2" defaultPivotStyle="PivotStyleLight16"/>
  <colors>
    <mruColors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247649</xdr:colOff>
      <xdr:row>2</xdr:row>
      <xdr:rowOff>0</xdr:rowOff>
    </xdr:from>
    <xdr:to>
      <xdr:col>1</xdr:col>
      <xdr:colOff>1438274</xdr:colOff>
      <xdr:row>4</xdr:row>
      <xdr:rowOff>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4</xdr:col>
      <xdr:colOff>0</xdr:colOff>
      <xdr:row>2</xdr:row>
      <xdr:rowOff>0</xdr:rowOff>
    </xdr:from>
    <xdr:to>
      <xdr:col>6</xdr:col>
      <xdr:colOff>381000</xdr:colOff>
      <xdr:row>4</xdr:row>
      <xdr:rowOff>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3</xdr:col>
      <xdr:colOff>0</xdr:colOff>
      <xdr:row>2</xdr:row>
      <xdr:rowOff>0</xdr:rowOff>
    </xdr:from>
    <xdr:to>
      <xdr:col>5</xdr:col>
      <xdr:colOff>95250</xdr:colOff>
      <xdr:row>4</xdr:row>
      <xdr:rowOff>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7</xdr:col>
      <xdr:colOff>0</xdr:colOff>
      <xdr:row>2</xdr:row>
      <xdr:rowOff>0</xdr:rowOff>
    </xdr:from>
    <xdr:to>
      <xdr:col>8</xdr:col>
      <xdr:colOff>628650</xdr:colOff>
      <xdr:row>4</xdr:row>
      <xdr:rowOff>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15</xdr:col>
      <xdr:colOff>0</xdr:colOff>
      <xdr:row>2</xdr:row>
      <xdr:rowOff>0</xdr:rowOff>
    </xdr:from>
    <xdr:to>
      <xdr:col>16</xdr:col>
      <xdr:colOff>962025</xdr:colOff>
      <xdr:row>4</xdr:row>
      <xdr:rowOff>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1</xdr:col>
          <xdr:colOff>819150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0</xdr:row>
          <xdr:rowOff>85725</xdr:rowOff>
        </xdr:from>
        <xdr:to>
          <xdr:col>2</xdr:col>
          <xdr:colOff>1876425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2686050</xdr:colOff>
          <xdr:row>0</xdr:row>
          <xdr:rowOff>352425</xdr:rowOff>
        </xdr:from>
        <xdr:to>
          <xdr:col>2</xdr:col>
          <xdr:colOff>390525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2686050</xdr:colOff>
          <xdr:row>0</xdr:row>
          <xdr:rowOff>85725</xdr:rowOff>
        </xdr:from>
        <xdr:to>
          <xdr:col>2</xdr:col>
          <xdr:colOff>390525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904875</xdr:colOff>
          <xdr:row>0</xdr:row>
          <xdr:rowOff>561975</xdr:rowOff>
        </xdr:from>
        <xdr:to>
          <xdr:col>1</xdr:col>
          <xdr:colOff>2343150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914400</xdr:colOff>
          <xdr:row>0</xdr:row>
          <xdr:rowOff>85725</xdr:rowOff>
        </xdr:from>
        <xdr:to>
          <xdr:col>1</xdr:col>
          <xdr:colOff>2352675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1914525</xdr:colOff>
          <xdr:row>0</xdr:row>
          <xdr:rowOff>76200</xdr:rowOff>
        </xdr:from>
        <xdr:to>
          <xdr:col>4</xdr:col>
          <xdr:colOff>466725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1914525</xdr:colOff>
          <xdr:row>0</xdr:row>
          <xdr:rowOff>333375</xdr:rowOff>
        </xdr:from>
        <xdr:to>
          <xdr:col>4</xdr:col>
          <xdr:colOff>466725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0</xdr:row>
          <xdr:rowOff>66675</xdr:rowOff>
        </xdr:from>
        <xdr:to>
          <xdr:col>7</xdr:col>
          <xdr:colOff>714375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523875</xdr:colOff>
          <xdr:row>0</xdr:row>
          <xdr:rowOff>333375</xdr:rowOff>
        </xdr:from>
        <xdr:to>
          <xdr:col>7</xdr:col>
          <xdr:colOff>714375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7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438150</xdr:colOff>
          <xdr:row>0</xdr:row>
          <xdr:rowOff>352425</xdr:rowOff>
        </xdr:from>
        <xdr:to>
          <xdr:col>2</xdr:col>
          <xdr:colOff>1876425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1914525</xdr:colOff>
          <xdr:row>0</xdr:row>
          <xdr:rowOff>590550</xdr:rowOff>
        </xdr:from>
        <xdr:to>
          <xdr:col>4</xdr:col>
          <xdr:colOff>466725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1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180975</xdr:rowOff>
        </xdr:from>
        <xdr:to>
          <xdr:col>1</xdr:col>
          <xdr:colOff>0</xdr:colOff>
          <xdr:row>10</xdr:row>
          <xdr:rowOff>9525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1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12</xdr:row>
      <xdr:rowOff>0</xdr:rowOff>
    </xdr:from>
    <xdr:to>
      <xdr:col>9</xdr:col>
      <xdr:colOff>1304925</xdr:colOff>
      <xdr:row>14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12</xdr:row>
      <xdr:rowOff>0</xdr:rowOff>
    </xdr:from>
    <xdr:to>
      <xdr:col>12</xdr:col>
      <xdr:colOff>514350</xdr:colOff>
      <xdr:row>14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Q4" insertRow="1" totalsRowShown="0" dataDxfId="33">
  <autoFilter ref="A3:Q4" xr:uid="{520F3973-795E-47E6-97CD-1C1265CA838A}"/>
  <sortState xmlns:xlrd2="http://schemas.microsoft.com/office/spreadsheetml/2017/richdata2" ref="A4:Q4">
    <sortCondition descending="1" ref="P3:P4"/>
  </sortState>
  <tableColumns count="17">
    <tableColumn id="1" xr3:uid="{78BB2EF9-C626-4B0D-94B3-1781BE57C67F}" name="Task no." dataDxfId="32"/>
    <tableColumn id="2" xr3:uid="{C139B307-7150-4838-B1FD-482AAB7B1208}" name="Task name" dataDxfId="31" dataCellStyle="Link"/>
    <tableColumn id="18" xr3:uid="{3B298737-E571-4F23-9C71-2BC3C2385355}" name="Comment" dataDxfId="30" dataCellStyle="Link"/>
    <tableColumn id="3" xr3:uid="{3AD21368-826B-4507-A159-BE8BE5B02C1F}" name="Indicator" dataDxfId="29"/>
    <tableColumn id="4" xr3:uid="{E2EAEAF6-33EC-4D8C-B42E-C249C36E3D3C}" name="%Tag 1" dataDxfId="28" dataCellStyle="Standard"/>
    <tableColumn id="5" xr3:uid="{1E4EAD98-8B30-4F09-AA64-D7613D00651F}" name="%Tag 2" dataDxfId="27" dataCellStyle="Standard"/>
    <tableColumn id="6" xr3:uid="{9E1E50BB-6DA2-47A1-BB20-8C9FAC4B0DB5}" name="%Tag 3" dataDxfId="26" dataCellStyle="Standard"/>
    <tableColumn id="10" xr3:uid="{85CEF83B-6217-49AE-8974-E4D5953E2637}" name="Kanban list" dataDxfId="25" dataCellStyle="Spaltenebene_1"/>
    <tableColumn id="11" xr3:uid="{E542542F-D34F-488A-95AF-76A724785E5A}" name="User time estimate" dataDxfId="24" dataCellStyle="Spaltenebene_1"/>
    <tableColumn id="8" xr3:uid="{727785B7-29B9-493D-A20B-C319B38E1DF3}" name="EBS 50% time" dataDxfId="23" dataCellStyle="Spaltenebene_1"/>
    <tableColumn id="9" xr3:uid="{B12BA9B8-3C81-408C-AFE4-25993FD8491D}" name="EBS 50% date" dataDxfId="22" dataCellStyle="Spaltenebene_1"/>
    <tableColumn id="12" xr3:uid="{7DA005F8-D924-4031-B65E-6C6F60E3212D}" name="Total time" dataDxfId="21"/>
    <tableColumn id="20" xr3:uid="{DAE27A09-2EB0-4A47-A9F0-48ED802D8570}" name="Due date" dataDxfId="20" dataCellStyle="Standard"/>
    <tableColumn id="19" xr3:uid="{7A8CB495-6AE9-4A1E-AC5B-8B6487C84135}" name="Contributor" dataDxfId="19"/>
    <tableColumn id="16" xr3:uid="{209AEE68-BDAE-4E8C-BCF6-6EEA4F9A7FDE}" name="Finished on" dataDxfId="18"/>
    <tableColumn id="17" xr3:uid="{EF767A93-0B38-4A66-A27B-92321C0E655C}" name="Priority" dataDxfId="17"/>
    <tableColumn id="15" xr3:uid="{2ADBC76B-EB88-4BCD-8956-7B4B22C5A3D4}" name="tHASH" dataDxfId="16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I4" totalsRowShown="0">
  <autoFilter ref="A3:I4" xr:uid="{58D8B01F-246E-40E3-A0C2-60C711C30752}"/>
  <tableColumns count="9">
    <tableColumn id="1" xr3:uid="{3C4BEA62-00D2-435D-9D52-002C142D97DE}" name="Contributor"/>
    <tableColumn id="2" xr3:uid="{96D9B16F-E700-4D4C-A823-C8710801A47C}" name="Mail" dataDxfId="15" dataCellStyle="Link"/>
    <tableColumn id="9" xr3:uid="{0037D127-E2BA-445A-BC63-1395BA3AC441}" name="Calendar ID" dataDxfId="14" dataCellStyle="Link"/>
    <tableColumn id="6" xr3:uid="{044D8005-25C5-4D31-940A-B6DE4C6B0EA5}" name="WorkingDays" dataDxfId="13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12"/>
    <tableColumn id="8" xr3:uid="{1177B0FB-46B2-406D-B988-C64E0ABA6972}" name="AppointmentOffsetHours" dataDxfId="11">
      <calculatedColumnFormula>5/60</calculatedColumnFormula>
    </tableColumn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3:G14" totalsRowShown="0">
  <autoFilter ref="A13:G14" xr:uid="{40D13D02-1E69-496D-8B92-B7ECCFB4FAB3}"/>
  <sortState xmlns:xlrd2="http://schemas.microsoft.com/office/spreadsheetml/2017/richdata2" ref="A14:E14">
    <sortCondition ref="A13:A14"/>
  </sortState>
  <tableColumns count="7">
    <tableColumn id="1" xr3:uid="{79398A77-C401-45B7-A5F3-FD95241DA46D}" name="Time entry no."/>
    <tableColumn id="2" xr3:uid="{B05CE561-2857-4C79-94B9-B743D40A6B9B}" name="Start time" dataDxfId="10"/>
    <tableColumn id="3" xr3:uid="{78DABF02-3853-48FF-81AD-5801C74BED1B}" name="End time" dataDxfId="9"/>
    <tableColumn id="4" xr3:uid="{76C994F9-216A-4848-9FB6-16BAF8B0EEEA}" name="Time delta in h" dataDxfId="8">
      <calculatedColumnFormula>MAX((C14-B14)*24,0)</calculatedColumnFormula>
    </tableColumn>
    <tableColumn id="5" xr3:uid="{7A34D70F-82B8-48DB-B5DE-37BA200663BE}" name="Indicator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3:M14" totalsRowShown="0">
  <autoFilter ref="I13:M14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7"/>
    <tableColumn id="3" xr3:uid="{A62B365F-400F-45A4-B789-FE7B5FDBD312}" name="EBS self time" dataDxfId="6"/>
    <tableColumn id="4" xr3:uid="{37AD97D9-9420-42BC-9EA3-73C14A0A1F72}" name="Total time">
      <calculatedColumnFormula>$B$4</calculatedColumnFormula>
    </tableColumn>
    <tableColumn id="5" xr3:uid="{919307D5-98B8-47B0-ABAC-374A91F6BBB0}" name="Total time / Your estimate" dataDxfId="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1"/>
    <tableColumn id="4" xr3:uid="{F9EDA55E-5206-49A7-A846-6A0B14C04CAF}" name="User time estimate" dataDxfId="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weihsbach.c@outlook.com" TargetMode="Externa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S39"/>
  <sheetViews>
    <sheetView tabSelected="1" topLeftCell="C1" zoomScaleNormal="100" workbookViewId="0">
      <selection activeCell="D4" sqref="D4"/>
    </sheetView>
  </sheetViews>
  <sheetFormatPr baseColWidth="10" defaultColWidth="11.42578125" defaultRowHeight="15" outlineLevelCol="1" x14ac:dyDescent="0.25"/>
  <cols>
    <col min="1" max="1" width="10.42578125" style="6" bestFit="1" customWidth="1"/>
    <col min="2" max="2" width="56" style="9" bestFit="1" customWidth="1"/>
    <col min="3" max="3" width="29.7109375" style="9" customWidth="1"/>
    <col min="4" max="4" width="13.5703125" style="6" bestFit="1" customWidth="1"/>
    <col min="5" max="6" width="9.28515625" style="7" customWidth="1" outlineLevel="1"/>
    <col min="7" max="7" width="9.7109375" style="7" customWidth="1" outlineLevel="1"/>
    <col min="8" max="8" width="14.85546875" style="10" customWidth="1"/>
    <col min="9" max="9" width="20.42578125" style="10" bestFit="1" customWidth="1"/>
    <col min="10" max="11" width="15.7109375" style="10" bestFit="1" customWidth="1"/>
    <col min="12" max="12" width="12.28515625" style="10" bestFit="1" customWidth="1"/>
    <col min="13" max="13" width="14.85546875" style="6" customWidth="1"/>
    <col min="14" max="14" width="25.140625" style="6" bestFit="1" customWidth="1" outlineLevel="1"/>
    <col min="15" max="15" width="15.7109375" customWidth="1" outlineLevel="1"/>
    <col min="16" max="16" width="9.85546875" customWidth="1" outlineLevel="1"/>
    <col min="17" max="17" width="15.85546875" customWidth="1" outlineLevel="1"/>
    <col min="18" max="18" width="3.7109375" style="3" customWidth="1"/>
  </cols>
  <sheetData>
    <row r="1" spans="1:18" ht="65.25" customHeight="1" x14ac:dyDescent="0.25">
      <c r="A1" s="3"/>
      <c r="B1" s="8"/>
      <c r="C1" s="8"/>
      <c r="D1" s="3"/>
      <c r="E1" s="21"/>
      <c r="F1" s="21"/>
      <c r="G1" s="21"/>
      <c r="N1" s="3"/>
      <c r="O1" s="3"/>
      <c r="P1" s="3"/>
      <c r="R1"/>
    </row>
    <row r="2" spans="1:18" x14ac:dyDescent="0.25">
      <c r="A2" s="3"/>
      <c r="B2" s="8"/>
      <c r="C2" s="8"/>
      <c r="D2" s="3"/>
      <c r="E2" s="21"/>
      <c r="F2" s="21"/>
      <c r="G2" s="21"/>
      <c r="H2" s="8" t="s">
        <v>21</v>
      </c>
      <c r="I2" s="8"/>
      <c r="J2" s="19" t="s">
        <v>85</v>
      </c>
      <c r="K2" s="19" t="s">
        <v>85</v>
      </c>
      <c r="N2" s="3"/>
      <c r="O2" s="3"/>
      <c r="P2" s="3"/>
      <c r="R2"/>
    </row>
    <row r="3" spans="1:18" x14ac:dyDescent="0.25">
      <c r="A3" s="6" t="s">
        <v>12</v>
      </c>
      <c r="B3" s="9" t="s">
        <v>3</v>
      </c>
      <c r="C3" s="9" t="s">
        <v>2</v>
      </c>
      <c r="D3" s="6" t="s">
        <v>10</v>
      </c>
      <c r="E3" s="7" t="s">
        <v>26</v>
      </c>
      <c r="F3" s="7" t="s">
        <v>27</v>
      </c>
      <c r="G3" s="7" t="s">
        <v>28</v>
      </c>
      <c r="H3" s="10" t="s">
        <v>1</v>
      </c>
      <c r="I3" s="10" t="s">
        <v>86</v>
      </c>
      <c r="J3" s="7" t="s">
        <v>90</v>
      </c>
      <c r="K3" s="7" t="s">
        <v>84</v>
      </c>
      <c r="L3" s="20" t="s">
        <v>79</v>
      </c>
      <c r="M3" s="6" t="s">
        <v>17</v>
      </c>
      <c r="N3" s="6" t="s">
        <v>18</v>
      </c>
      <c r="O3" t="s">
        <v>19</v>
      </c>
      <c r="P3" t="s">
        <v>16</v>
      </c>
      <c r="Q3" t="s">
        <v>52</v>
      </c>
      <c r="R3"/>
    </row>
    <row r="4" spans="1:18" x14ac:dyDescent="0.25">
      <c r="A4" s="26"/>
      <c r="B4" s="25"/>
      <c r="C4" s="25"/>
      <c r="D4" s="26"/>
      <c r="E4" s="26"/>
      <c r="F4" s="26"/>
      <c r="G4" s="26"/>
      <c r="H4" s="31"/>
      <c r="I4" s="29"/>
      <c r="J4" s="29"/>
      <c r="K4" s="30"/>
      <c r="L4" s="27"/>
      <c r="M4" s="26"/>
      <c r="N4" s="26"/>
      <c r="O4" s="28"/>
      <c r="P4" s="26"/>
      <c r="Q4" s="26"/>
    </row>
    <row r="5" spans="1:18" x14ac:dyDescent="0.25">
      <c r="A5" s="26"/>
      <c r="B5" s="25"/>
      <c r="C5" s="25"/>
      <c r="D5" s="26"/>
      <c r="E5" s="26"/>
      <c r="F5" s="26"/>
      <c r="G5" s="26"/>
      <c r="H5" s="31"/>
      <c r="I5" s="29"/>
      <c r="J5" s="29"/>
      <c r="K5" s="30"/>
      <c r="L5" s="27"/>
      <c r="M5" s="26"/>
      <c r="N5" s="26"/>
      <c r="O5" s="28"/>
      <c r="P5" s="26"/>
      <c r="Q5" s="26"/>
    </row>
    <row r="6" spans="1:18" x14ac:dyDescent="0.25">
      <c r="A6" s="26"/>
      <c r="B6" s="25"/>
      <c r="C6" s="25"/>
      <c r="D6" s="26"/>
      <c r="E6" s="26"/>
      <c r="F6" s="26"/>
      <c r="G6" s="26"/>
      <c r="H6" s="31"/>
      <c r="I6" s="29"/>
      <c r="J6" s="29"/>
      <c r="K6" s="30"/>
      <c r="L6" s="27"/>
      <c r="M6" s="26"/>
      <c r="N6" s="26"/>
      <c r="O6" s="28"/>
      <c r="P6" s="26"/>
      <c r="Q6" s="26"/>
    </row>
    <row r="11" spans="1:18" x14ac:dyDescent="0.25">
      <c r="B11" s="12"/>
    </row>
    <row r="39" spans="19:19" x14ac:dyDescent="0.25">
      <c r="S39" t="s">
        <v>106</v>
      </c>
    </row>
  </sheetData>
  <dataConsolidate link="1"/>
  <conditionalFormatting sqref="D1:D1048576">
    <cfRule type="containsText" dxfId="37" priority="5" operator="containsText" text="&lt;current">
      <formula>NOT(ISERROR(SEARCH("&lt;current",D1)))</formula>
    </cfRule>
  </conditionalFormatting>
  <conditionalFormatting sqref="H1:N1 H3:N3 J2:N2 H7:N1048576 H4:J6 L4:N4">
    <cfRule type="containsText" dxfId="36" priority="6" operator="containsText" text="Done">
      <formula>NOT(ISERROR(SEARCH("Done",H1)))</formula>
    </cfRule>
    <cfRule type="containsText" dxfId="35" priority="7" operator="containsText" text="In progress">
      <formula>NOT(ISERROR(SEARCH("In progress",H1)))</formula>
    </cfRule>
    <cfRule type="containsText" dxfId="34" priority="8" operator="containsText" text="To do">
      <formula>NOT(ISERROR(SEARCH("To do",H1)))</formula>
    </cfRule>
  </conditionalFormatting>
  <conditionalFormatting sqref="P1:P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J2" xr:uid="{97887939-3BEB-4208-B392-81AF3EE745BF}">
      <formula1>"cumulative, single"</formula1>
    </dataValidation>
    <dataValidation type="list" allowBlank="1" showInputMessage="1" showErrorMessage="1" sqref="K2" xr:uid="{AE25932B-CEE6-4C5E-83FE-7FE3F6CE570D}">
      <formula1>"cumulative,single"</formula1>
    </dataValidation>
    <dataValidation type="list" allowBlank="1" showInputMessage="1" showErrorMessage="1" sqref="H4" xr:uid="{6C3476F0-112C-4267-BE3C-B2374FE0AF43}">
      <formula1>"To do,In progress,Done"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E4" xr:uid="{D3110481-997E-4A62-8AC6-B9F3E4E684B6}">
      <formula1>"EBS,UI,Cal aq,Fix,Peers"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N4" xr:uid="{78E22C9C-7E2E-421D-BCD7-62A29BF5DF0B}">
      <formula1>"Me,Vanessa"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7E6F274E-E251-414C-BC67-23E23BA34DEE}">
      <formula1>"bug"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F4" xr:uid="{2C4BF089-DACC-479A-A9B5-21FB4360C46F}">
      <formula1>"major,minor,min_,Hi"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1</xdr:col>
                    <xdr:colOff>819150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2</xdr:col>
                    <xdr:colOff>438150</xdr:colOff>
                    <xdr:row>0</xdr:row>
                    <xdr:rowOff>85725</xdr:rowOff>
                  </from>
                  <to>
                    <xdr:col>2</xdr:col>
                    <xdr:colOff>1876425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1</xdr:col>
                    <xdr:colOff>2686050</xdr:colOff>
                    <xdr:row>0</xdr:row>
                    <xdr:rowOff>352425</xdr:rowOff>
                  </from>
                  <to>
                    <xdr:col>2</xdr:col>
                    <xdr:colOff>390525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1</xdr:col>
                    <xdr:colOff>2686050</xdr:colOff>
                    <xdr:row>0</xdr:row>
                    <xdr:rowOff>85725</xdr:rowOff>
                  </from>
                  <to>
                    <xdr:col>2</xdr:col>
                    <xdr:colOff>390525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1</xdr:col>
                    <xdr:colOff>904875</xdr:colOff>
                    <xdr:row>0</xdr:row>
                    <xdr:rowOff>561975</xdr:rowOff>
                  </from>
                  <to>
                    <xdr:col>1</xdr:col>
                    <xdr:colOff>2343150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1</xdr:col>
                    <xdr:colOff>914400</xdr:colOff>
                    <xdr:row>0</xdr:row>
                    <xdr:rowOff>85725</xdr:rowOff>
                  </from>
                  <to>
                    <xdr:col>1</xdr:col>
                    <xdr:colOff>2352675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2</xdr:col>
                    <xdr:colOff>1914525</xdr:colOff>
                    <xdr:row>0</xdr:row>
                    <xdr:rowOff>76200</xdr:rowOff>
                  </from>
                  <to>
                    <xdr:col>4</xdr:col>
                    <xdr:colOff>466725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2</xdr:col>
                    <xdr:colOff>1914525</xdr:colOff>
                    <xdr:row>0</xdr:row>
                    <xdr:rowOff>333375</xdr:rowOff>
                  </from>
                  <to>
                    <xdr:col>4</xdr:col>
                    <xdr:colOff>466725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4</xdr:col>
                    <xdr:colOff>523875</xdr:colOff>
                    <xdr:row>0</xdr:row>
                    <xdr:rowOff>66675</xdr:rowOff>
                  </from>
                  <to>
                    <xdr:col>7</xdr:col>
                    <xdr:colOff>714375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4</xdr:col>
                    <xdr:colOff>523875</xdr:colOff>
                    <xdr:row>0</xdr:row>
                    <xdr:rowOff>333375</xdr:rowOff>
                  </from>
                  <to>
                    <xdr:col>7</xdr:col>
                    <xdr:colOff>714375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2</xdr:col>
                    <xdr:colOff>438150</xdr:colOff>
                    <xdr:row>0</xdr:row>
                    <xdr:rowOff>352425</xdr:rowOff>
                  </from>
                  <to>
                    <xdr:col>2</xdr:col>
                    <xdr:colOff>1876425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2</xdr:col>
                    <xdr:colOff>1914525</xdr:colOff>
                    <xdr:row>0</xdr:row>
                    <xdr:rowOff>590550</xdr:rowOff>
                  </from>
                  <to>
                    <xdr:col>4</xdr:col>
                    <xdr:colOff>466725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I15"/>
  <sheetViews>
    <sheetView workbookViewId="0">
      <selection activeCell="A24" sqref="A24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3" width="25.140625" customWidth="1"/>
    <col min="4" max="4" width="32" bestFit="1" customWidth="1"/>
    <col min="5" max="5" width="19.85546875" customWidth="1"/>
    <col min="6" max="6" width="19" customWidth="1"/>
    <col min="7" max="7" width="19.42578125" customWidth="1"/>
    <col min="8" max="8" width="26.7109375" bestFit="1" customWidth="1"/>
    <col min="9" max="9" width="26.140625" bestFit="1" customWidth="1"/>
  </cols>
  <sheetData>
    <row r="1" spans="1:9" x14ac:dyDescent="0.25">
      <c r="A1" s="4" t="s">
        <v>29</v>
      </c>
    </row>
    <row r="3" spans="1:9" x14ac:dyDescent="0.25">
      <c r="A3" t="s">
        <v>18</v>
      </c>
      <c r="B3" s="2" t="s">
        <v>68</v>
      </c>
      <c r="C3" s="2" t="s">
        <v>107</v>
      </c>
      <c r="D3" s="2" t="s">
        <v>73</v>
      </c>
      <c r="E3" t="s">
        <v>70</v>
      </c>
      <c r="F3" t="s">
        <v>71</v>
      </c>
      <c r="G3" t="s">
        <v>69</v>
      </c>
      <c r="H3" t="s">
        <v>75</v>
      </c>
      <c r="I3" t="s">
        <v>74</v>
      </c>
    </row>
    <row r="4" spans="1:9" x14ac:dyDescent="0.25">
      <c r="A4" t="s">
        <v>23</v>
      </c>
      <c r="B4" s="13" t="s">
        <v>67</v>
      </c>
      <c r="C4" t="s">
        <v>109</v>
      </c>
      <c r="D4" s="14" t="s">
        <v>91</v>
      </c>
      <c r="E4" s="14">
        <v>0.33333333333333331</v>
      </c>
      <c r="F4" s="14">
        <v>0.77083333333333337</v>
      </c>
      <c r="G4" t="s">
        <v>72</v>
      </c>
      <c r="H4" s="2">
        <v>0.25</v>
      </c>
      <c r="I4" s="2">
        <f>5/60</f>
        <v>8.3333333333333329E-2</v>
      </c>
    </row>
    <row r="5" spans="1:9" x14ac:dyDescent="0.25">
      <c r="B5" s="5"/>
      <c r="C5" s="5"/>
      <c r="D5" s="5"/>
    </row>
    <row r="6" spans="1:9" x14ac:dyDescent="0.25">
      <c r="A6" t="s">
        <v>87</v>
      </c>
      <c r="B6" s="22"/>
      <c r="C6" s="22"/>
      <c r="D6" s="5"/>
    </row>
    <row r="7" spans="1:9" x14ac:dyDescent="0.25">
      <c r="A7" t="s">
        <v>88</v>
      </c>
      <c r="B7" s="24"/>
      <c r="C7" s="24"/>
    </row>
    <row r="8" spans="1:9" x14ac:dyDescent="0.25">
      <c r="A8" t="s">
        <v>89</v>
      </c>
      <c r="B8" s="23"/>
      <c r="C8" s="23"/>
      <c r="D8" s="5"/>
    </row>
    <row r="10" spans="1:9" x14ac:dyDescent="0.25">
      <c r="B10" t="s">
        <v>107</v>
      </c>
      <c r="C10" t="s">
        <v>109</v>
      </c>
    </row>
    <row r="11" spans="1:9" x14ac:dyDescent="0.25">
      <c r="B11" s="2" t="s">
        <v>108</v>
      </c>
      <c r="C11" s="2" t="s">
        <v>110</v>
      </c>
      <c r="D11" s="2"/>
    </row>
    <row r="15" spans="1:9" x14ac:dyDescent="0.25">
      <c r="A15" t="s">
        <v>92</v>
      </c>
    </row>
  </sheetData>
  <hyperlinks>
    <hyperlink ref="A1" location="Planning!A1" display="Go back to 'Planning' sheet" xr:uid="{D2DA156D-5AF1-4194-A684-BD3896B6772A}"/>
    <hyperlink ref="B4" r:id="rId1" xr:uid="{7006A74D-ABE9-4DBF-ACE1-D216F7E80B7E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UI_StoreSelectedCalendarId">
                <anchor>
                  <from>
                    <xdr:col>0</xdr:col>
                    <xdr:colOff>28575</xdr:colOff>
                    <xdr:row>8</xdr:row>
                    <xdr:rowOff>180975</xdr:rowOff>
                  </from>
                  <to>
                    <xdr:col>1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4"/>
  <sheetViews>
    <sheetView workbookViewId="0"/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29</v>
      </c>
    </row>
    <row r="2" spans="1:13" x14ac:dyDescent="0.25">
      <c r="A2" t="s">
        <v>3</v>
      </c>
      <c r="B2" t="s">
        <v>14</v>
      </c>
    </row>
    <row r="3" spans="1:13" x14ac:dyDescent="0.25">
      <c r="A3" t="s">
        <v>86</v>
      </c>
      <c r="B3" s="2" t="s">
        <v>13</v>
      </c>
      <c r="C3" t="s">
        <v>4</v>
      </c>
    </row>
    <row r="4" spans="1:13" x14ac:dyDescent="0.25">
      <c r="A4" t="s">
        <v>0</v>
      </c>
      <c r="B4" s="2">
        <f>SUM(D:D)</f>
        <v>0</v>
      </c>
      <c r="C4" t="s">
        <v>4</v>
      </c>
    </row>
    <row r="5" spans="1:13" x14ac:dyDescent="0.25">
      <c r="A5" t="s">
        <v>17</v>
      </c>
      <c r="B5" s="5" t="s">
        <v>21</v>
      </c>
    </row>
    <row r="6" spans="1:13" x14ac:dyDescent="0.25">
      <c r="A6" t="s">
        <v>18</v>
      </c>
      <c r="B6" s="5" t="s">
        <v>23</v>
      </c>
    </row>
    <row r="7" spans="1:13" x14ac:dyDescent="0.25">
      <c r="A7" t="s">
        <v>1</v>
      </c>
      <c r="B7" t="s">
        <v>15</v>
      </c>
    </row>
    <row r="8" spans="1:13" x14ac:dyDescent="0.25">
      <c r="A8" t="s">
        <v>19</v>
      </c>
      <c r="B8" s="5" t="s">
        <v>21</v>
      </c>
    </row>
    <row r="9" spans="1:13" x14ac:dyDescent="0.25">
      <c r="A9" t="s">
        <v>2</v>
      </c>
    </row>
    <row r="10" spans="1:13" x14ac:dyDescent="0.25">
      <c r="A10" t="s">
        <v>52</v>
      </c>
      <c r="B10" t="s">
        <v>54</v>
      </c>
    </row>
    <row r="11" spans="1:13" x14ac:dyDescent="0.25">
      <c r="A11" t="s">
        <v>5</v>
      </c>
      <c r="B11" s="2" t="e">
        <f>B3/B4</f>
        <v>#VALUE!</v>
      </c>
      <c r="C11" t="s">
        <v>6</v>
      </c>
    </row>
    <row r="13" spans="1:13" x14ac:dyDescent="0.25">
      <c r="A13" t="s">
        <v>11</v>
      </c>
      <c r="B13" t="s">
        <v>7</v>
      </c>
      <c r="C13" t="s">
        <v>8</v>
      </c>
      <c r="D13" t="s">
        <v>9</v>
      </c>
      <c r="E13" t="s">
        <v>10</v>
      </c>
      <c r="F13" t="s">
        <v>93</v>
      </c>
      <c r="G13" t="s">
        <v>94</v>
      </c>
      <c r="I13" t="s">
        <v>78</v>
      </c>
      <c r="J13" s="16" t="s">
        <v>76</v>
      </c>
      <c r="K13" s="2" t="s">
        <v>77</v>
      </c>
      <c r="L13" t="s">
        <v>79</v>
      </c>
      <c r="M13" t="s">
        <v>80</v>
      </c>
    </row>
    <row r="14" spans="1:13" x14ac:dyDescent="0.25">
      <c r="B14" s="1"/>
      <c r="C14" s="1"/>
      <c r="D14" s="2">
        <f>MAX((C14-B14)*24,0)</f>
        <v>0</v>
      </c>
      <c r="J14" s="16"/>
      <c r="K14" s="2"/>
      <c r="L14" s="2">
        <f>$B$4</f>
        <v>0</v>
      </c>
      <c r="M14" s="17" t="e">
        <f>Tabelle7367[[#This Row],[EBS self time]]/Tabelle7367[[#This Row],[Total time]]</f>
        <v>#DIV/0!</v>
      </c>
    </row>
  </sheetData>
  <dataConsolidate link="1"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4"/>
  <sheetViews>
    <sheetView topLeftCell="A6" workbookViewId="0">
      <selection activeCell="B26" sqref="B26"/>
    </sheetView>
  </sheetViews>
  <sheetFormatPr baseColWidth="10" defaultColWidth="11.42578125" defaultRowHeight="15" x14ac:dyDescent="0.25"/>
  <sheetData>
    <row r="1" spans="1:3" x14ac:dyDescent="0.25">
      <c r="A1" s="11" t="s">
        <v>39</v>
      </c>
    </row>
    <row r="2" spans="1:3" x14ac:dyDescent="0.25">
      <c r="A2" t="s">
        <v>24</v>
      </c>
    </row>
    <row r="3" spans="1:3" x14ac:dyDescent="0.25">
      <c r="A3" t="s">
        <v>25</v>
      </c>
    </row>
    <row r="5" spans="1:3" x14ac:dyDescent="0.25">
      <c r="A5" s="11" t="s">
        <v>33</v>
      </c>
    </row>
    <row r="6" spans="1:3" x14ac:dyDescent="0.25">
      <c r="A6" t="s">
        <v>34</v>
      </c>
    </row>
    <row r="7" spans="1:3" x14ac:dyDescent="0.25">
      <c r="B7" t="s">
        <v>35</v>
      </c>
    </row>
    <row r="8" spans="1:3" x14ac:dyDescent="0.25">
      <c r="B8" t="s">
        <v>36</v>
      </c>
    </row>
    <row r="9" spans="1:3" x14ac:dyDescent="0.25">
      <c r="A9" t="s">
        <v>37</v>
      </c>
    </row>
    <row r="10" spans="1:3" x14ac:dyDescent="0.25">
      <c r="B10" t="s">
        <v>38</v>
      </c>
    </row>
    <row r="11" spans="1:3" x14ac:dyDescent="0.25">
      <c r="A11" s="11" t="s">
        <v>51</v>
      </c>
    </row>
    <row r="12" spans="1:3" x14ac:dyDescent="0.25">
      <c r="A12" t="s">
        <v>34</v>
      </c>
    </row>
    <row r="13" spans="1:3" x14ac:dyDescent="0.25">
      <c r="B13" t="s">
        <v>50</v>
      </c>
    </row>
    <row r="14" spans="1:3" x14ac:dyDescent="0.25">
      <c r="A14" s="11" t="s">
        <v>57</v>
      </c>
    </row>
    <row r="15" spans="1:3" x14ac:dyDescent="0.25">
      <c r="B15" t="s">
        <v>58</v>
      </c>
    </row>
    <row r="16" spans="1:3" x14ac:dyDescent="0.25">
      <c r="C16" t="s">
        <v>59</v>
      </c>
    </row>
    <row r="17" spans="1:3" x14ac:dyDescent="0.25">
      <c r="C17" t="s">
        <v>61</v>
      </c>
    </row>
    <row r="18" spans="1:3" x14ac:dyDescent="0.25">
      <c r="B18" t="s">
        <v>62</v>
      </c>
    </row>
    <row r="19" spans="1:3" x14ac:dyDescent="0.25">
      <c r="B19" t="s">
        <v>60</v>
      </c>
    </row>
    <row r="20" spans="1:3" x14ac:dyDescent="0.25">
      <c r="A20" s="11" t="s">
        <v>63</v>
      </c>
    </row>
    <row r="21" spans="1:3" x14ac:dyDescent="0.25">
      <c r="B21" t="s">
        <v>64</v>
      </c>
    </row>
    <row r="23" spans="1:3" x14ac:dyDescent="0.25">
      <c r="A23" s="11" t="s">
        <v>105</v>
      </c>
      <c r="B23" s="11" t="s">
        <v>103</v>
      </c>
    </row>
    <row r="24" spans="1:3" x14ac:dyDescent="0.25">
      <c r="A24" t="s">
        <v>95</v>
      </c>
      <c r="B24">
        <v>883</v>
      </c>
    </row>
    <row r="25" spans="1:3" x14ac:dyDescent="0.25">
      <c r="A25" t="s">
        <v>96</v>
      </c>
      <c r="B25">
        <v>673</v>
      </c>
    </row>
    <row r="26" spans="1:3" x14ac:dyDescent="0.25">
      <c r="A26" t="s">
        <v>97</v>
      </c>
      <c r="B26">
        <v>380</v>
      </c>
    </row>
    <row r="27" spans="1:3" x14ac:dyDescent="0.25">
      <c r="A27" t="s">
        <v>98</v>
      </c>
      <c r="B27">
        <v>27</v>
      </c>
    </row>
    <row r="28" spans="1:3" x14ac:dyDescent="0.25">
      <c r="A28" t="s">
        <v>99</v>
      </c>
      <c r="B28">
        <v>1130</v>
      </c>
    </row>
    <row r="29" spans="1:3" x14ac:dyDescent="0.25">
      <c r="A29" t="s">
        <v>30</v>
      </c>
      <c r="B29">
        <v>1687</v>
      </c>
    </row>
    <row r="30" spans="1:3" x14ac:dyDescent="0.25">
      <c r="A30" t="s">
        <v>100</v>
      </c>
      <c r="B30">
        <v>193</v>
      </c>
    </row>
    <row r="31" spans="1:3" x14ac:dyDescent="0.25">
      <c r="A31" t="s">
        <v>102</v>
      </c>
      <c r="B31">
        <v>952</v>
      </c>
    </row>
    <row r="32" spans="1:3" x14ac:dyDescent="0.25">
      <c r="A32" t="s">
        <v>101</v>
      </c>
      <c r="B32">
        <v>607</v>
      </c>
    </row>
    <row r="33" spans="1:2" x14ac:dyDescent="0.25">
      <c r="A33" t="s">
        <v>104</v>
      </c>
      <c r="B33">
        <v>484</v>
      </c>
    </row>
    <row r="34" spans="1:2" x14ac:dyDescent="0.25">
      <c r="B34">
        <f>SUM(B24:B33)</f>
        <v>7016</v>
      </c>
    </row>
  </sheetData>
  <conditionalFormatting sqref="B24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5" t="s">
        <v>82</v>
      </c>
      <c r="F15" s="32" t="s">
        <v>83</v>
      </c>
      <c r="G15" s="33"/>
      <c r="H15" s="33"/>
    </row>
    <row r="16" spans="5:8" x14ac:dyDescent="0.25">
      <c r="E16" s="15" t="s">
        <v>81</v>
      </c>
      <c r="F16" s="32" t="s">
        <v>42</v>
      </c>
      <c r="G16" s="33"/>
      <c r="H16" s="33"/>
    </row>
    <row r="17" spans="1:20" x14ac:dyDescent="0.25">
      <c r="J17" s="11" t="s">
        <v>49</v>
      </c>
      <c r="K17" s="11"/>
    </row>
    <row r="18" spans="1:20" x14ac:dyDescent="0.25">
      <c r="A18" t="s">
        <v>20</v>
      </c>
      <c r="B18" t="s">
        <v>56</v>
      </c>
      <c r="C18" t="s">
        <v>40</v>
      </c>
      <c r="D18" t="s">
        <v>31</v>
      </c>
      <c r="E18" t="s">
        <v>45</v>
      </c>
      <c r="F18" t="s">
        <v>41</v>
      </c>
      <c r="G18" t="s">
        <v>43</v>
      </c>
      <c r="H18" t="s">
        <v>53</v>
      </c>
      <c r="J18" t="s">
        <v>55</v>
      </c>
      <c r="K18" t="s">
        <v>52</v>
      </c>
      <c r="L18" t="s">
        <v>22</v>
      </c>
      <c r="M18" s="2" t="s">
        <v>44</v>
      </c>
      <c r="N18" s="2" t="s">
        <v>86</v>
      </c>
      <c r="O18" t="s">
        <v>46</v>
      </c>
      <c r="P18" t="s">
        <v>48</v>
      </c>
      <c r="Q18" t="s">
        <v>47</v>
      </c>
      <c r="R18" t="s">
        <v>45</v>
      </c>
      <c r="S18" t="s">
        <v>66</v>
      </c>
      <c r="T18" t="s">
        <v>65</v>
      </c>
    </row>
    <row r="19" spans="1:20" x14ac:dyDescent="0.25">
      <c r="B19" s="18"/>
      <c r="D19" t="s">
        <v>32</v>
      </c>
      <c r="M19" s="2"/>
      <c r="N19" s="2"/>
    </row>
    <row r="20" spans="1:20" x14ac:dyDescent="0.25">
      <c r="B20" s="18"/>
      <c r="M20" s="2"/>
      <c r="N20" s="2"/>
    </row>
    <row r="21" spans="1:20" x14ac:dyDescent="0.25">
      <c r="B21" s="18"/>
      <c r="M21" s="2"/>
      <c r="N21" s="2"/>
    </row>
    <row r="22" spans="1:20" x14ac:dyDescent="0.25">
      <c r="B22" s="18"/>
      <c r="M22" s="2"/>
      <c r="N22" s="2"/>
    </row>
    <row r="23" spans="1:20" x14ac:dyDescent="0.25">
      <c r="B23" s="18"/>
      <c r="M23" s="2"/>
      <c r="N23" s="2"/>
    </row>
    <row r="24" spans="1:20" x14ac:dyDescent="0.25">
      <c r="B24" s="18"/>
    </row>
    <row r="25" spans="1:20" x14ac:dyDescent="0.25">
      <c r="B25" s="18"/>
    </row>
    <row r="26" spans="1:20" x14ac:dyDescent="0.25">
      <c r="B26" s="18"/>
    </row>
    <row r="27" spans="1:20" x14ac:dyDescent="0.25">
      <c r="B27" s="18"/>
    </row>
    <row r="28" spans="1:20" x14ac:dyDescent="0.25">
      <c r="B28" s="18"/>
    </row>
    <row r="29" spans="1:20" x14ac:dyDescent="0.25">
      <c r="B29" s="18"/>
    </row>
    <row r="30" spans="1:20" x14ac:dyDescent="0.25">
      <c r="B30" s="18"/>
    </row>
    <row r="31" spans="1:20" x14ac:dyDescent="0.25">
      <c r="B31" s="18"/>
    </row>
    <row r="32" spans="1:20" x14ac:dyDescent="0.25">
      <c r="B32" s="18"/>
    </row>
    <row r="33" spans="2:2" x14ac:dyDescent="0.25">
      <c r="B33" s="18"/>
    </row>
    <row r="34" spans="2:2" x14ac:dyDescent="0.25">
      <c r="B34" s="18"/>
    </row>
    <row r="35" spans="2:2" x14ac:dyDescent="0.25">
      <c r="B35" s="18"/>
    </row>
    <row r="36" spans="2:2" x14ac:dyDescent="0.25">
      <c r="B36" s="18"/>
    </row>
    <row r="37" spans="2:2" x14ac:dyDescent="0.25">
      <c r="B37" s="18"/>
    </row>
    <row r="38" spans="2:2" x14ac:dyDescent="0.25">
      <c r="B38" s="18"/>
    </row>
    <row r="39" spans="2:2" x14ac:dyDescent="0.25">
      <c r="B39" s="18"/>
    </row>
    <row r="40" spans="2:2" x14ac:dyDescent="0.25">
      <c r="B40" s="18"/>
    </row>
    <row r="41" spans="2:2" x14ac:dyDescent="0.25">
      <c r="B41" s="18"/>
    </row>
    <row r="42" spans="2:2" x14ac:dyDescent="0.25">
      <c r="B42" s="18"/>
    </row>
    <row r="43" spans="2:2" x14ac:dyDescent="0.25">
      <c r="B43" s="18"/>
    </row>
    <row r="46" spans="2:2" x14ac:dyDescent="0.25">
      <c r="B46" s="18"/>
    </row>
    <row r="47" spans="2:2" x14ac:dyDescent="0.25">
      <c r="B47" s="18"/>
    </row>
    <row r="48" spans="2:2" x14ac:dyDescent="0.25">
      <c r="B48" s="18"/>
    </row>
  </sheetData>
  <mergeCells count="2">
    <mergeCell ref="F15:H15"/>
    <mergeCell ref="F16:H16"/>
  </mergeCells>
  <conditionalFormatting sqref="D1:D1048576">
    <cfRule type="containsText" dxfId="4" priority="1" operator="containsText" text="No">
      <formula>NOT(ISERROR(SEARCH("No",D1)))</formula>
    </cfRule>
    <cfRule type="containsText" dxfId="3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Planning</vt:lpstr>
      <vt:lpstr>Settings</vt:lpstr>
      <vt:lpstr>Task sheet template</vt:lpstr>
      <vt:lpstr>Version info</vt:lpstr>
      <vt:lpstr>EbsSheet 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2019-09-03T22:24:13Z</dcterms:modified>
  <cp:category/>
  <cp:contentStatus/>
</cp:coreProperties>
</file>