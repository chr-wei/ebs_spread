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27F7F0E2-4D9D-4753-B784-1D15BC2DEEEB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46A3D6C7717B95D76" sheetId="1406" state="hidden" r:id="rId2"/>
    <sheet name="EbsSheet (Me)" sheetId="1405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ersion info" sheetId="3" r:id="rId8"/>
    <sheet name="EbsSheet template" sheetId="440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" i="1406" l="1"/>
  <c r="M16" i="1406" s="1"/>
  <c r="D16" i="1406"/>
  <c r="B11" i="1406"/>
  <c r="B4" i="1406"/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<sst xmlns="http://schemas.openxmlformats.org/spreadsheetml/2006/main" count="329" uniqueCount="208">
  <si>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</si>
  <si>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</si>
  <si>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</si>
  <si>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</si>
  <si>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</si>
  <si>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</si>
  <si>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</si>
  <si>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</si>
  <si>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</si>
  <si>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</si>
  <si>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</si>
  <si>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</si>
  <si>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</si>
  <si>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</si>
  <si>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</si>
  <si>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</si>
  <si>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</si>
  <si>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</si>
  <si>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</si>
  <si>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</si>
  <si>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</si>
  <si>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</si>
  <si>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</si>
  <si>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</si>
  <si>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</si>
  <si>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</si>
  <si>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</si>
  <si>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</si>
  <si>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</si>
  <si>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</si>
  <si>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</si>
  <si>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</si>
  <si>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</si>
  <si>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</si>
  <si>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</si>
  <si>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</si>
  <si>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</si>
  <si>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</si>
  <si>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</si>
  <si>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</si>
  <si>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</si>
  <si>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</si>
  <si>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</si>
  <si>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</si>
  <si>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</si>
  <si>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</si>
  <si>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</si>
  <si>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</si>
  <si>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</si>
  <si>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</si>
  <si>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</si>
  <si>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</si>
  <si>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</si>
  <si>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</si>
  <si>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</si>
  <si>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</si>
  <si>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</si>
  <si>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</si>
  <si>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</si>
  <si>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</si>
  <si>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</si>
  <si>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</si>
  <si>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</si>
  <si>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</si>
  <si>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</si>
  <si>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</si>
  <si>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</si>
  <si>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</si>
  <si>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</si>
  <si>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</si>
  <si>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</si>
  <si>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</si>
  <si>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</si>
  <si>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</si>
  <si>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</si>
  <si>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</si>
  <si>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</si>
  <si>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</si>
  <si>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</si>
  <si>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</si>
  <si>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</si>
  <si>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</si>
  <si>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</si>
  <si>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</si>
  <si>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</si>
  <si>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</si>
  <si>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</si>
  <si>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</si>
  <si>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</si>
  <si>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</si>
  <si>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</si>
  <si>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</si>
  <si>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</si>
  <si>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</si>
  <si>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</si>
  <si>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</si>
  <si>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</si>
  <si>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</si>
  <si>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</si>
  <si>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</si>
  <si>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</si>
  <si>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</si>
  <si>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</si>
  <si>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</si>
  <si>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</si>
  <si>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</si>
  <si>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</si>
  <si>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</si>
  <si>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</si>
  <si>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</si>
  <si>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</si>
  <si>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</si>
  <si>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</si>
  <si>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</si>
  <si>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</si>
  <si>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</si>
  <si>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</si>
  <si>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</si>
  <si>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</si>
  <si>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</si>
  <si>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</si>
  <si>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</si>
  <si>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</si>
  <si>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</si>
  <si>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</si>
  <si>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</si>
  <si>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</si>
  <si>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</si>
  <si>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</si>
  <si>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</si>
  <si>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</si>
  <si>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</si>
  <si>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</si>
  <si>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</si>
  <si>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</si>
  <si>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</si>
  <si>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</si>
  <si>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</si>
  <si>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</si>
  <si>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</si>
  <si>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</si>
  <si>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</si>
  <si>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</si>
  <si>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</si>
  <si>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</si>
  <si>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</si>
  <si>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</si>
  <si>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</si>
  <si>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</si>
  <si>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</si>
  <si>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</si>
  <si>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</si>
  <si>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</si>
  <si>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</si>
  <si>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</si>
  <si>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</si>
  <si>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</si>
  <si>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</si>
  <si>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</si>
  <si>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</si>
  <si>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</si>
  <si>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</si>
  <si>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</si>
  <si>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</si>
  <si>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</si>
  <si>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</si>
  <si>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</si>
  <si>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</si>
  <si>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</si>
  <si>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</si>
  <si>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</si>
  <si>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</si>
  <si>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</si>
  <si>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</si>
  <si>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</si>
  <si>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</si>
  <si>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</si>
  <si>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</si>
  <si>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</si>
  <si>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</si>
  <si>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</si>
  <si>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</si>
  <si>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</si>
  <si>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</si>
  <si>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</si>
  <si>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</si>
  <si>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</si>
  <si>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</si>
  <si>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</si>
  <si>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</si>
  <si>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</si>
  <si>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</si>
  <si>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</si>
  <si>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</si>
  <si>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</si>
  <si>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</si>
  <si>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</si>
  <si>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</si>
  <si>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</si>
  <si>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</si>
  <si>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</si>
  <si>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</si>
  <si>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</si>
  <si>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</si>
  <si>
    <t>Created on</t>
  </si>
  <si>
    <t>t46A3D6C7717B95D76</t>
  </si>
  <si>
    <t>&lt;ENTER_NAME&gt;</t>
  </si>
  <si>
    <t>&lt;ENTER_ESTIMATE&gt;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</si>
</sst>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4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2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210C2AF-1415-41F2-A842-F3E3F7739ABA}"/>
            </a:ext>
          </a:extLst>
        </xdr:cNvPr>
        <xdr:cNvSpPr/>
      </xdr:nvSpPr>
      <xdr:spPr bwMode="auto">
        <a:xfrm>
          <a:off x="7600950" y="2667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580B51B-66D1-4530-9E6A-20BE13ED26F7}"/>
            </a:ext>
          </a:extLst>
        </xdr:cNvPr>
        <xdr:cNvSpPr/>
      </xdr:nvSpPr>
      <xdr:spPr bwMode="auto">
        <a:xfrm>
          <a:off x="9096375" y="26670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totalsRowShown="0" dataDxfId="0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17" dataCellStyle="Standard"/>
    <tableColumn id="3" xr3:uid="{3AD21368-826B-4507-A159-BE8BE5B02C1F}" name="Indicator" dataDxfId="16" dataCellStyle="Spaltenebene_1"/>
    <tableColumn id="2" xr3:uid="{C139B307-7150-4838-B1FD-482AAB7B1208}" name="Task name" dataDxfId="15" dataCellStyle="Link"/>
    <tableColumn id="18" xr3:uid="{3B298737-E571-4F23-9C71-2BC3C2385355}" name="Comment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5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B54F5-DA0A-4A11-AA83-F6F11C3BB089}" name="TimeEntries2" displayName="TimeEntries2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358DECAA-F472-47BA-BBAF-79CB41C5D815}" name="Time entry no."/>
    <tableColumn id="2" xr3:uid="{C2345122-5E75-441F-A32F-6832EC59C66F}" name="Start time" dataDxfId="23"/>
    <tableColumn id="3" xr3:uid="{50E003E2-64FF-436D-B738-51C4A9B772F4}" name="End time" dataDxfId="22"/>
    <tableColumn id="4" xr3:uid="{001C7D3C-F3E4-4B06-A9AC-CEDABF395F17}" name="Time delta in h" dataDxfId="21">
      <calculatedColumnFormula>MAX((TimeEntries2[[#This Row],[End time]]-TimeEntries2[[#This Row],[Start time]])*24,0)</calculatedColumnFormula>
    </tableColumn>
    <tableColumn id="5" xr3:uid="{8D3095D8-9240-4769-9EB0-463681E8C423}" name="Indicator"/>
    <tableColumn id="6" xr3:uid="{5DBF94D9-AABA-4666-935F-73D12272AD73}" name="Action1"/>
    <tableColumn id="7" xr3:uid="{1A094AD3-F987-4A47-B324-2863B487DA4D}" name="Action2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427FDD-94E0-4E9C-B64C-A75D0A213456}" name="Tabelle73675" displayName="Tabelle73675" ref="I15:M16" totalsRowShown="0">
  <autoFilter ref="I15:M16" xr:uid="{84675B4D-C39C-4C1D-95DA-B0DAB419A377}"/>
  <tableColumns count="5">
    <tableColumn id="1" xr3:uid="{2A69B210-17CA-44F6-A45D-6C4C2CF52925}" name="Comparison entry no."/>
    <tableColumn id="2" xr3:uid="{FC3CB423-5044-4809-80D1-9203ED474567}" name="Propability Support point" dataDxfId="20"/>
    <tableColumn id="3" xr3:uid="{EEB83D80-251B-4D5F-A34C-1A42E17E7E7B}" name="EBS self time" dataDxfId="19"/>
    <tableColumn id="4" xr3:uid="{87F3ABF2-F670-474E-AF0F-A0F7440E1802}" name="Total time">
      <calculatedColumnFormula>SUM(TimeEntries2[Time delta in h])</calculatedColumnFormula>
    </tableColumn>
    <tableColumn id="5" xr3:uid="{E04B49FE-3644-459B-B2DD-6A07B9F6B4D6}" name="Total time / Your estimate" dataDxfId="18">
      <calculatedColumnFormula>Tabelle73675[[#This Row],[EBS self time]]/Tabelle73675[[#This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3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2"/>
    <tableColumn id="4" xr3:uid="{BD24E662-9F4E-4C61-82B5-EAD94B1901CC}" name="User time estimate" dataDxfId="51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0" dataDxfId="48" headerRowBorderDxfId="49">
  <autoFilter ref="A8:D54" xr:uid="{8E9EC0C1-7901-48B6-A59A-1CE6ABEE7A55}"/>
  <tableColumns count="4">
    <tableColumn id="1" xr3:uid="{58BB2187-C79D-4A1A-A9A3-DA2F074C476C}" name="Split entry no." dataDxfId="47"/>
    <tableColumn id="2" xr3:uid="{A755482D-FFF4-43D8-8021-1956CE3A7021}" name="Split start" dataDxfId="46"/>
    <tableColumn id="3" xr3:uid="{FE0A0B8D-1F8A-4CEC-9FB3-C945A45F99BF}" name="Split end" dataDxfId="45"/>
    <tableColumn id="4" xr3:uid="{5443222D-0CE3-4625-9EDB-D13B87B6C388}" name="Time spent" dataDxfId="44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3" dataCellStyle="Link"/>
    <tableColumn id="9" xr3:uid="{0037D127-E2BA-445A-BC63-1395BA3AC441}" name="Calendar ID" dataDxfId="42" dataCellStyle="Link"/>
    <tableColumn id="10" xr3:uid="{37CA3B7B-8FF0-4042-97C6-E23A79A74325}" name="Store ID"/>
    <tableColumn id="6" xr3:uid="{044D8005-25C5-4D31-940A-B6DE4C6B0EA5}" name="WorkingDays" dataDxfId="4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0"/>
    <tableColumn id="8" xr3:uid="{1177B0FB-46B2-406D-B988-C64E0ABA6972}" name="AppointmentOffsetHours" dataDxfId="39">
      <calculatedColumnFormula>5/60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34"/>
    <tableColumn id="3" xr3:uid="{78DABF02-3853-48FF-81AD-5801C74BED1B}" name="End time" dataDxfId="33"/>
    <tableColumn id="4" xr3:uid="{76C994F9-216A-4848-9FB6-16BAF8B0EEEA}" name="Time delta in h" dataDxfId="32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1"/>
    <tableColumn id="3" xr3:uid="{A62B365F-400F-45A4-B789-FE7B5FDBD312}" name="EBS self time" dataDxfId="30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29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6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5"/>
    <tableColumn id="4" xr3:uid="{F9EDA55E-5206-49A7-A846-6A0B14C04CAF}" name="User time estimate" dataDxfId="24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15" sqref="D15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13.5703125" style="39" bestFit="1" customWidth="1" collapsed="1"/>
    <col min="3" max="3" width="32.140625" style="10" customWidth="1"/>
    <col min="4" max="4" width="25.7109375" style="10" customWidth="1"/>
    <col min="6" max="6" width="9.85546875" style="8" customWidth="1"/>
    <col min="7" max="7" width="11.42578125" style="8" bestFit="1" customWidth="1"/>
    <col min="8" max="8" width="13" style="8" bestFit="1" customWidth="1"/>
    <col min="9" max="10" width="20.42578125" style="11" bestFit="1" customWidth="1"/>
    <col min="11" max="11" width="21.5703125" style="7" hidden="1" customWidth="1" outlineLevel="1"/>
    <col min="12" max="12" width="15" style="11" hidden="1" customWidth="1" outlineLevel="1"/>
    <col min="13" max="13" width="15.7109375" style="11" hidden="1" customWidth="1" outlineLevel="1"/>
    <col min="14" max="14" width="15.7109375" style="39" customWidth="1" collapsed="1"/>
    <col min="15" max="15" width="13.5703125" hidden="1" customWidth="1" outlineLevel="1"/>
    <col min="16" max="16" width="11.42578125" hidden="1" customWidth="1" outlineLevel="1"/>
    <col min="17" max="17" width="20.28515625" style="7" hidden="1" customWidth="1" outlineLevel="1"/>
    <col min="18" max="18" width="15.7109375" style="39" customWidth="1" collapsed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78</v>
      </c>
      <c r="M2" s="38" t="s">
        <v>78</v>
      </c>
      <c r="O2" s="9"/>
      <c r="P2" s="9"/>
      <c r="Q2" s="9"/>
      <c r="U2"/>
    </row>
    <row r="3" spans="1:22" x14ac:dyDescent="0.25">
      <c r="A3" s="7" t="s">
        <v>12</v>
      </c>
      <c r="B3" s="39" t="s">
        <v>10</v>
      </c>
      <c r="C3" s="10" t="s">
        <v>3</v>
      </c>
      <c r="D3" s="10" t="s">
        <v>2</v>
      </c>
      <c r="E3" s="8" t="s">
        <v>22</v>
      </c>
      <c r="F3" s="8" t="s">
        <v>23</v>
      </c>
      <c r="G3" s="8" t="s">
        <v>24</v>
      </c>
      <c r="H3" s="11" t="s">
        <v>1</v>
      </c>
      <c r="I3" s="11" t="s">
        <v>79</v>
      </c>
      <c r="J3" s="19" t="s">
        <v>72</v>
      </c>
      <c r="K3" t="s">
        <v>16</v>
      </c>
      <c r="L3" s="8" t="s">
        <v>83</v>
      </c>
      <c r="M3" s="8" t="s">
        <v>77</v>
      </c>
      <c r="N3" s="39" t="s">
        <v>14</v>
      </c>
      <c r="O3" s="7" t="s">
        <v>15</v>
      </c>
      <c r="P3" t="s">
        <v>13</v>
      </c>
      <c r="Q3" t="s">
        <v>47</v>
      </c>
      <c r="U3"/>
    </row>
    <row r="4" spans="1:22" ht="15" customHeight="1" x14ac:dyDescent="0.25">
      <c r="A4" s="47" t="s">
        <v>133</v>
      </c>
      <c r="B4" s="48"/>
      <c r="C4" s="49" t="s">
        <v>206</v>
      </c>
      <c r="D4" s="49"/>
      <c r="E4" s="50"/>
      <c r="F4" s="47"/>
      <c r="G4" s="47"/>
      <c r="H4" s="47" t="s">
        <v>94</v>
      </c>
      <c r="I4" s="51" t="s">
        <v>207</v>
      </c>
      <c r="J4" s="47"/>
      <c r="K4" s="47" t="s">
        <v>95</v>
      </c>
      <c r="L4" s="47"/>
      <c r="M4" s="47"/>
      <c r="N4" s="52"/>
      <c r="O4" s="47" t="s">
        <v>19</v>
      </c>
      <c r="P4" s="47">
        <v>1</v>
      </c>
      <c r="Q4" s="47" t="s">
        <v>205</v>
      </c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114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88</v>
      </c>
    </row>
  </sheetData>
  <dataConsolidate/>
  <conditionalFormatting sqref="B4">
    <cfRule type="containsText" dxfId="61" priority="7" operator="containsText" text="&lt;current">
      <formula>NOT(ISERROR(SEARCH("&lt;current",B4)))</formula>
    </cfRule>
  </conditionalFormatting>
  <conditionalFormatting sqref="H4">
    <cfRule type="containsText" dxfId="60" priority="2" operator="containsText" text="Note">
      <formula>NOT(ISERROR(SEARCH("Note",H4)))</formula>
    </cfRule>
    <cfRule type="containsText" dxfId="59" priority="8" operator="containsText" text="Done">
      <formula>NOT(ISERROR(SEARCH("Done",H4)))</formula>
    </cfRule>
    <cfRule type="containsText" dxfId="58" priority="9" operator="containsText" text="In progress">
      <formula>NOT(ISERROR(SEARCH("In progress",H4)))</formula>
    </cfRule>
    <cfRule type="containsText" dxfId="57" priority="10" operator="containsText" text="To do">
      <formula>NOT(ISERROR(SEARCH("To do",H4)))</formula>
    </cfRule>
  </conditionalFormatting>
  <conditionalFormatting sqref="N4">
    <cfRule type="cellIs" dxfId="56" priority="1" operator="lessThan">
      <formula>TODAY()</formula>
    </cfRule>
  </conditionalFormatting>
  <conditionalFormatting sqref="P4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F32ADCD5-9D8D-4CCE-8AA4-B6EAC1E91473}">
      <formula1>"important,fruit"</formula1>
    </dataValidation>
  </dataValidations>
  <hyperlinks>
    <hyperlink ref="C4" location="Planning!A1" display="Planning!A1" xr:uid="{FAAEADAC-E26F-46F6-8235-519D3460857E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C6DEE-853F-442A-BB06-D41B4A99B57D}">
  <sheetPr codeName="TaskSheetTemplate1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SUM(TimeEntries2[Time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205</v>
      </c>
    </row>
    <row r="11" spans="1:13" x14ac:dyDescent="0.25">
      <c r="A11" t="s">
        <v>5</v>
      </c>
      <c r="B11" s="3" t="e">
        <f>B3/SUM(TimeEntries2[Time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204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MAX((TimeEntries2[[#This Row],[End time]]-TimeEntries2[[#This Row],[Start time]])*24,0)</f>
        <v>0</v>
      </c>
      <c r="J16" s="16"/>
      <c r="K16" s="3"/>
      <c r="L16" s="3">
        <f>SUM(TimeEntries2[Time delta in h])</f>
        <v>0</v>
      </c>
      <c r="M16" s="17" t="e">
        <f>Tabelle73675[[#This Row],[EBS self time]]/Tabelle73675[[#This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0B78E633-43B9-4E93-BF8C-38EF8E92E102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5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190</v>
      </c>
      <c r="G15" s="53"/>
      <c r="H15" s="53"/>
    </row>
    <row r="16" spans="5:8" x14ac:dyDescent="0.25">
      <c r="E16" s="15" t="s">
        <v>74</v>
      </c>
      <c r="F16" s="1" t="s">
        <v>37</v>
      </c>
      <c r="G16" s="53"/>
      <c r="H16" s="53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8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3">
        <v>0</v>
      </c>
      <c r="N19" s="3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8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3">
        <v>2.7502777775516698</v>
      </c>
      <c r="N20" s="3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8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3"/>
      <c r="N21" s="3"/>
    </row>
    <row r="22" spans="1:20" x14ac:dyDescent="0.25">
      <c r="A22" t="s">
        <v>136</v>
      </c>
      <c r="B22" s="18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3"/>
      <c r="N22" s="3"/>
    </row>
    <row r="23" spans="1:20" x14ac:dyDescent="0.25">
      <c r="A23" t="s">
        <v>137</v>
      </c>
      <c r="B23" s="18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3"/>
      <c r="N23" s="3"/>
    </row>
    <row r="24" spans="1:20" x14ac:dyDescent="0.25">
      <c r="B24" s="18"/>
      <c r="M24" s="3"/>
      <c r="N24" s="3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4" spans="2:2" x14ac:dyDescent="0.25">
      <c r="B44" s="18"/>
    </row>
    <row r="45" spans="2:2" x14ac:dyDescent="0.25">
      <c r="B45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  <row r="49" spans="2:2" x14ac:dyDescent="0.25">
      <c r="B49" s="18"/>
    </row>
    <row r="50" spans="2:2" x14ac:dyDescent="0.25">
      <c r="B50" s="18"/>
    </row>
    <row r="51" spans="2:2" x14ac:dyDescent="0.25">
      <c r="B51" s="18"/>
    </row>
    <row r="52" spans="2:2" x14ac:dyDescent="0.25">
      <c r="B52" s="18"/>
    </row>
    <row r="53" spans="2:2" x14ac:dyDescent="0.25">
      <c r="B53" s="18"/>
    </row>
    <row r="54" spans="2:2" x14ac:dyDescent="0.25">
      <c r="B54" s="18"/>
    </row>
    <row r="55" spans="2:2" x14ac:dyDescent="0.25">
      <c r="B55" s="18"/>
    </row>
    <row r="56" spans="2:2" x14ac:dyDescent="0.25">
      <c r="B56" s="18"/>
    </row>
    <row r="57" spans="2:2" x14ac:dyDescent="0.25">
      <c r="B57" s="18"/>
    </row>
    <row r="58" spans="2:2" x14ac:dyDescent="0.25">
      <c r="B58" s="18"/>
    </row>
    <row r="59" spans="2:2" x14ac:dyDescent="0.25">
      <c r="B59" s="18"/>
    </row>
    <row r="60" spans="2:2" x14ac:dyDescent="0.25">
      <c r="B60" s="18"/>
    </row>
    <row r="61" spans="2:2" x14ac:dyDescent="0.25">
      <c r="B61" s="18"/>
    </row>
    <row r="62" spans="2:2" x14ac:dyDescent="0.25">
      <c r="B62" s="18"/>
    </row>
    <row r="63" spans="2:2" x14ac:dyDescent="0.25">
      <c r="B63" s="18"/>
    </row>
    <row r="64" spans="2:2" x14ac:dyDescent="0.25">
      <c r="B64" s="18"/>
    </row>
    <row r="65" spans="2:2" x14ac:dyDescent="0.25">
      <c r="B65" s="18"/>
    </row>
    <row r="68" spans="2:2" x14ac:dyDescent="0.25">
      <c r="B68" s="18"/>
    </row>
    <row r="69" spans="2:2" x14ac:dyDescent="0.25">
      <c r="B69" s="18"/>
    </row>
    <row r="70" spans="2:2" x14ac:dyDescent="0.25">
      <c r="B70" s="18"/>
    </row>
  </sheetData>
  <mergeCells count="2">
    <mergeCell ref="F15:H15"/>
    <mergeCell ref="F16:H16"/>
  </mergeCells>
  <conditionalFormatting sqref="D35:D1048576 D33 D1:D31">
    <cfRule type="containsText" dxfId="55" priority="1" operator="containsText" text="No">
      <formula>NOT(ISERROR(SEARCH("No",D1)))</formula>
    </cfRule>
    <cfRule type="containsText" dxfId="54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106</v>
      </c>
    </row>
    <row r="2" spans="1:4" x14ac:dyDescent="0.25">
      <c r="A2" s="11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151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 t="s">
        <v>133</v>
      </c>
      <c r="B9" s="33">
        <v>43817.077002314814</v>
      </c>
      <c r="C9" s="33">
        <v>43818</v>
      </c>
      <c r="D9" s="34">
        <v>0</v>
      </c>
    </row>
    <row r="10" spans="1:4" x14ac:dyDescent="0.25">
      <c r="A10" s="32" t="s">
        <v>134</v>
      </c>
      <c r="B10" s="33">
        <v>43818</v>
      </c>
      <c r="C10" s="33">
        <v>43819</v>
      </c>
      <c r="D10" s="34">
        <v>0</v>
      </c>
    </row>
    <row r="11" spans="1:4" x14ac:dyDescent="0.25">
      <c r="A11" s="32" t="s">
        <v>135</v>
      </c>
      <c r="B11" s="33">
        <v>43819</v>
      </c>
      <c r="C11" s="33">
        <v>43820</v>
      </c>
      <c r="D11" s="34">
        <v>0</v>
      </c>
    </row>
    <row r="12" spans="1:4" x14ac:dyDescent="0.25">
      <c r="A12" s="32" t="s">
        <v>136</v>
      </c>
      <c r="B12" s="33">
        <v>43820</v>
      </c>
      <c r="C12" s="33">
        <v>43821</v>
      </c>
      <c r="D12" s="34">
        <v>0</v>
      </c>
    </row>
    <row r="13" spans="1:4" x14ac:dyDescent="0.25">
      <c r="A13" s="32" t="s">
        <v>137</v>
      </c>
      <c r="B13" s="33">
        <v>43821</v>
      </c>
      <c r="C13" s="33">
        <v>43822</v>
      </c>
      <c r="D13" s="34">
        <v>0</v>
      </c>
    </row>
    <row r="14" spans="1:4" x14ac:dyDescent="0.25">
      <c r="A14" s="32" t="s">
        <v>138</v>
      </c>
      <c r="B14" s="33">
        <v>43822</v>
      </c>
      <c r="C14" s="33">
        <v>43823</v>
      </c>
      <c r="D14" s="34">
        <v>0</v>
      </c>
    </row>
    <row r="15" spans="1:4" x14ac:dyDescent="0.25">
      <c r="A15" s="32" t="s">
        <v>139</v>
      </c>
      <c r="B15" s="33">
        <v>43823</v>
      </c>
      <c r="C15" s="33">
        <v>43824</v>
      </c>
      <c r="D15" s="34">
        <v>0</v>
      </c>
    </row>
    <row r="16" spans="1:4" x14ac:dyDescent="0.25">
      <c r="A16" s="32" t="s">
        <v>140</v>
      </c>
      <c r="B16" s="33">
        <v>43824</v>
      </c>
      <c r="C16" s="33">
        <v>43825</v>
      </c>
      <c r="D16" s="34">
        <v>0</v>
      </c>
    </row>
    <row r="17" spans="1:4" x14ac:dyDescent="0.25">
      <c r="A17" s="32" t="s">
        <v>141</v>
      </c>
      <c r="B17" s="33">
        <v>43825</v>
      </c>
      <c r="C17" s="33">
        <v>43826</v>
      </c>
      <c r="D17" s="34">
        <v>0</v>
      </c>
    </row>
    <row r="18" spans="1:4" x14ac:dyDescent="0.25">
      <c r="A18" s="32" t="s">
        <v>142</v>
      </c>
      <c r="B18" s="33">
        <v>43826</v>
      </c>
      <c r="C18" s="33">
        <v>43827</v>
      </c>
      <c r="D18" s="34">
        <v>0</v>
      </c>
    </row>
    <row r="19" spans="1:4" x14ac:dyDescent="0.25">
      <c r="A19" s="32" t="s">
        <v>143</v>
      </c>
      <c r="B19" s="33">
        <v>43827</v>
      </c>
      <c r="C19" s="33">
        <v>43828</v>
      </c>
      <c r="D19" s="34">
        <v>0</v>
      </c>
    </row>
    <row r="20" spans="1:4" x14ac:dyDescent="0.25">
      <c r="A20" s="32" t="s">
        <v>152</v>
      </c>
      <c r="B20" s="33">
        <v>43828</v>
      </c>
      <c r="C20" s="33">
        <v>43829</v>
      </c>
      <c r="D20" s="34">
        <v>0</v>
      </c>
    </row>
    <row r="21" spans="1:4" x14ac:dyDescent="0.25">
      <c r="A21" s="32" t="s">
        <v>153</v>
      </c>
      <c r="B21" s="33">
        <v>43829</v>
      </c>
      <c r="C21" s="33">
        <v>43830</v>
      </c>
      <c r="D21" s="34">
        <v>0</v>
      </c>
    </row>
    <row r="22" spans="1:4" x14ac:dyDescent="0.25">
      <c r="A22" s="32" t="s">
        <v>154</v>
      </c>
      <c r="B22" s="33">
        <v>43830</v>
      </c>
      <c r="C22" s="33">
        <v>43831</v>
      </c>
      <c r="D22" s="34">
        <v>0</v>
      </c>
    </row>
    <row r="23" spans="1:4" x14ac:dyDescent="0.25">
      <c r="A23" s="32" t="s">
        <v>155</v>
      </c>
      <c r="B23" s="33">
        <v>43831</v>
      </c>
      <c r="C23" s="33">
        <v>43832</v>
      </c>
      <c r="D23" s="34">
        <v>0</v>
      </c>
    </row>
    <row r="24" spans="1:4" x14ac:dyDescent="0.25">
      <c r="A24" s="32" t="s">
        <v>156</v>
      </c>
      <c r="B24" s="33">
        <v>43832</v>
      </c>
      <c r="C24" s="33">
        <v>43833</v>
      </c>
      <c r="D24" s="34">
        <v>0</v>
      </c>
    </row>
    <row r="25" spans="1:4" x14ac:dyDescent="0.25">
      <c r="A25" s="32" t="s">
        <v>157</v>
      </c>
      <c r="B25" s="33">
        <v>43833</v>
      </c>
      <c r="C25" s="33">
        <v>43834</v>
      </c>
      <c r="D25" s="34">
        <v>0</v>
      </c>
    </row>
    <row r="26" spans="1:4" x14ac:dyDescent="0.25">
      <c r="A26" s="32" t="s">
        <v>158</v>
      </c>
      <c r="B26" s="33">
        <v>43834</v>
      </c>
      <c r="C26" s="33">
        <v>43835</v>
      </c>
      <c r="D26" s="34">
        <v>0</v>
      </c>
    </row>
    <row r="27" spans="1:4" x14ac:dyDescent="0.25">
      <c r="A27" s="32" t="s">
        <v>159</v>
      </c>
      <c r="B27" s="33">
        <v>43835</v>
      </c>
      <c r="C27" s="33">
        <v>43836</v>
      </c>
      <c r="D27" s="34">
        <v>0</v>
      </c>
    </row>
    <row r="28" spans="1:4" x14ac:dyDescent="0.25">
      <c r="A28" s="32" t="s">
        <v>160</v>
      </c>
      <c r="B28" s="33">
        <v>43836</v>
      </c>
      <c r="C28" s="33">
        <v>43837</v>
      </c>
      <c r="D28" s="34">
        <v>0</v>
      </c>
    </row>
    <row r="29" spans="1:4" x14ac:dyDescent="0.25">
      <c r="A29" s="32" t="s">
        <v>161</v>
      </c>
      <c r="B29" s="33">
        <v>43837</v>
      </c>
      <c r="C29" s="33">
        <v>43838</v>
      </c>
      <c r="D29" s="34">
        <v>0</v>
      </c>
    </row>
    <row r="30" spans="1:4" x14ac:dyDescent="0.25">
      <c r="A30" s="32" t="s">
        <v>162</v>
      </c>
      <c r="B30" s="33">
        <v>43838</v>
      </c>
      <c r="C30" s="33">
        <v>43839</v>
      </c>
      <c r="D30" s="34">
        <v>0</v>
      </c>
    </row>
    <row r="31" spans="1:4" x14ac:dyDescent="0.25">
      <c r="A31" s="32" t="s">
        <v>163</v>
      </c>
      <c r="B31" s="33">
        <v>43839</v>
      </c>
      <c r="C31" s="33">
        <v>43840</v>
      </c>
      <c r="D31" s="34">
        <v>0</v>
      </c>
    </row>
    <row r="32" spans="1:4" x14ac:dyDescent="0.25">
      <c r="A32" s="32" t="s">
        <v>164</v>
      </c>
      <c r="B32" s="33">
        <v>43840</v>
      </c>
      <c r="C32" s="33">
        <v>43841</v>
      </c>
      <c r="D32" s="34">
        <v>0</v>
      </c>
    </row>
    <row r="33" spans="1:4" x14ac:dyDescent="0.25">
      <c r="A33" s="32" t="s">
        <v>165</v>
      </c>
      <c r="B33" s="33">
        <v>43841</v>
      </c>
      <c r="C33" s="33">
        <v>43842</v>
      </c>
      <c r="D33" s="34">
        <v>0</v>
      </c>
    </row>
    <row r="34" spans="1:4" x14ac:dyDescent="0.25">
      <c r="A34" s="32" t="s">
        <v>166</v>
      </c>
      <c r="B34" s="33">
        <v>43842</v>
      </c>
      <c r="C34" s="33">
        <v>43843</v>
      </c>
      <c r="D34" s="34">
        <v>0</v>
      </c>
    </row>
    <row r="35" spans="1:4" x14ac:dyDescent="0.25">
      <c r="A35" s="32" t="s">
        <v>167</v>
      </c>
      <c r="B35" s="33">
        <v>43843</v>
      </c>
      <c r="C35" s="33">
        <v>43844</v>
      </c>
      <c r="D35" s="34">
        <v>0</v>
      </c>
    </row>
    <row r="36" spans="1:4" x14ac:dyDescent="0.25">
      <c r="A36" s="32" t="s">
        <v>168</v>
      </c>
      <c r="B36" s="33">
        <v>43844</v>
      </c>
      <c r="C36" s="33">
        <v>43845</v>
      </c>
      <c r="D36" s="34">
        <v>0</v>
      </c>
    </row>
    <row r="37" spans="1:4" x14ac:dyDescent="0.25">
      <c r="A37" s="32" t="s">
        <v>169</v>
      </c>
      <c r="B37" s="33">
        <v>43845</v>
      </c>
      <c r="C37" s="33">
        <v>43846</v>
      </c>
      <c r="D37" s="34">
        <v>0</v>
      </c>
    </row>
    <row r="38" spans="1:4" x14ac:dyDescent="0.25">
      <c r="A38" s="32" t="s">
        <v>170</v>
      </c>
      <c r="B38" s="33">
        <v>43846</v>
      </c>
      <c r="C38" s="33">
        <v>43847</v>
      </c>
      <c r="D38" s="34">
        <v>0</v>
      </c>
    </row>
    <row r="39" spans="1:4" x14ac:dyDescent="0.25">
      <c r="A39" s="32" t="s">
        <v>171</v>
      </c>
      <c r="B39" s="33">
        <v>43847</v>
      </c>
      <c r="C39" s="33">
        <v>43848</v>
      </c>
      <c r="D39" s="34">
        <v>0</v>
      </c>
    </row>
    <row r="40" spans="1:4" x14ac:dyDescent="0.25">
      <c r="A40" s="32" t="s">
        <v>172</v>
      </c>
      <c r="B40" s="33">
        <v>43848</v>
      </c>
      <c r="C40" s="33">
        <v>43849</v>
      </c>
      <c r="D40" s="34">
        <v>0</v>
      </c>
    </row>
    <row r="41" spans="1:4" x14ac:dyDescent="0.25">
      <c r="A41" s="32" t="s">
        <v>173</v>
      </c>
      <c r="B41" s="33">
        <v>43849</v>
      </c>
      <c r="C41" s="33">
        <v>43850</v>
      </c>
      <c r="D41" s="34">
        <v>0</v>
      </c>
    </row>
    <row r="42" spans="1:4" x14ac:dyDescent="0.25">
      <c r="A42" s="32" t="s">
        <v>174</v>
      </c>
      <c r="B42" s="33">
        <v>43850</v>
      </c>
      <c r="C42" s="33">
        <v>43851</v>
      </c>
      <c r="D42" s="34">
        <v>0</v>
      </c>
    </row>
    <row r="43" spans="1:4" x14ac:dyDescent="0.25">
      <c r="A43" s="32" t="s">
        <v>175</v>
      </c>
      <c r="B43" s="33">
        <v>43851</v>
      </c>
      <c r="C43" s="33">
        <v>43852</v>
      </c>
      <c r="D43" s="34">
        <v>0</v>
      </c>
    </row>
    <row r="44" spans="1:4" x14ac:dyDescent="0.25">
      <c r="A44" s="32" t="s">
        <v>176</v>
      </c>
      <c r="B44" s="33">
        <v>43852</v>
      </c>
      <c r="C44" s="33">
        <v>43853</v>
      </c>
      <c r="D44" s="34">
        <v>0</v>
      </c>
    </row>
    <row r="45" spans="1:4" x14ac:dyDescent="0.25">
      <c r="A45" s="32" t="s">
        <v>177</v>
      </c>
      <c r="B45" s="33">
        <v>43853</v>
      </c>
      <c r="C45" s="33">
        <v>43854</v>
      </c>
      <c r="D45" s="34">
        <v>0</v>
      </c>
    </row>
    <row r="46" spans="1:4" x14ac:dyDescent="0.25">
      <c r="A46" s="32" t="s">
        <v>178</v>
      </c>
      <c r="B46" s="33">
        <v>43854</v>
      </c>
      <c r="C46" s="33">
        <v>43855</v>
      </c>
      <c r="D46" s="34">
        <v>0</v>
      </c>
    </row>
    <row r="47" spans="1:4" x14ac:dyDescent="0.25">
      <c r="A47" s="32" t="s">
        <v>179</v>
      </c>
      <c r="B47" s="33">
        <v>43855</v>
      </c>
      <c r="C47" s="33">
        <v>43856</v>
      </c>
      <c r="D47" s="34">
        <v>0</v>
      </c>
    </row>
    <row r="48" spans="1:4" x14ac:dyDescent="0.25">
      <c r="A48" s="32" t="s">
        <v>180</v>
      </c>
      <c r="B48" s="33">
        <v>43856</v>
      </c>
      <c r="C48" s="33">
        <v>43857</v>
      </c>
      <c r="D48" s="34">
        <v>0</v>
      </c>
    </row>
    <row r="49" spans="1:4" x14ac:dyDescent="0.25">
      <c r="A49" s="32" t="s">
        <v>181</v>
      </c>
      <c r="B49" s="33">
        <v>43857</v>
      </c>
      <c r="C49" s="33">
        <v>43858</v>
      </c>
      <c r="D49" s="34">
        <v>0</v>
      </c>
    </row>
    <row r="50" spans="1:4" x14ac:dyDescent="0.25">
      <c r="A50" s="32" t="s">
        <v>182</v>
      </c>
      <c r="B50" s="33">
        <v>43858</v>
      </c>
      <c r="C50" s="33">
        <v>43859</v>
      </c>
      <c r="D50" s="34">
        <v>0</v>
      </c>
    </row>
    <row r="51" spans="1:4" x14ac:dyDescent="0.25">
      <c r="A51" s="32" t="s">
        <v>183</v>
      </c>
      <c r="B51" s="33">
        <v>43859</v>
      </c>
      <c r="C51" s="33">
        <v>43860</v>
      </c>
      <c r="D51" s="34">
        <v>0</v>
      </c>
    </row>
    <row r="52" spans="1:4" x14ac:dyDescent="0.25">
      <c r="A52" s="32" t="s">
        <v>184</v>
      </c>
      <c r="B52" s="33">
        <v>43860</v>
      </c>
      <c r="C52" s="33">
        <v>43861</v>
      </c>
      <c r="D52" s="34">
        <v>0</v>
      </c>
    </row>
    <row r="53" spans="1:4" x14ac:dyDescent="0.25">
      <c r="A53" s="32" t="s">
        <v>185</v>
      </c>
      <c r="B53" s="33">
        <v>43861</v>
      </c>
      <c r="C53" s="33">
        <v>43862</v>
      </c>
      <c r="D53" s="34">
        <v>0</v>
      </c>
    </row>
    <row r="54" spans="1:4" x14ac:dyDescent="0.25">
      <c r="A54" s="32" t="s">
        <v>186</v>
      </c>
      <c r="B54" s="33">
        <v>43862</v>
      </c>
      <c r="C54" s="33">
        <v>43862</v>
      </c>
      <c r="D54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3" t="s">
        <v>61</v>
      </c>
      <c r="C3" s="3" t="s">
        <v>89</v>
      </c>
      <c r="D3" s="3" t="s">
        <v>90</v>
      </c>
      <c r="E3" s="3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131</v>
      </c>
      <c r="C4" t="s">
        <v>129</v>
      </c>
      <c r="D4" t="s">
        <v>130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113</v>
      </c>
      <c r="B6" s="21" t="s">
        <v>112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80</v>
      </c>
      <c r="B8" s="21"/>
      <c r="C8" s="6"/>
      <c r="D8" s="6"/>
      <c r="E8" s="6"/>
    </row>
    <row r="9" spans="1:10" x14ac:dyDescent="0.25">
      <c r="A9" t="s">
        <v>81</v>
      </c>
      <c r="B9" s="23"/>
      <c r="C9" s="6"/>
      <c r="D9" s="6"/>
    </row>
    <row r="10" spans="1:10" x14ac:dyDescent="0.25">
      <c r="A10" t="s">
        <v>82</v>
      </c>
      <c r="B10" s="22"/>
      <c r="C10" s="6"/>
      <c r="D10" s="6"/>
      <c r="E10" s="6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3"/>
      <c r="E13" s="3"/>
    </row>
    <row r="14" spans="1:10" x14ac:dyDescent="0.25">
      <c r="B14" s="3" t="s">
        <v>93</v>
      </c>
      <c r="C14" s="13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1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2"/>
    </row>
  </sheetData>
  <conditionalFormatting sqref="E4">
    <cfRule type="containsText" dxfId="38" priority="1" operator="containsText" text="Verbose">
      <formula>NOT(ISERROR(SEARCH("Verbose",E4)))</formula>
    </cfRule>
    <cfRule type="containsText" dxfId="37" priority="2" operator="containsText" text="Info">
      <formula>NOT(ISERROR(SEARCH("Info",E4)))</formula>
    </cfRule>
    <cfRule type="containsText" dxfId="36" priority="3" operator="containsText" text="Warning">
      <formula>NOT(ISERROR(SEARCH("Warning",E4)))</formula>
    </cfRule>
    <cfRule type="containsText" dxfId="35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204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MAX((TimeEntries[[#This Row],[End time]]-TimeEntries[[#This Row],[Start time]])*24,0)</f>
        <v>0</v>
      </c>
      <c r="J16" s="16"/>
      <c r="K16" s="3"/>
      <c r="L16" s="3">
        <f>SUM(TimeEntries[Time delta in h])</f>
        <v>0</v>
      </c>
      <c r="M16" s="17" t="e">
        <f>Tabelle7367[[#This Row],[EBS self time]]/Tabelle7367[[#This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1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1" t="s">
        <v>122</v>
      </c>
    </row>
    <row r="9" spans="1:2" x14ac:dyDescent="0.25">
      <c r="A9" s="7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1" t="s">
        <v>125</v>
      </c>
    </row>
    <row r="17" spans="1:3" x14ac:dyDescent="0.25">
      <c r="B17" t="s">
        <v>126</v>
      </c>
    </row>
    <row r="18" spans="1:3" x14ac:dyDescent="0.25">
      <c r="A18" s="11" t="s">
        <v>98</v>
      </c>
      <c r="B18" s="11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1" t="s">
        <v>57</v>
      </c>
    </row>
    <row r="24" spans="1:3" x14ac:dyDescent="0.25">
      <c r="B24" t="s">
        <v>58</v>
      </c>
    </row>
    <row r="25" spans="1:3" x14ac:dyDescent="0.25">
      <c r="A25" s="11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1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1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3"/>
      <c r="H15" s="53"/>
    </row>
    <row r="16" spans="5:8" x14ac:dyDescent="0.25">
      <c r="E16" s="15" t="s">
        <v>74</v>
      </c>
      <c r="F16" s="1" t="s">
        <v>37</v>
      </c>
      <c r="G16" s="53"/>
      <c r="H16" s="53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8" priority="1" operator="containsText" text="No">
      <formula>NOT(ISERROR(SEARCH("No",D1)))</formula>
    </cfRule>
    <cfRule type="containsText" dxfId="27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Planning</vt:lpstr>
      <vt:lpstr>t46A3D6C7717B95D76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2020-08-18T15:16:28Z</dcterms:modified>
  <cp:category/>
  <cp:contentStatus/>
</cp:coreProperties>
</file>