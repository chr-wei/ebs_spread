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33B28807-C5F6-4450-B927-9152D7A6C587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<sst xmlns="http://schemas.openxmlformats.org/spreadsheetml/2006/main" count="468" uniqueCount="363">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</sst>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466725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76200</xdr:rowOff>
        </xdr:from>
        <xdr:to>
          <xdr:col>9</xdr:col>
          <xdr:colOff>609600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333375</xdr:rowOff>
        </xdr:from>
        <xdr:to>
          <xdr:col>9</xdr:col>
          <xdr:colOff>609600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66675</xdr:rowOff>
        </xdr:from>
        <xdr:to>
          <xdr:col>11</xdr:col>
          <xdr:colOff>514350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11</xdr:col>
          <xdr:colOff>514350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466725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590550</xdr:rowOff>
        </xdr:from>
        <xdr:to>
          <xdr:col>9</xdr:col>
          <xdr:colOff>609600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676275</xdr:colOff>
          <xdr:row>0</xdr:row>
          <xdr:rowOff>590550</xdr:rowOff>
        </xdr:from>
        <xdr:to>
          <xdr:col>11</xdr:col>
          <xdr:colOff>523875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7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6" dataCellStyle="Standard"/>
    <tableColumn id="3" xr3:uid="{3AD21368-826B-4507-A159-BE8BE5B02C1F}" name="Now?" dataDxfId="35" dataCellStyle="Spaltenebene_1"/>
    <tableColumn id="2" xr3:uid="{C139B307-7150-4838-B1FD-482AAB7B1208}" name="Task name" dataDxfId="34" dataCellStyle="Link"/>
    <tableColumn id="13" xr3:uid="{500C3031-A1C8-4FCF-AE88-FB2DB0E81277}" name="#1" dataDxfId="33" dataCellStyle="Link"/>
    <tableColumn id="18" xr3:uid="{3B298737-E571-4F23-9C71-2BC3C2385355}" name="Comment" dataDxfId="32" dataCellStyle="Link"/>
    <tableColumn id="7" xr3:uid="{5DC94B1C-A20E-47F8-8963-B0674A9C27B4}" name="#2" dataDxfId="31" dataCellStyle="Link"/>
    <tableColumn id="4" xr3:uid="{E2EAEAF6-33EC-4D8C-B42E-C249C36E3D3C}" name="%Tag 1" dataDxfId="30" dataCellStyle="Standard"/>
    <tableColumn id="5" xr3:uid="{1E4EAD98-8B30-4F09-AA64-D7613D00651F}" name="%Tag 2" dataDxfId="29" dataCellStyle="Standard"/>
    <tableColumn id="6" xr3:uid="{9E1E50BB-6DA2-47A1-BB20-8C9FAC4B0DB5}" name="%Tag 3" dataDxfId="28" dataCellStyle="Standard"/>
    <tableColumn id="10" xr3:uid="{85CEF83B-6217-49AE-8974-E4D5953E2637}" name="Kanban list" dataDxfId="27" dataCellStyle="Standard"/>
    <tableColumn id="11" xr3:uid="{E542542F-D34F-488A-95AF-76A724785E5A}" name="User time estimate" dataDxfId="26" dataCellStyle="Standard"/>
    <tableColumn id="12" xr3:uid="{7DA005F8-D924-4031-B65E-6C6F60E3212D}" name="Total time" dataDxfId="25" dataCellStyle="Standard"/>
    <tableColumn id="16" xr3:uid="{209AEE68-BDAE-4E8C-BCF6-6EEA4F9A7FDE}" name="Finished on" dataDxfId="24" dataCellStyle="Standard"/>
    <tableColumn id="8" xr3:uid="{727785B7-29B9-493D-A20B-C319B38E1DF3}" name="EBS 50% time" dataDxfId="23" dataCellStyle="Standard"/>
    <tableColumn id="9" xr3:uid="{B12BA9B8-3C81-408C-AFE4-25993FD8491D}" name="EBS 80% date" dataDxfId="22" dataCellStyle="Standard"/>
    <tableColumn id="20" xr3:uid="{DAE27A09-2EB0-4A47-A9F0-48ED802D8570}" name="Due date" dataDxfId="21" dataCellStyle="Spaltenebene_1"/>
    <tableColumn id="19" xr3:uid="{7A8CB495-6AE9-4A1E-AC5B-8B6487C84135}" name="Contributor" dataDxfId="20" dataCellStyle="Standard"/>
    <tableColumn id="17" xr3:uid="{EF767A93-0B38-4A66-A27B-92321C0E655C}" name="Priority" dataDxfId="19" dataCellStyle="Standard"/>
    <tableColumn id="15" xr3:uid="{2ADBC76B-EB88-4BCD-8956-7B4B22C5A3D4}" name="tHASH" dataDxfId="18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60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59"/>
    <tableColumn id="4" xr3:uid="{0CC6CE61-D75E-4E04-95B6-25C32F936B86}" name="User time estimate" dataDxfId="58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7" dataDxfId="55" headerRowBorderDxfId="56">
  <autoFilter ref="A8:D10" xr:uid="{8E9EC0C1-7901-48B6-A59A-1CE6ABEE7A55}"/>
  <tableColumns count="4">
    <tableColumn id="1" xr3:uid="{58BB2187-C79D-4A1A-A9A3-DA2F074C476C}" name="Split entry no." dataDxfId="54"/>
    <tableColumn id="2" xr3:uid="{A755482D-FFF4-43D8-8021-1956CE3A7021}" name="Split start" dataDxfId="53"/>
    <tableColumn id="3" xr3:uid="{FE0A0B8D-1F8A-4CEC-9FB3-C945A45F99BF}" name="Split end" dataDxfId="52"/>
    <tableColumn id="4" xr3:uid="{5443222D-0CE3-4625-9EDB-D13B87B6C388}" name="Time spent" dataDxfId="51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0" dataCellStyle="Link"/>
    <tableColumn id="9" xr3:uid="{0037D127-E2BA-445A-BC63-1395BA3AC441}" name="Calendar ID" dataDxfId="49" dataCellStyle="Link"/>
    <tableColumn id="10" xr3:uid="{37CA3B7B-8FF0-4042-97C6-E23A79A74325}" name="Store ID"/>
    <tableColumn id="6" xr3:uid="{044D8005-25C5-4D31-940A-B6DE4C6B0EA5}" name="WorkingDays" dataDxfId="48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7"/>
    <tableColumn id="8" xr3:uid="{1177B0FB-46B2-406D-B988-C64E0ABA6972}" name="AppointmentOffsetHours" dataDxfId="46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5"/>
    <tableColumn id="3" xr3:uid="{78DABF02-3853-48FF-81AD-5801C74BED1B}" name="End time" dataDxfId="44"/>
    <tableColumn id="4" xr3:uid="{76C994F9-216A-4848-9FB6-16BAF8B0EEEA}" name="Time delta in h" dataDxfId="43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2"/>
    <tableColumn id="3" xr3:uid="{A62B365F-400F-45A4-B789-FE7B5FDBD312}" name="EBS self time" dataDxfId="41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0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9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8"/>
    <tableColumn id="4" xr3:uid="{F9EDA55E-5206-49A7-A846-6A0B14C04CAF}" name="User time estimate" dataDxfId="37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11"/>
  <sheetViews>
    <sheetView tabSelected="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7" customWidth="1" outlineLevel="1"/>
    <col min="2" max="2" width="8.42578125" style="38" bestFit="1" customWidth="1"/>
    <col min="3" max="3" width="32.140625" style="10" customWidth="1"/>
    <col min="4" max="4" width="4" style="10" customWidth="1"/>
    <col min="5" max="5" width="18.5703125" style="10" customWidth="1"/>
    <col min="6" max="6" width="4" style="10" customWidth="1"/>
    <col min="7" max="7" width="10" customWidth="1"/>
    <col min="8" max="9" width="10" style="8" customWidth="1"/>
    <col min="10" max="10" width="13" style="8" bestFit="1" customWidth="1"/>
    <col min="11" max="11" width="20.42578125" style="11" bestFit="1" customWidth="1"/>
    <col min="12" max="12" width="12.28515625" style="11" bestFit="1" customWidth="1"/>
    <col min="13" max="13" width="15.7109375" style="7" customWidth="1" outlineLevel="1"/>
    <col min="14" max="14" width="15" style="11" customWidth="1" outlineLevel="1"/>
    <col min="15" max="15" width="15.7109375" style="11" customWidth="1" outlineLevel="1"/>
    <col min="16" max="16" width="15.7109375" style="38" customWidth="1"/>
    <col min="17" max="17" width="13.5703125" hidden="1" customWidth="1" outlineLevel="1"/>
    <col min="18" max="18" width="11.42578125" hidden="1" customWidth="1" outlineLevel="1"/>
    <col min="19" max="19" width="20.28515625" style="7" hidden="1" customWidth="1" outlineLevel="1"/>
    <col min="20" max="20" width="15.7109375" style="38" customWidth="1" collapsed="1"/>
    <col min="21" max="21" width="9.85546875" customWidth="1"/>
    <col min="22" max="22" width="15.85546875" customWidth="1"/>
    <col min="23" max="23" width="3.7109375" style="4" customWidth="1"/>
  </cols>
  <sheetData>
    <row r="1" spans="1:23" ht="65.25" customHeight="1" x14ac:dyDescent="0.25">
      <c r="A1" s="4"/>
      <c r="C1" s="9"/>
      <c r="D1" s="9"/>
      <c r="E1" s="9"/>
      <c r="F1" s="9"/>
      <c r="G1" s="19"/>
      <c r="H1" s="19"/>
      <c r="I1" s="19"/>
      <c r="J1" s="11"/>
      <c r="M1" s="4"/>
      <c r="Q1" s="4"/>
      <c r="R1" s="4"/>
      <c r="S1"/>
      <c r="W1"/>
    </row>
    <row r="2" spans="1:23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37" t="s">
        <v>76</v>
      </c>
      <c r="O2" s="37" t="s">
        <v>76</v>
      </c>
      <c r="Q2" s="9"/>
      <c r="R2" s="9"/>
      <c r="S2" s="9"/>
      <c r="W2"/>
    </row>
    <row r="3" spans="1:23" s="43" customFormat="1" x14ac:dyDescent="0.25">
      <c r="A3" s="44" t="s">
        <v>11</v>
      </c>
      <c r="B3" s="42" t="s">
        <v>139</v>
      </c>
      <c r="C3" s="45" t="s">
        <v>3</v>
      </c>
      <c r="D3" s="45" t="s">
        <v>147</v>
      </c>
      <c r="E3" s="45" t="s">
        <v>2</v>
      </c>
      <c r="F3" s="45" t="s">
        <v>148</v>
      </c>
      <c r="G3" s="46" t="s">
        <v>21</v>
      </c>
      <c r="H3" s="46" t="s">
        <v>22</v>
      </c>
      <c r="I3" s="46" t="s">
        <v>23</v>
      </c>
      <c r="J3" s="47" t="s">
        <v>1</v>
      </c>
      <c r="K3" s="47" t="s">
        <v>77</v>
      </c>
      <c r="L3" s="48" t="s">
        <v>71</v>
      </c>
      <c r="M3" t="s">
        <v>15</v>
      </c>
      <c r="N3" s="8" t="s">
        <v>81</v>
      </c>
      <c r="O3" s="8" t="s">
        <v>265</v>
      </c>
      <c r="P3" s="42" t="s">
        <v>13</v>
      </c>
      <c r="Q3" s="7" t="s">
        <v>14</v>
      </c>
      <c r="R3" t="s">
        <v>12</v>
      </c>
      <c r="S3" t="s">
        <v>46</v>
      </c>
      <c r="T3" s="42"/>
    </row>
    <row r="4" spans="1:23" s="52" customFormat="1" ht="21" customHeight="1" x14ac:dyDescent="0.25">
      <c r="A4" s="50"/>
      <c r="B4" s="54"/>
      <c r="C4" s="49"/>
      <c r="D4" s="49"/>
      <c r="E4" s="49"/>
      <c r="F4" s="49"/>
      <c r="G4" s="50"/>
      <c r="H4" s="50"/>
      <c r="I4" s="50"/>
      <c r="J4" s="50"/>
      <c r="K4" s="55"/>
      <c r="L4" s="55"/>
      <c r="M4" s="50"/>
      <c r="N4" s="50"/>
      <c r="O4" s="50"/>
      <c r="P4" s="56"/>
      <c r="Q4" s="50"/>
      <c r="R4" s="50"/>
      <c r="S4" s="50"/>
      <c r="T4" s="51"/>
    </row>
    <row r="5" spans="1:23" s="52" customFormat="1" ht="21" customHeight="1" x14ac:dyDescent="0.25">
      <c r="A5" s="39"/>
      <c r="B5" s="35"/>
      <c r="C5" s="23"/>
      <c r="D5" s="23"/>
      <c r="E5" s="23"/>
      <c r="F5" s="23"/>
      <c r="G5" s="24"/>
      <c r="H5" s="39"/>
      <c r="I5" s="39"/>
      <c r="J5" s="39"/>
      <c r="K5" s="40"/>
      <c r="L5" s="39"/>
      <c r="M5" s="39"/>
      <c r="N5" s="39"/>
      <c r="O5" s="39"/>
      <c r="P5" s="36"/>
      <c r="Q5" s="39"/>
      <c r="R5" s="39"/>
      <c r="S5" s="39"/>
      <c r="T5" s="51"/>
      <c r="W5" s="53"/>
    </row>
    <row r="6" spans="1:23" ht="21" customHeight="1" x14ac:dyDescent="0.25">
      <c r="A6" s="24"/>
      <c r="B6" s="35"/>
      <c r="C6" s="23"/>
      <c r="D6" s="23"/>
      <c r="E6" s="23" t="s">
        <v>111</v>
      </c>
      <c r="F6" s="23"/>
      <c r="H6" s="24"/>
      <c r="I6" s="24"/>
      <c r="J6" s="24"/>
      <c r="K6" s="24"/>
      <c r="L6" s="25"/>
      <c r="M6" s="24"/>
      <c r="N6" s="25"/>
      <c r="O6" s="25"/>
      <c r="P6" s="36"/>
      <c r="S6" s="24"/>
    </row>
    <row r="7" spans="1:23" ht="21" customHeight="1" x14ac:dyDescent="0.25"/>
    <row r="11" spans="1:23" x14ac:dyDescent="0.25">
      <c r="C11" s="12"/>
      <c r="D11" s="12"/>
    </row>
  </sheetData>
  <dataConsolidate/>
  <conditionalFormatting sqref="B4">
    <cfRule type="containsText" dxfId="16" priority="10" operator="containsText" text="&lt;now&gt;">
      <formula>NOT(ISERROR(SEARCH("&lt;now&gt;",B4)))</formula>
    </cfRule>
  </conditionalFormatting>
  <conditionalFormatting sqref="J4">
    <cfRule type="containsText" dxfId="15" priority="1" operator="containsText" text="Continuous">
      <formula>NOT(ISERROR(SEARCH("Continuous",J4)))</formula>
    </cfRule>
    <cfRule type="containsText" dxfId="14" priority="2" operator="containsText" text="Meta">
      <formula>NOT(ISERROR(SEARCH("Meta",J4)))</formula>
    </cfRule>
    <cfRule type="containsText" dxfId="13" priority="3" operator="containsText" text="Testing/Review">
      <formula>NOT(ISERROR(SEARCH("Testing/Review",J4)))</formula>
    </cfRule>
    <cfRule type="containsText" dxfId="12" priority="5" operator="containsText" text="Note">
      <formula>NOT(ISERROR(SEARCH("Note",J4)))</formula>
    </cfRule>
    <cfRule type="containsText" dxfId="11" priority="11" operator="containsText" text="Done">
      <formula>NOT(ISERROR(SEARCH("Done",J4)))</formula>
    </cfRule>
    <cfRule type="containsText" dxfId="10" priority="12" operator="containsText" text="In progress">
      <formula>NOT(ISERROR(SEARCH("In progress",J4)))</formula>
    </cfRule>
    <cfRule type="containsText" dxfId="9" priority="13" operator="containsText" text="To do">
      <formula>NOT(ISERROR(SEARCH("To do",J4)))</formula>
    </cfRule>
  </conditionalFormatting>
  <conditionalFormatting sqref="P4">
    <cfRule type="cellIs" dxfId="8" priority="4" operator="lessThan">
      <formula>TODAY()</formula>
    </cfRule>
  </conditionalFormatting>
  <conditionalFormatting sqref="R4">
    <cfRule type="colorScale" priority="4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C6E6791C-E3C9-4BEB-8CE0-6E8EF467F1FC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4611D097-EE2C-4704-9E64-2F5B7215DF87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BEAA4A92-43FD-491D-AAC0-6A9C9676E753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17730080-25C1-474B-8B99-6FAA51C6FFC3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466725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504825</xdr:colOff>
                    <xdr:row>0</xdr:row>
                    <xdr:rowOff>76200</xdr:rowOff>
                  </from>
                  <to>
                    <xdr:col>9</xdr:col>
                    <xdr:colOff>609600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504825</xdr:colOff>
                    <xdr:row>0</xdr:row>
                    <xdr:rowOff>333375</xdr:rowOff>
                  </from>
                  <to>
                    <xdr:col>9</xdr:col>
                    <xdr:colOff>609600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666750</xdr:colOff>
                    <xdr:row>0</xdr:row>
                    <xdr:rowOff>66675</xdr:rowOff>
                  </from>
                  <to>
                    <xdr:col>11</xdr:col>
                    <xdr:colOff>514350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666750</xdr:colOff>
                    <xdr:row>0</xdr:row>
                    <xdr:rowOff>333375</xdr:rowOff>
                  </from>
                  <to>
                    <xdr:col>11</xdr:col>
                    <xdr:colOff>514350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466725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504825</xdr:colOff>
                    <xdr:row>0</xdr:row>
                    <xdr:rowOff>590550</xdr:rowOff>
                  </from>
                  <to>
                    <xdr:col>9</xdr:col>
                    <xdr:colOff>609600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9</xdr:col>
                    <xdr:colOff>676275</xdr:colOff>
                    <xdr:row>0</xdr:row>
                    <xdr:rowOff>590550</xdr:rowOff>
                  </from>
                  <to>
                    <xdr:col>11</xdr:col>
                    <xdr:colOff>523875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8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3">
        <v>8.8888888712972403E-3</v>
      </c>
      <c r="N19" s="3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8"/>
      <c r="J20" t="s">
        <v>130</v>
      </c>
      <c r="K20" t="s">
        <v>258</v>
      </c>
      <c r="L20">
        <v>6</v>
      </c>
      <c r="M20" s="3">
        <v>1.5</v>
      </c>
      <c r="N20" s="3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8"/>
      <c r="J21" t="s">
        <v>238</v>
      </c>
      <c r="K21" t="s">
        <v>257</v>
      </c>
      <c r="L21">
        <v>7</v>
      </c>
      <c r="M21" s="3">
        <v>7.7519444446661501</v>
      </c>
      <c r="N21" s="3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8"/>
      <c r="J22" t="s">
        <v>237</v>
      </c>
      <c r="K22" t="s">
        <v>256</v>
      </c>
      <c r="L22">
        <v>9</v>
      </c>
      <c r="M22" s="3">
        <v>18.9572222228744</v>
      </c>
      <c r="N22" s="3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8"/>
      <c r="J23" t="s">
        <v>236</v>
      </c>
      <c r="K23" t="s">
        <v>255</v>
      </c>
      <c r="L23">
        <v>10</v>
      </c>
      <c r="M23" s="3">
        <v>1.7508333332953001</v>
      </c>
      <c r="N23" s="3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8"/>
      <c r="J24" t="s">
        <v>235</v>
      </c>
      <c r="K24" t="s">
        <v>254</v>
      </c>
      <c r="L24">
        <v>12</v>
      </c>
      <c r="M24" s="3">
        <v>8.9955555555643496</v>
      </c>
      <c r="N24" s="3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8"/>
      <c r="J25" t="s">
        <v>234</v>
      </c>
      <c r="K25" t="s">
        <v>253</v>
      </c>
      <c r="L25">
        <v>13</v>
      </c>
      <c r="M25" s="3">
        <v>18.9572222228744</v>
      </c>
      <c r="N25" s="3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8"/>
      <c r="J26" t="s">
        <v>233</v>
      </c>
      <c r="K26" t="s">
        <v>246</v>
      </c>
      <c r="L26">
        <v>20</v>
      </c>
      <c r="M26" s="3">
        <v>0</v>
      </c>
      <c r="N26" s="3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8"/>
      <c r="J27" t="s">
        <v>232</v>
      </c>
      <c r="K27" t="s">
        <v>251</v>
      </c>
      <c r="L27">
        <v>24</v>
      </c>
      <c r="M27" s="3">
        <v>0</v>
      </c>
      <c r="N27" s="3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8"/>
      <c r="J28" t="s">
        <v>231</v>
      </c>
      <c r="K28" t="s">
        <v>252</v>
      </c>
      <c r="L28">
        <v>27</v>
      </c>
      <c r="M28" s="3">
        <v>0</v>
      </c>
      <c r="N28" s="3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8"/>
      <c r="J29" t="s">
        <v>230</v>
      </c>
      <c r="K29" t="s">
        <v>260</v>
      </c>
      <c r="L29">
        <v>30</v>
      </c>
      <c r="M29" s="3">
        <v>0</v>
      </c>
      <c r="N29" s="3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8"/>
      <c r="J30" t="s">
        <v>229</v>
      </c>
      <c r="K30" t="s">
        <v>250</v>
      </c>
      <c r="L30">
        <v>33</v>
      </c>
      <c r="M30" s="3">
        <v>0.53666666656499695</v>
      </c>
      <c r="N30" s="3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8"/>
      <c r="J31" t="s">
        <v>228</v>
      </c>
      <c r="K31" t="s">
        <v>249</v>
      </c>
      <c r="L31">
        <v>35</v>
      </c>
      <c r="M31" s="3">
        <v>0.74999999982537702</v>
      </c>
      <c r="N31" s="3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8"/>
      <c r="J32" t="s">
        <v>227</v>
      </c>
      <c r="K32" t="s">
        <v>248</v>
      </c>
      <c r="L32">
        <v>38</v>
      </c>
      <c r="M32" s="3">
        <v>0.77611111110309094</v>
      </c>
      <c r="N32" s="3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8"/>
      <c r="J33" t="s">
        <v>226</v>
      </c>
      <c r="K33" t="s">
        <v>247</v>
      </c>
      <c r="L33">
        <v>39</v>
      </c>
      <c r="M33" s="3">
        <v>0</v>
      </c>
      <c r="N33" s="3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8"/>
      <c r="J34" t="s">
        <v>225</v>
      </c>
      <c r="K34" t="s">
        <v>245</v>
      </c>
      <c r="L34">
        <v>40</v>
      </c>
      <c r="M34" s="3">
        <v>2.4999999997671698</v>
      </c>
      <c r="N34" s="3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8"/>
      <c r="J35" t="s">
        <v>224</v>
      </c>
      <c r="K35" t="s">
        <v>244</v>
      </c>
      <c r="L35">
        <v>42</v>
      </c>
      <c r="M35" s="3">
        <v>5.0286111110472103</v>
      </c>
      <c r="N35" s="3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8"/>
      <c r="J36" t="s">
        <v>223</v>
      </c>
      <c r="K36" t="s">
        <v>243</v>
      </c>
      <c r="L36">
        <v>43</v>
      </c>
      <c r="M36" s="3">
        <v>1.0922222222434399</v>
      </c>
      <c r="N36" s="3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8"/>
      <c r="J37" t="s">
        <v>222</v>
      </c>
      <c r="K37" t="s">
        <v>242</v>
      </c>
      <c r="L37">
        <v>45</v>
      </c>
      <c r="M37" s="3">
        <v>0.250277777784504</v>
      </c>
      <c r="N37" s="3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8"/>
      <c r="J38" t="s">
        <v>221</v>
      </c>
      <c r="K38" t="s">
        <v>241</v>
      </c>
      <c r="L38">
        <v>47</v>
      </c>
      <c r="M38" s="3">
        <v>0.50027777790091899</v>
      </c>
      <c r="N38" s="3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8"/>
      <c r="J39" t="s">
        <v>220</v>
      </c>
      <c r="K39" t="s">
        <v>240</v>
      </c>
      <c r="L39">
        <v>48</v>
      </c>
      <c r="M39" s="3">
        <v>0</v>
      </c>
      <c r="N39" s="3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8"/>
      <c r="J40" t="s">
        <v>219</v>
      </c>
      <c r="K40" t="s">
        <v>239</v>
      </c>
      <c r="L40">
        <v>49</v>
      </c>
      <c r="M40" s="3">
        <v>3.9072222224785902</v>
      </c>
      <c r="N40" s="3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8"/>
      <c r="M41" s="3"/>
      <c r="N41" s="3"/>
    </row>
    <row r="42" spans="2:20" x14ac:dyDescent="0.25">
      <c r="B42" s="18"/>
      <c r="M42" s="3"/>
      <c r="N42" s="3"/>
    </row>
    <row r="43" spans="2:20" x14ac:dyDescent="0.25">
      <c r="B43" s="18"/>
      <c r="M43" s="3"/>
      <c r="N43" s="3"/>
    </row>
    <row r="44" spans="2:20" x14ac:dyDescent="0.25">
      <c r="M44" s="3"/>
      <c r="N44" s="3"/>
    </row>
    <row r="46" spans="2:20" x14ac:dyDescent="0.25">
      <c r="B46" s="18"/>
    </row>
    <row r="47" spans="2:20" x14ac:dyDescent="0.25">
      <c r="B47" s="18"/>
    </row>
    <row r="48" spans="2:20" x14ac:dyDescent="0.25">
      <c r="B48" s="18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103</v>
      </c>
    </row>
    <row r="2" spans="1:4" x14ac:dyDescent="0.25">
      <c r="A2" s="11"/>
    </row>
    <row r="3" spans="1:4" x14ac:dyDescent="0.25">
      <c r="A3" t="s">
        <v>104</v>
      </c>
      <c r="B3" s="30">
        <v>44072</v>
      </c>
      <c r="C3" s="28"/>
      <c r="D3" s="28"/>
    </row>
    <row r="4" spans="1:4" x14ac:dyDescent="0.25">
      <c r="A4" t="s">
        <v>105</v>
      </c>
      <c r="B4" s="30">
        <v>44073</v>
      </c>
      <c r="C4" s="28"/>
      <c r="D4" s="28"/>
    </row>
    <row r="5" spans="1:4" x14ac:dyDescent="0.25">
      <c r="A5" t="s">
        <v>106</v>
      </c>
      <c r="B5" s="27" t="s">
        <v>131</v>
      </c>
      <c r="C5" s="28"/>
      <c r="D5" s="28"/>
    </row>
    <row r="6" spans="1:4" ht="27" customHeight="1" x14ac:dyDescent="0.25"/>
    <row r="8" spans="1:4" ht="15.75" thickBot="1" x14ac:dyDescent="0.3">
      <c r="A8" s="29" t="s">
        <v>108</v>
      </c>
      <c r="B8" s="29" t="s">
        <v>102</v>
      </c>
      <c r="C8" s="34" t="s">
        <v>101</v>
      </c>
      <c r="D8" s="29" t="s">
        <v>107</v>
      </c>
    </row>
    <row r="9" spans="1:4" x14ac:dyDescent="0.25">
      <c r="A9" s="31" t="s">
        <v>129</v>
      </c>
      <c r="B9" s="32">
        <v>44072</v>
      </c>
      <c r="C9" s="32">
        <v>44073</v>
      </c>
      <c r="D9" s="33">
        <v>5.5555568542331501E-4</v>
      </c>
    </row>
    <row r="10" spans="1:4" x14ac:dyDescent="0.25">
      <c r="A10" s="31" t="s">
        <v>130</v>
      </c>
      <c r="B10" s="32">
        <v>44073</v>
      </c>
      <c r="C10" s="32">
        <v>44073</v>
      </c>
      <c r="D10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6" t="s">
        <v>100</v>
      </c>
    </row>
    <row r="3" spans="1:10" x14ac:dyDescent="0.25">
      <c r="A3" t="s">
        <v>14</v>
      </c>
      <c r="B3" s="3" t="s">
        <v>60</v>
      </c>
      <c r="C3" s="3" t="s">
        <v>86</v>
      </c>
      <c r="D3" s="3" t="s">
        <v>87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127</v>
      </c>
      <c r="C4" t="s">
        <v>125</v>
      </c>
      <c r="D4" t="s">
        <v>126</v>
      </c>
      <c r="E4" s="14" t="s">
        <v>82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110</v>
      </c>
      <c r="B6" s="20" t="s">
        <v>109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78</v>
      </c>
      <c r="B8" s="20"/>
      <c r="C8" s="6"/>
      <c r="D8" s="6"/>
      <c r="E8" s="6"/>
    </row>
    <row r="9" spans="1:10" x14ac:dyDescent="0.25">
      <c r="A9" t="s">
        <v>79</v>
      </c>
      <c r="B9" s="22"/>
      <c r="C9" s="6"/>
      <c r="D9" s="6"/>
    </row>
    <row r="10" spans="1:10" x14ac:dyDescent="0.25">
      <c r="A10" t="s">
        <v>80</v>
      </c>
      <c r="B10" s="21"/>
      <c r="C10" s="6"/>
      <c r="D10" s="6"/>
      <c r="E10" s="6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3"/>
      <c r="E13" s="3"/>
    </row>
    <row r="14" spans="1:10" x14ac:dyDescent="0.25">
      <c r="B14" s="3" t="s">
        <v>90</v>
      </c>
      <c r="C14" s="13" t="s">
        <v>127</v>
      </c>
    </row>
    <row r="17" spans="1:2" x14ac:dyDescent="0.25">
      <c r="A17" t="s">
        <v>83</v>
      </c>
    </row>
    <row r="19" spans="1:2" x14ac:dyDescent="0.25">
      <c r="A19" s="11" t="s">
        <v>144</v>
      </c>
    </row>
    <row r="20" spans="1:2" x14ac:dyDescent="0.25">
      <c r="A20" s="11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20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3" t="s">
        <v>92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92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6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6" t="s">
        <v>68</v>
      </c>
      <c r="K16" s="3" t="s">
        <v>69</v>
      </c>
      <c r="L16" t="s">
        <v>71</v>
      </c>
      <c r="M16" t="s">
        <v>72</v>
      </c>
    </row>
    <row r="17" spans="2:13" x14ac:dyDescent="0.25">
      <c r="B17" s="2"/>
      <c r="C17" s="2"/>
      <c r="D17" s="3">
        <f>MAX((TimeEntries[[#This Row],[End time]]-TimeEntries[[#This Row],[Start time]])*24,0)</f>
        <v>0</v>
      </c>
      <c r="J17" s="16"/>
      <c r="K17" s="3"/>
      <c r="L17" s="3">
        <f>SUM(TimeEntries[Time delta in h])</f>
        <v>0</v>
      </c>
      <c r="M17" s="17" t="e">
        <f>Tabelle7367[[#This Row],[EBS self time]]/Tabelle7367[[#This Row],[Total time]]</f>
        <v>#DIV/0!</v>
      </c>
    </row>
    <row r="18" spans="2:13" x14ac:dyDescent="0.25">
      <c r="B18" s="2"/>
      <c r="C18" s="2"/>
      <c r="D18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118</v>
      </c>
    </row>
    <row r="9" spans="1:2" x14ac:dyDescent="0.25">
      <c r="A9" s="7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1" t="s">
        <v>121</v>
      </c>
    </row>
    <row r="17" spans="1:3" x14ac:dyDescent="0.25">
      <c r="B17" t="s">
        <v>122</v>
      </c>
    </row>
    <row r="18" spans="1:3" x14ac:dyDescent="0.25">
      <c r="A18" s="11" t="s">
        <v>95</v>
      </c>
      <c r="B18" s="11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1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2020-09-01T11:19:56Z</dcterms:modified>
  <cp:category/>
  <cp:contentStatus/>
</cp:coreProperties>
</file>