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3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tables/table18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9.xml" ContentType="application/vnd.openxmlformats-officedocument.spreadsheetml.table+xml"/>
  <Override PartName="/xl/drawings/drawing6.xml" ContentType="application/vnd.openxmlformats-officedocument.drawing+xml"/>
  <Override PartName="/xl/ctrlProps/ctrlProp18.xml" ContentType="application/vnd.ms-excel.controlproperties+xml"/>
  <Override PartName="/xl/tables/table20.xml" ContentType="application/vnd.openxmlformats-officedocument.spreadsheetml.table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C00F6A42-C229-424E-8E1B-A7100CCB406A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VSHEET_STOR_5FA28F" sheetId="1477" r:id="rId1"/>
    <sheet name="Planning" sheetId="1" r:id="rId2"/>
    <sheet name="Tabelle1" sheetId="1479" r:id="rId3"/>
    <sheet name="t4358A3ABA60DD936B" sheetId="1478" state="hidden" r:id="rId4"/>
    <sheet name="EbsSheet (Me)" sheetId="1405" r:id="rId5"/>
    <sheet name="Analysis" sheetId="1004" r:id="rId6"/>
    <sheet name="Settings" sheetId="418" r:id="rId7"/>
    <sheet name="Messages" sheetId="1390" r:id="rId8"/>
    <sheet name="Task sheet template" sheetId="5" r:id="rId9"/>
    <sheet name="Version info" sheetId="3" r:id="rId10"/>
    <sheet name="EbsSheet template" sheetId="440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1478" l="1"/>
  <c r="B4" i="1478" s="1"/>
  <c r="D93" i="1477"/>
  <c r="B81" i="1477" s="1"/>
  <c r="D74" i="1477"/>
  <c r="B62" i="1477" s="1"/>
  <c r="B69" i="1477"/>
  <c r="D55" i="1477"/>
  <c r="B43" i="1477" s="1"/>
  <c r="B50" i="1477"/>
  <c r="D36" i="1477"/>
  <c r="B24" i="1477" s="1"/>
  <c r="B31" i="1477"/>
  <c r="D17" i="1477"/>
  <c r="B5" i="1477" s="1"/>
  <c r="B11" i="1478" l="1"/>
  <c r="L16" i="1478"/>
  <c r="M16" i="1478" s="1"/>
  <c r="B88" i="1477"/>
  <c r="L93" i="1477"/>
  <c r="M93" i="1477" s="1"/>
  <c r="L74" i="1477"/>
  <c r="M74" i="1477" s="1"/>
  <c r="L55" i="1477"/>
  <c r="M55" i="1477" s="1"/>
  <c r="L36" i="1477"/>
  <c r="M36" i="1477" s="1"/>
  <c r="B12" i="1477"/>
  <c r="L17" i="1477"/>
  <c r="M17" i="1477" s="1"/>
  <c r="D16" i="5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<sst xmlns="http://schemas.openxmlformats.org/spreadsheetml/2006/main" count="575" uniqueCount="219">
  <si>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</si>
  <si>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</si>
  <si>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</si>
  <si>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</si>
  <si>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</si>
  <si>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</si>
  <si>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</si>
  <si>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</si>
  <si>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</si>
  <si>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</si>
  <si>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</si>
  <si>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</si>
  <si>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</si>
  <si>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</si>
  <si>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</si>
  <si>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</si>
  <si>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</si>
  <si>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</si>
  <si>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</si>
  <si>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</si>
  <si>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</si>
  <si>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</si>
  <si>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</si>
  <si>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</si>
  <si>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</si>
  <si>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</si>
  <si>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</si>
  <si>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</si>
  <si>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</si>
  <si>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</si>
  <si>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</si>
  <si>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</si>
  <si>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</si>
  <si>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</si>
  <si>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</si>
  <si>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</si>
  <si>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</si>
  <si>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</si>
  <si>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</si>
  <si>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</si>
  <si>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</si>
  <si>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</si>
  <si>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</si>
  <si>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</si>
  <si>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</si>
  <si>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</si>
  <si>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</si>
  <si>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</si>
  <si>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</si>
  <si>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</si>
  <si>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</si>
  <si>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</si>
  <si>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</si>
  <si>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</si>
  <si>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</si>
  <si>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</si>
  <si>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</si>
  <si>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</si>
  <si>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</si>
  <si>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</si>
  <si>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</si>
  <si>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</si>
  <si>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</si>
  <si>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</si>
  <si>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</si>
  <si>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</si>
  <si>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</si>
  <si>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</si>
  <si>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</si>
  <si>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</si>
  <si>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</si>
  <si>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</si>
  <si>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</si>
  <si>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</si>
  <si>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</si>
  <si>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</si>
  <si>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</si>
  <si>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</si>
  <si>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</si>
  <si>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</si>
  <si>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</si>
  <si>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</si>
  <si>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</si>
  <si>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</si>
  <si>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</si>
  <si>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</si>
  <si>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</si>
  <si>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</si>
  <si>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</si>
  <si>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</si>
  <si>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</si>
  <si>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</si>
  <si>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</si>
  <si>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</si>
  <si>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</si>
  <si>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</si>
  <si>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</si>
  <si>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</si>
  <si>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</si>
  <si>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</si>
  <si>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</si>
  <si>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</si>
  <si>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</si>
  <si>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</si>
  <si>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</si>
  <si>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</si>
  <si>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</si>
  <si>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</si>
  <si>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</si>
  <si>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</si>
  <si>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</si>
  <si>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</si>
  <si>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</si>
  <si>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</si>
  <si>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</si>
  <si>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</si>
  <si>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</si>
  <si>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</si>
  <si>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</si>
  <si>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</si>
  <si>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</si>
  <si>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</si>
  <si>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</si>
  <si>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</si>
  <si>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</si>
  <si>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</si>
  <si>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</si>
  <si>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</si>
  <si>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</si>
  <si>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</si>
  <si>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</si>
  <si>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</si>
  <si>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</si>
  <si>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</si>
  <si>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</si>
  <si>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</si>
  <si>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</si>
  <si>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</si>
  <si>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</si>
  <si>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</si>
  <si>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</si>
  <si>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</si>
  <si>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</si>
  <si>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</si>
  <si>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tAAF8231FB67247C24</t>
  </si>
  <si>
    <t>t542BC5542C608ACDC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</si>
  <si>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</si>
  <si>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</si>
  <si>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</si>
  <si>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</si>
  <si>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</si>
  <si>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</si>
  <si>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</si>
  <si>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</si>
  <si>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</si>
  <si>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</si>
  <si>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</si>
  <si>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</si>
  <si>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</si>
  <si>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</si>
  <si>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</si>
  <si>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</si>
  <si>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</si>
  <si>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</si>
  <si>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</si>
  <si>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</si>
  <si>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</si>
  <si>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</si>
  <si>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</si>
  <si>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</si>
  <si>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</si>
  <si>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</si>
  <si>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</si>
  <si>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</si>
  <si>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</si>
  <si>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</si>
  <si>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</si>
  <si>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</si>
  <si>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</si>
  <si>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</si>
  <si>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</si>
  <si>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</si>
  <si>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</si>
  <si>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</si>
  <si>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</si>
  <si>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</si>
  <si>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</si>
  <si>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</si>
  <si>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</si>
  <si>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</si>
  <si>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</si>
  <si>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</si>
  <si>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</si>
  <si>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</si>
  <si>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{1,677;3,452;3,563;5,499;7,700;8,571;11,243}</t>
  </si>
  <si>
    <t>{11/05/2020 09:40:39;11/05/2020 11:27:08;11/05/2020 11:33:47;11/05/2020 13:29:55;11/05/2020 15:41:59;11/05/2020 16:34:16;12/05/2020 08:44:36}</t>
  </si>
  <si>
    <t>e6E61E82C600BC5FCA</t>
  </si>
  <si>
    <t>{0,509;0,509;2,500;2,500;7,496;7,496;7,496}</t>
  </si>
  <si>
    <t>{03/08/2020 08:30:32;03/08/2020 08:30:32;03/08/2020 10:30:00;03/08/2020 10:30:00;03/08/2020 15:29:47;03/08/2020 15:29:47;03/08/2020 15:29:47}</t>
  </si>
  <si>
    <t>e584492D6E5A055045</t>
  </si>
  <si>
    <t>{2,500;2,500;2,500;0,509;2,500;7,496;0,509;0,509;7,496;0,509;7,496;2,500;0,509;0,509;0,509;7,496;2,500;2,500;7,496;7,496;0,509;0,509;7,496;2,500;7,496;0,509;0,509;0,509;2,500;0,509;2,500;2,500;0,509;7,496;2,500;2,500;0,509;2,500;0,509;2,500;7,496;2,500;7,496;7,496;0,509;2,500;0,509;0,509;2,500;0,509}</t>
  </si>
  <si>
    <t>{0,509;0,509;0,509;2,500;2,500;7,496;7,496}</t>
  </si>
  <si>
    <t>{03/08/2020 08:30:32;03/08/2020 08:30:32;03/08/2020 08:30:32;03/08/2020 10:30:00;03/08/2020 10:30:00;03/08/2020 15:29:47;03/08/2020 15:29:47}</t>
  </si>
  <si>
    <t>{0,375;0,025;0,025;0,125;0,125;0,375;0,375;0,125;0,375;0,125;0,375;0,125;0,025;0,375;0,025;0,025;0,025;0,375;0,375;0,125;0,375;0,125;0,125;0,125;0,125;0,025;0,025;0,125;0,125;0,125;0,375;0,125;0,375;0,125;0,375;0,375;0,125;0,025;0,125;0,375;0,375;0,375;0,375;0,375;0,025;0,025;0,025;0,125;0,375;0,025}</t>
  </si>
  <si>
    <t>&lt;ENTER_NAME&gt;</t>
  </si>
  <si>
    <t>&lt;ENTER_ESTIMATE&gt;</t>
  </si>
  <si>
    <t>VIRTUAL_SHEET_NAME</t>
  </si>
  <si>
    <t>VIRTUAL_SHEET_RANGE_ROWS</t>
  </si>
  <si>
    <t>VIRTUAL_SHEET_RANGE_COLS</t>
  </si>
  <si>
    <t>Created on</t>
  </si>
  <si>
    <t>tEBFCD13A644F1CD96</t>
  </si>
  <si>
    <t>t7D08BA735B6117B51</t>
  </si>
  <si>
    <t>t51FFFD686F9584E82</t>
  </si>
  <si>
    <t>t3756A802032CF359C</t>
  </si>
  <si>
    <t>t33D65E709FEF89BB9</t>
  </si>
  <si>
    <t>t4358A3ABA60DD936B</t>
  </si>
  <si>
    <t>Spalte1</t>
  </si>
  <si>
    <t>Spalte2</t>
  </si>
  <si>
    <t>Spalte3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</si>
</sst>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0" fontId="0" fillId="10" borderId="0" xfId="0" applyFill="1"/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9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3E1-44D5-A953-0A541E14AEC0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3E1-44D5-A953-0A541E14AEC0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3E1-44D5-A953-0A541E14AEC0}"/>
            </c:ext>
          </c:extLst>
        </c:ser>
        <c:ser>
          <c:idx val="3"/>
          <c:order val="3"/>
          <c:tx>
            <c:v>Velo pool on: 29/07/2020 11:30:56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53E1-44D5-A953-0A541E14AEC0}"/>
            </c:ext>
          </c:extLst>
        </c:ser>
        <c:ser>
          <c:idx val="4"/>
          <c:order val="4"/>
          <c:tx>
            <c:v>Velo pool on: 01/08/2020 11:32:58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53E1-44D5-A953-0A541E14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5.5</c:v>
              </c:pt>
              <c:pt idx="1">
                <c:v>2.2190000000000003</c:v>
              </c:pt>
              <c:pt idx="2">
                <c:v>2.62</c:v>
              </c:pt>
              <c:pt idx="3">
                <c:v>1.5045000000000002</c:v>
              </c:pt>
              <c:pt idx="4">
                <c:v>0.50900000000000001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69D-469D-9B5D-19F6F524DFA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8</c:v>
              </c:pt>
              <c:pt idx="1">
                <c:v>4.7119999999999997</c:v>
              </c:pt>
              <c:pt idx="2">
                <c:v>5.6315000000000008</c:v>
              </c:pt>
              <c:pt idx="3">
                <c:v>4.9980000000000002</c:v>
              </c:pt>
              <c:pt idx="4">
                <c:v>1.5045000000000002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69D-469D-9B5D-19F6F524DFA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10.5</c:v>
              </c:pt>
              <c:pt idx="1">
                <c:v>7.8465000000000007</c:v>
              </c:pt>
              <c:pt idx="2">
                <c:v>9.4715000000000007</c:v>
              </c:pt>
              <c:pt idx="3">
                <c:v>7.4960000000000004</c:v>
              </c:pt>
              <c:pt idx="4">
                <c:v>4.9980000000000011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69D-469D-9B5D-19F6F524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600950" y="2667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096375" y="26670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4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5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5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5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5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6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6" xr:uid="{74B1AF28-5CEE-401E-A21A-7039ED3614D1}" name="TimeEntries365367" displayName="TimeEntries365367" ref="A16:G17" totalsRowShown="0">
  <autoFilter ref="A16:G17" xr:uid="{3CDB8AFE-159A-485D-9AB5-07A119883C0B}"/>
  <sortState xmlns:xlrd2="http://schemas.microsoft.com/office/spreadsheetml/2017/richdata2" ref="A17:E17">
    <sortCondition ref="A15:A16"/>
  </sortState>
  <tableColumns count="7">
    <tableColumn id="1" xr3:uid="{052ABD64-9777-4270-8CEB-4704B512FE06}" name="Time entry no."/>
    <tableColumn id="2" xr3:uid="{E8054E47-2A7E-4E0F-9B01-12B9AE2FDBF7}" name="Start time" dataDxfId="91"/>
    <tableColumn id="3" xr3:uid="{641691E9-BDBC-4235-A8C3-D919239FFF21}" name="End time" dataDxfId="90"/>
    <tableColumn id="4" xr3:uid="{CE323E36-FAD6-4D84-9BC7-719DF7811CF5}" name="Time delta in h" dataDxfId="89">
      <calculatedColumnFormula>MAX((TimeEntries365367[[#This Row],[End time]]-TimeEntries365367[[#This Row],[Start time]])*24,0)</calculatedColumnFormula>
    </tableColumn>
    <tableColumn id="5" xr3:uid="{B4E068D3-FF0F-4D82-9F1B-0AACC0553ECD}" name="Indicator"/>
    <tableColumn id="6" xr3:uid="{3E725857-E6FD-48AC-97EC-0C62F1A8062B}" name="Action1"/>
    <tableColumn id="7" xr3:uid="{378A0055-ABF7-4421-8438-81DF5D4DA95D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7" xr:uid="{83A2F4AF-BDBA-49B3-A031-368D6E4B67E6}" name="Tabelle7367366368" displayName="Tabelle7367366368" ref="I16:M17" totalsRowShown="0">
  <autoFilter ref="I16:M17" xr:uid="{B247E8F9-E0C4-4F4F-9E59-D2D061CDC1B8}"/>
  <tableColumns count="5">
    <tableColumn id="1" xr3:uid="{35F48853-AB9A-4BAD-B6E8-F8723BE02972}" name="Comparison entry no."/>
    <tableColumn id="2" xr3:uid="{5A06D59C-5274-4C7C-A3CA-A8B074173883}" name="Propability Support point" dataDxfId="88"/>
    <tableColumn id="3" xr3:uid="{00CDBA4F-ABFC-44A3-A0AE-07C5C522AE92}" name="EBS self time" dataDxfId="87"/>
    <tableColumn id="4" xr3:uid="{5E321877-065B-436A-AFEB-11957A634709}" name="Total time">
      <calculatedColumnFormula>SUM(TimeEntries365367[Time delta in h])</calculatedColumnFormula>
    </tableColumn>
    <tableColumn id="5" xr3:uid="{6142978A-FB4D-4F5B-9132-67B627FE4408}" name="Total time / Your estimate" dataDxfId="86">
      <calculatedColumnFormula>Tabelle7367366368[[#This Row],[EBS self time]]/Tabelle7367366368[[#This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8" xr:uid="{81F9F17A-069C-4438-9B41-710DD0D61688}" name="TimeEntries363369" displayName="TimeEntries363369" ref="A35:G36" totalsRowShown="0">
  <autoFilter ref="A35:G36" xr:uid="{6D39F1AE-80E6-47EA-9DBF-B47A92E42BEB}"/>
  <sortState xmlns:xlrd2="http://schemas.microsoft.com/office/spreadsheetml/2017/richdata2" ref="A36:E36">
    <sortCondition ref="A15:A16"/>
  </sortState>
  <tableColumns count="7">
    <tableColumn id="1" xr3:uid="{65023864-F811-4265-BC36-6C95913C8B01}" name="Time entry no."/>
    <tableColumn id="2" xr3:uid="{FA8C77F9-52D3-41D2-8574-86014950EB3F}" name="Start time" dataDxfId="85"/>
    <tableColumn id="3" xr3:uid="{104280FC-E5D3-423C-85EB-7810ED8F1893}" name="End time" dataDxfId="84"/>
    <tableColumn id="4" xr3:uid="{D97B6E41-C997-42C9-BFB8-41347752F531}" name="Time delta in h" dataDxfId="83">
      <calculatedColumnFormula>MAX((TimeEntries363369[[#This Row],[End time]]-TimeEntries363369[[#This Row],[Start time]])*24,0)</calculatedColumnFormula>
    </tableColumn>
    <tableColumn id="5" xr3:uid="{FC9B5D61-172F-448F-9849-172EB3AC2729}" name="Indicator"/>
    <tableColumn id="6" xr3:uid="{FF89706A-4928-4517-9CBE-33FE582EC458}" name="Action1"/>
    <tableColumn id="7" xr3:uid="{7034F9FD-7C54-4417-B1FA-6BC752D8A464}" name="Action2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9" xr:uid="{DC194C0D-70BE-4F33-8049-9953B8AD9C98}" name="Tabelle7367364370" displayName="Tabelle7367364370" ref="I35:M36" totalsRowShown="0">
  <autoFilter ref="I35:M36" xr:uid="{97AC648C-84A3-4423-A644-32A7BDDCDA24}"/>
  <tableColumns count="5">
    <tableColumn id="1" xr3:uid="{7C2D0BB1-29E9-4947-BC2A-023B3D5F33A6}" name="Comparison entry no."/>
    <tableColumn id="2" xr3:uid="{FDE12A99-0F61-4421-BE54-844D7F99788C}" name="Propability Support point" dataDxfId="82"/>
    <tableColumn id="3" xr3:uid="{FFEA6E37-4460-4404-9018-FE714C91E0E7}" name="EBS self time" dataDxfId="81"/>
    <tableColumn id="4" xr3:uid="{625791E0-7176-4C8F-882E-1946A5BFF8FE}" name="Total time">
      <calculatedColumnFormula>SUM(TimeEntries363369[Time delta in h])</calculatedColumnFormula>
    </tableColumn>
    <tableColumn id="5" xr3:uid="{81240555-A87C-4F9F-8A4B-43DAC2408F09}" name="Total time / Your estimate" dataDxfId="80">
      <calculatedColumnFormula>Tabelle7367364370[[#This Row],[EBS self time]]/Tabelle7367364370[[#This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0" xr:uid="{D6CE7E23-D6D7-47E8-8FA9-3C883A4AA3EC}" name="TimeEntries361371" displayName="TimeEntries361371" ref="A54:G55" totalsRowShown="0">
  <autoFilter ref="A54:G55" xr:uid="{1A0C9F9F-7CB3-4B7B-9E72-6437FEB483E7}"/>
  <sortState xmlns:xlrd2="http://schemas.microsoft.com/office/spreadsheetml/2017/richdata2" ref="A55:E55">
    <sortCondition ref="A15:A16"/>
  </sortState>
  <tableColumns count="7">
    <tableColumn id="1" xr3:uid="{46099237-AB23-4C22-AE65-AB1B732709D1}" name="Time entry no."/>
    <tableColumn id="2" xr3:uid="{E862FDE7-B9DC-4982-9306-392F90DE5FE8}" name="Start time" dataDxfId="79"/>
    <tableColumn id="3" xr3:uid="{6A746EC5-8CC0-4788-9320-E94279FF1DD8}" name="End time" dataDxfId="78"/>
    <tableColumn id="4" xr3:uid="{FC7A22CB-9247-431E-BC6A-423914F38754}" name="Time delta in h" dataDxfId="77">
      <calculatedColumnFormula>MAX((TimeEntries361371[[#This Row],[End time]]-TimeEntries361371[[#This Row],[Start time]])*24,0)</calculatedColumnFormula>
    </tableColumn>
    <tableColumn id="5" xr3:uid="{FA8079DE-043E-49A4-8156-AFC5180CE23F}" name="Indicator"/>
    <tableColumn id="6" xr3:uid="{83F5F2FC-4A56-415A-BF4C-C7139397D225}" name="Action1"/>
    <tableColumn id="7" xr3:uid="{BC8AFBFF-AAD3-4F94-A051-58624F2B4CB2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1" xr:uid="{C7E77AF2-1039-4151-938C-C8507C5F2CAF}" name="Tabelle7367362372" displayName="Tabelle7367362372" ref="I54:M55" totalsRowShown="0">
  <autoFilter ref="I54:M55" xr:uid="{A5BEDC5A-81A8-46E7-8F4E-6FE9F6E24801}"/>
  <tableColumns count="5">
    <tableColumn id="1" xr3:uid="{509A4704-6145-4CC8-9BF0-E36C4D74C074}" name="Comparison entry no."/>
    <tableColumn id="2" xr3:uid="{16DBB5A6-86D7-4A49-9154-1ACA83EC578A}" name="Propability Support point" dataDxfId="76"/>
    <tableColumn id="3" xr3:uid="{12FF147C-6DB2-4842-B52F-97FEDEE15A79}" name="EBS self time" dataDxfId="75"/>
    <tableColumn id="4" xr3:uid="{9811EDFB-6A0B-4E7C-9F6C-0624E35AC907}" name="Total time">
      <calculatedColumnFormula>SUM(TimeEntries361371[Time delta in h])</calculatedColumnFormula>
    </tableColumn>
    <tableColumn id="5" xr3:uid="{77A00DF3-0CD8-4FF7-A2BC-DD4BE47036BB}" name="Total time / Your estimate" dataDxfId="74">
      <calculatedColumnFormula>Tabelle7367362372[[#This Row],[EBS self time]]/Tabelle7367362372[[#This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2" xr:uid="{E274D311-60FB-428F-84AA-26A1009A3585}" name="TimeEntries359373" displayName="TimeEntries359373" ref="A73:G74" totalsRowShown="0">
  <autoFilter ref="A73:G74" xr:uid="{C2F425BE-E5CB-4DC9-8479-BC6C37412FEB}"/>
  <sortState xmlns:xlrd2="http://schemas.microsoft.com/office/spreadsheetml/2017/richdata2" ref="A74:E74">
    <sortCondition ref="A15:A16"/>
  </sortState>
  <tableColumns count="7">
    <tableColumn id="1" xr3:uid="{EF38AD00-2EBD-4D17-AC09-E2277755474A}" name="Time entry no."/>
    <tableColumn id="2" xr3:uid="{B305B56E-E041-4350-AF97-0093A08D2162}" name="Start time" dataDxfId="73"/>
    <tableColumn id="3" xr3:uid="{F7C226D2-7CA8-4D6F-8441-D903A5CF8C8E}" name="End time" dataDxfId="72"/>
    <tableColumn id="4" xr3:uid="{57C56683-F3E4-414F-918E-F25BB9EC598B}" name="Time delta in h" dataDxfId="71">
      <calculatedColumnFormula>MAX((TimeEntries359373[[#This Row],[End time]]-TimeEntries359373[[#This Row],[Start time]])*24,0)</calculatedColumnFormula>
    </tableColumn>
    <tableColumn id="5" xr3:uid="{9DC1EBFE-A39F-4D46-A661-1855CB9788C8}" name="Indicator"/>
    <tableColumn id="6" xr3:uid="{01248E81-D4FC-49FA-BAAA-B3BFCA0B5D79}" name="Action1"/>
    <tableColumn id="7" xr3:uid="{CB58C9B1-9EB9-47BF-9CF2-ADDE48BE50E2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3" xr:uid="{43AC1EBC-6D89-4166-9C32-4156D21C50F0}" name="Tabelle7367360374" displayName="Tabelle7367360374" ref="I73:M74" totalsRowShown="0">
  <autoFilter ref="I73:M74" xr:uid="{2464F48A-0EBB-4F73-AC4B-11D296E5DF35}"/>
  <tableColumns count="5">
    <tableColumn id="1" xr3:uid="{37B6022B-60CB-4C90-8CBA-E338EB384112}" name="Comparison entry no."/>
    <tableColumn id="2" xr3:uid="{37250F2D-FC1A-4B3D-B832-CA0FBEFC811C}" name="Propability Support point" dataDxfId="70"/>
    <tableColumn id="3" xr3:uid="{2D84F3E3-2CBB-4B2A-977D-FCA0B4C61A26}" name="EBS self time" dataDxfId="69"/>
    <tableColumn id="4" xr3:uid="{06270FDD-D604-4AD4-9B7F-662623C83AEB}" name="Total time">
      <calculatedColumnFormula>SUM(TimeEntries359373[Time delta in h])</calculatedColumnFormula>
    </tableColumn>
    <tableColumn id="5" xr3:uid="{BA2709F6-FF43-4013-B552-2F4627E625F6}" name="Total time / Your estimate" dataDxfId="68">
      <calculatedColumnFormula>Tabelle7367360374[[#This Row],[EBS self time]]/Tabelle7367360374[[#This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4" xr:uid="{E14C4997-A095-4FF7-9E26-31EC1B32BB58}" name="TimeEntries357375" displayName="TimeEntries357375" ref="A92:G93" totalsRowShown="0">
  <autoFilter ref="A92:G93" xr:uid="{FE2691AC-BF85-45AD-90CE-5E1E6922BC6A}"/>
  <sortState xmlns:xlrd2="http://schemas.microsoft.com/office/spreadsheetml/2017/richdata2" ref="A93:E93">
    <sortCondition ref="A15:A16"/>
  </sortState>
  <tableColumns count="7">
    <tableColumn id="1" xr3:uid="{84FE71DE-1BC4-47A4-BF45-72DDB45A25E5}" name="Time entry no."/>
    <tableColumn id="2" xr3:uid="{F3EAA52C-10B3-435B-9D26-D8C90A616427}" name="Start time" dataDxfId="67"/>
    <tableColumn id="3" xr3:uid="{E214B588-CCDD-4B69-BC9B-C9BF6B305EF9}" name="End time" dataDxfId="66"/>
    <tableColumn id="4" xr3:uid="{24ED2768-8244-490C-8EA4-F41AD67756F4}" name="Time delta in h" dataDxfId="65">
      <calculatedColumnFormula>MAX((TimeEntries357375[[#This Row],[End time]]-TimeEntries357375[[#This Row],[Start time]])*24,0)</calculatedColumnFormula>
    </tableColumn>
    <tableColumn id="5" xr3:uid="{987E211E-0D73-4CEC-8090-727899FCD2FC}" name="Indicator"/>
    <tableColumn id="6" xr3:uid="{AABD8E6C-D9AF-437F-8936-DE8A9F0BD9DC}" name="Action1"/>
    <tableColumn id="7" xr3:uid="{D748A768-384C-4D00-B5C2-EB9208DA9FFF}" name="Action2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5" xr:uid="{AED1EC5B-94E2-4FFF-818C-52F326CF14AC}" name="Tabelle7367358376" displayName="Tabelle7367358376" ref="I92:M93" totalsRowShown="0">
  <autoFilter ref="I92:M93" xr:uid="{BE8BC88F-F618-415E-AF23-3023BBAEF98E}"/>
  <tableColumns count="5">
    <tableColumn id="1" xr3:uid="{547ECB2D-C1D9-4246-8CAB-092EC05D95EE}" name="Comparison entry no."/>
    <tableColumn id="2" xr3:uid="{7B974D60-CD3F-4C42-8827-619E1DAA505C}" name="Propability Support point" dataDxfId="64"/>
    <tableColumn id="3" xr3:uid="{646F3BE5-AFB8-479E-A6BE-7C8E944454E5}" name="EBS self time" dataDxfId="63"/>
    <tableColumn id="4" xr3:uid="{916898C4-F569-4455-93DD-D61DDB64D4A8}" name="Total time">
      <calculatedColumnFormula>SUM(TimeEntries357375[Time delta in h])</calculatedColumnFormula>
    </tableColumn>
    <tableColumn id="5" xr3:uid="{CBAF38FB-E626-421A-BD5B-E261755BBC19}" name="Total time / Your estimate" dataDxfId="62">
      <calculatedColumnFormula>Tabelle7367358376[[#This Row],[EBS self time]]/Tabelle7367358376[[#This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9" totalsRowShown="0" dataDxfId="14">
  <autoFilter ref="A3:Q9" xr:uid="{520F3973-795E-47E6-97CD-1C1265CA838A}"/>
  <sortState xmlns:xlrd2="http://schemas.microsoft.com/office/spreadsheetml/2017/richdata2" ref="A4:Q9">
    <sortCondition descending="1" ref="P3:P9"/>
  </sortState>
  <tableColumns count="17">
    <tableColumn id="1" xr3:uid="{78BB2EF9-C626-4B0D-94B3-1781BE57C67F}" name="Task no." dataDxfId="31" dataCellStyle="Standard"/>
    <tableColumn id="3" xr3:uid="{3AD21368-826B-4507-A159-BE8BE5B02C1F}" name="Indicator" dataDxfId="30" dataCellStyle="Spaltenebene_1"/>
    <tableColumn id="2" xr3:uid="{C139B307-7150-4838-B1FD-482AAB7B1208}" name="Task name" dataDxfId="29" dataCellStyle="Link"/>
    <tableColumn id="18" xr3:uid="{3B298737-E571-4F23-9C71-2BC3C2385355}" name="Comment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2C458-8251-4604-9178-9387B63D273C}" name="lbelow" displayName="lbelow" ref="A5:C9" totalsRowShown="0">
  <autoFilter ref="A5:C9" xr:uid="{D78A8047-9E8A-47D8-85FB-74861EBCCDAA}"/>
  <tableColumns count="3">
    <tableColumn id="1" xr3:uid="{FE9FD31F-E5ED-4FB2-8F07-4AD0F722B0B1}" name="Spalte1"/>
    <tableColumn id="2" xr3:uid="{13B4544D-3D89-4055-A82D-E98C22B872BC}" name="Spalte2"/>
    <tableColumn id="3" xr3:uid="{3DA451EF-7331-40B4-85B6-42925AC19423}" name="Spalte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88A1DF-8CCD-4292-B8AF-02E578404812}" name="rtt" displayName="rtt" ref="F3:H6" totalsRowShown="0">
  <autoFilter ref="F3:H6" xr:uid="{CF0FE10D-415C-413C-B60C-00DC56EFDE95}"/>
  <tableColumns count="3">
    <tableColumn id="1" xr3:uid="{C0887146-4713-468E-B8B2-CA30C8577916}" name="Spalte1"/>
    <tableColumn id="2" xr3:uid="{3724BD06-69AA-4863-8BE8-C6DB9DF56BDA}" name="Spalte2"/>
    <tableColumn id="3" xr3:uid="{8D8C58F2-5B54-479C-B879-F2B2C6F17125}" name="Spalte3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6" xr:uid="{7128D4AA-139B-44BE-B113-4A42CCEBC844}" name="TimeEntries377" displayName="TimeEntries377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E21B49B9-FB22-4F65-B3F4-A72EC8584C6D}" name="Time entry no."/>
    <tableColumn id="2" xr3:uid="{4B6315ED-CFFB-40D7-939A-55A672C16A01}" name="Start time" dataDxfId="61"/>
    <tableColumn id="3" xr3:uid="{931867B2-ECD7-4FD2-8B3D-BBBED9AEE663}" name="End time" dataDxfId="60"/>
    <tableColumn id="4" xr3:uid="{2CD60A2F-7BA9-4276-87D3-08A6A9C720B1}" name="Time delta in h" dataDxfId="59">
      <calculatedColumnFormula>MAX((TimeEntries377[[#This Row],[End time]]-TimeEntries377[[#This Row],[Start time]])*24,0)</calculatedColumnFormula>
    </tableColumn>
    <tableColumn id="5" xr3:uid="{A452665D-A64A-4929-8853-280B24FE114E}" name="Indicator"/>
    <tableColumn id="6" xr3:uid="{50FEA45F-FABB-4CCD-ABC0-B89EB62BE7C8}" name="Action1"/>
    <tableColumn id="7" xr3:uid="{E054F880-9798-42B3-BAD6-1C7DACB3EF48}" name="Action2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7" xr:uid="{01EB955F-980D-4EE4-8ABE-C184B5DBD9FD}" name="Tabelle7367378" displayName="Tabelle7367378" ref="I15:M16" totalsRowShown="0">
  <autoFilter ref="I15:M16" xr:uid="{84675B4D-C39C-4C1D-95DA-B0DAB419A377}"/>
  <tableColumns count="5">
    <tableColumn id="1" xr3:uid="{0C2EEFAA-AA8B-4462-BE37-C50939D6AA77}" name="Comparison entry no."/>
    <tableColumn id="2" xr3:uid="{43B19F67-35DB-4184-886A-9F3BFCFCE590}" name="Propability Support point" dataDxfId="58"/>
    <tableColumn id="3" xr3:uid="{05A768D4-23B9-4EC8-8C3C-ADF84EE95106}" name="EBS self time" dataDxfId="57"/>
    <tableColumn id="4" xr3:uid="{33D79677-7FE4-4FED-BD68-A1B4DF932E67}" name="Total time">
      <calculatedColumnFormula>SUM(TimeEntries377[Time delta in h])</calculatedColumnFormula>
    </tableColumn>
    <tableColumn id="5" xr3:uid="{B9E24DAB-579E-4C6F-9249-ED6E59A06A5A}" name="Total time / Your estimate" dataDxfId="56">
      <calculatedColumnFormula>Tabelle7367378[[#This Row],[EBS self time]]/Tabelle7367378[[#This Row],[Total time]]</calculatedColumnFormula>
    </tableColumn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3" totalsRowShown="0">
  <autoFilter ref="A18:H23" xr:uid="{1948C160-1F52-48A7-8061-8AFF06D47134}"/>
  <tableColumns count="8">
    <tableColumn id="1" xr3:uid="{E6BEF93E-0B5C-43B8-89CF-C62D27CA2DAC}" name="EBS entry no."/>
    <tableColumn id="4" xr3:uid="{29329024-2EEE-45EA-B998-5CDBC9E950F5}" name="EBS run date" dataDxfId="55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0" totalsRowShown="0">
  <autoFilter ref="J18:T20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54"/>
    <tableColumn id="4" xr3:uid="{BD24E662-9F4E-4C61-82B5-EAD94B1901CC}" name="User time estimate" dataDxfId="53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2" dataDxfId="50" headerRowBorderDxfId="51">
  <autoFilter ref="A8:D54" xr:uid="{8E9EC0C1-7901-48B6-A59A-1CE6ABEE7A55}"/>
  <tableColumns count="4">
    <tableColumn id="1" xr3:uid="{58BB2187-C79D-4A1A-A9A3-DA2F074C476C}" name="Split entry no." dataDxfId="49"/>
    <tableColumn id="2" xr3:uid="{A755482D-FFF4-43D8-8021-1956CE3A7021}" name="Split start" dataDxfId="48"/>
    <tableColumn id="3" xr3:uid="{FE0A0B8D-1F8A-4CEC-9FB3-C945A45F99BF}" name="Split end" dataDxfId="47"/>
    <tableColumn id="4" xr3:uid="{5443222D-0CE3-4625-9EDB-D13B87B6C388}" name="Time spent" dataDxfId="46"/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5" dataCellStyle="Link"/>
    <tableColumn id="9" xr3:uid="{0037D127-E2BA-445A-BC63-1395BA3AC441}" name="Calendar ID" dataDxfId="44" dataCellStyle="Link"/>
    <tableColumn id="10" xr3:uid="{37CA3B7B-8FF0-4042-97C6-E23A79A74325}" name="Store ID"/>
    <tableColumn id="6" xr3:uid="{044D8005-25C5-4D31-940A-B6DE4C6B0EA5}" name="WorkingDays" dataDxfId="4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2"/>
    <tableColumn id="8" xr3:uid="{1177B0FB-46B2-406D-B988-C64E0ABA6972}" name="AppointmentOffsetHours" dataDxfId="41">
      <calculatedColumnFormula>5/60</calculatedColumnFormula>
    </tableColumn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40"/>
    <tableColumn id="3" xr3:uid="{78DABF02-3853-48FF-81AD-5801C74BED1B}" name="End time" dataDxfId="39"/>
    <tableColumn id="4" xr3:uid="{76C994F9-216A-4848-9FB6-16BAF8B0EEEA}" name="Time delta in h" dataDxfId="38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7"/>
    <tableColumn id="3" xr3:uid="{A62B365F-400F-45A4-B789-FE7B5FDBD312}" name="EBS self time" dataDxfId="3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4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3"/>
    <tableColumn id="4" xr3:uid="{F9EDA55E-5206-49A7-A846-6A0B14C04CAF}" name="User time estimate" dataDxfId="32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6BD0-69CB-43FE-B9A4-44939A60921F}">
  <sheetPr codeName="Tabelle7"/>
  <dimension ref="A1:M94"/>
  <sheetViews>
    <sheetView tabSelected="1" workbookViewId="0">
      <selection activeCell="B16" sqref="B16"/>
    </sheetView>
  </sheetViews>
  <sheetFormatPr baseColWidth="10" defaultRowHeight="15" x14ac:dyDescent="0.25"/>
  <sheetData>
    <row r="1" spans="1:13" x14ac:dyDescent="0.25">
      <c r="A1" t="s">
        <v>206</v>
      </c>
      <c r="B1" t="s">
        <v>214</v>
      </c>
      <c r="C1" t="s">
        <v>207</v>
      </c>
      <c r="D1">
        <v>17</v>
      </c>
      <c r="E1" t="s">
        <v>208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95</v>
      </c>
    </row>
    <row r="4" spans="1:13" x14ac:dyDescent="0.25">
      <c r="A4" t="s">
        <v>79</v>
      </c>
      <c r="B4" s="2" t="s">
        <v>95</v>
      </c>
      <c r="C4" t="s">
        <v>4</v>
      </c>
    </row>
    <row r="5" spans="1:13" x14ac:dyDescent="0.25">
      <c r="A5" t="s">
        <v>0</v>
      </c>
      <c r="B5" s="2">
        <f>SUM(TimeEntries365367[Time delta in h])</f>
        <v>0</v>
      </c>
      <c r="C5" t="s">
        <v>4</v>
      </c>
    </row>
    <row r="6" spans="1:13" x14ac:dyDescent="0.25">
      <c r="A6" t="s">
        <v>14</v>
      </c>
      <c r="B6" s="5" t="s">
        <v>95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94</v>
      </c>
    </row>
    <row r="9" spans="1:13" x14ac:dyDescent="0.25">
      <c r="A9" t="s">
        <v>16</v>
      </c>
      <c r="B9" s="5" t="s">
        <v>95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214</v>
      </c>
    </row>
    <row r="12" spans="1:13" x14ac:dyDescent="0.25">
      <c r="A12" t="s">
        <v>5</v>
      </c>
      <c r="B12" s="2" t="e">
        <f>B4/SUM(TimeEntries365367[Time delta in h])</f>
        <v>#VALUE!</v>
      </c>
      <c r="C12" t="s">
        <v>6</v>
      </c>
    </row>
    <row r="13" spans="1:13" x14ac:dyDescent="0.25">
      <c r="A13" t="s">
        <v>96</v>
      </c>
    </row>
    <row r="14" spans="1:13" x14ac:dyDescent="0.25">
      <c r="A14" t="s">
        <v>97</v>
      </c>
    </row>
    <row r="15" spans="1:13" x14ac:dyDescent="0.25">
      <c r="A15" t="s">
        <v>209</v>
      </c>
      <c r="B15" t="s">
        <v>95</v>
      </c>
    </row>
    <row r="16" spans="1:13" x14ac:dyDescent="0.25">
      <c r="A16" t="s">
        <v>11</v>
      </c>
      <c r="B16" t="s">
        <v>7</v>
      </c>
      <c r="C16" t="s">
        <v>8</v>
      </c>
      <c r="D16" t="s">
        <v>9</v>
      </c>
      <c r="E16" t="s">
        <v>10</v>
      </c>
      <c r="F16" t="s">
        <v>86</v>
      </c>
      <c r="G16" t="s">
        <v>87</v>
      </c>
      <c r="I16" t="s">
        <v>71</v>
      </c>
      <c r="J16" s="15" t="s">
        <v>69</v>
      </c>
      <c r="K16" s="2" t="s">
        <v>70</v>
      </c>
      <c r="L16" t="s">
        <v>72</v>
      </c>
      <c r="M16" t="s">
        <v>73</v>
      </c>
    </row>
    <row r="17" spans="1:13" x14ac:dyDescent="0.25">
      <c r="B17" s="1"/>
      <c r="C17" s="1"/>
      <c r="D17" s="2">
        <f>MAX((TimeEntries365367[[#This Row],[End time]]-TimeEntries365367[[#This Row],[Start time]])*24,0)</f>
        <v>0</v>
      </c>
      <c r="J17" s="15"/>
      <c r="K17" s="2"/>
      <c r="L17" s="2">
        <f>SUM(TimeEntries365367[Time delta in h])</f>
        <v>0</v>
      </c>
      <c r="M17" s="16" t="e">
        <f>Tabelle7367366368[[#This Row],[EBS self time]]/Tabelle7367366368[[#This Row],[Total time]]</f>
        <v>#DIV/0!</v>
      </c>
    </row>
    <row r="18" spans="1:13" x14ac:dyDescent="0.25">
      <c r="B18" s="1"/>
      <c r="C18" s="1"/>
      <c r="D18" s="2"/>
    </row>
    <row r="20" spans="1:13" x14ac:dyDescent="0.25">
      <c r="A20" t="s">
        <v>206</v>
      </c>
      <c r="B20" t="s">
        <v>213</v>
      </c>
      <c r="C20" t="s">
        <v>207</v>
      </c>
      <c r="D20">
        <v>17</v>
      </c>
      <c r="E20" t="s">
        <v>208</v>
      </c>
      <c r="F20">
        <v>13</v>
      </c>
    </row>
    <row r="21" spans="1:13" x14ac:dyDescent="0.25">
      <c r="A21" s="4" t="s">
        <v>25</v>
      </c>
    </row>
    <row r="22" spans="1:13" x14ac:dyDescent="0.25">
      <c r="A22" t="s">
        <v>3</v>
      </c>
      <c r="B22" t="s">
        <v>95</v>
      </c>
    </row>
    <row r="23" spans="1:13" x14ac:dyDescent="0.25">
      <c r="A23" t="s">
        <v>79</v>
      </c>
      <c r="B23" s="2" t="s">
        <v>95</v>
      </c>
      <c r="C23" t="s">
        <v>4</v>
      </c>
    </row>
    <row r="24" spans="1:13" x14ac:dyDescent="0.25">
      <c r="A24" t="s">
        <v>0</v>
      </c>
      <c r="B24" s="2">
        <f>SUM(TimeEntries363369[Time delta in h])</f>
        <v>0</v>
      </c>
      <c r="C24" t="s">
        <v>4</v>
      </c>
    </row>
    <row r="25" spans="1:13" x14ac:dyDescent="0.25">
      <c r="A25" t="s">
        <v>14</v>
      </c>
      <c r="B25" s="5" t="s">
        <v>95</v>
      </c>
    </row>
    <row r="26" spans="1:13" x14ac:dyDescent="0.25">
      <c r="A26" t="s">
        <v>15</v>
      </c>
      <c r="B26" s="5" t="s">
        <v>19</v>
      </c>
    </row>
    <row r="27" spans="1:13" x14ac:dyDescent="0.25">
      <c r="A27" t="s">
        <v>1</v>
      </c>
      <c r="B27" t="s">
        <v>94</v>
      </c>
    </row>
    <row r="28" spans="1:13" x14ac:dyDescent="0.25">
      <c r="A28" t="s">
        <v>16</v>
      </c>
      <c r="B28" s="5" t="s">
        <v>95</v>
      </c>
    </row>
    <row r="29" spans="1:13" x14ac:dyDescent="0.25">
      <c r="A29" t="s">
        <v>2</v>
      </c>
    </row>
    <row r="30" spans="1:13" x14ac:dyDescent="0.25">
      <c r="A30" t="s">
        <v>47</v>
      </c>
      <c r="B30" t="s">
        <v>213</v>
      </c>
    </row>
    <row r="31" spans="1:13" x14ac:dyDescent="0.25">
      <c r="A31" t="s">
        <v>5</v>
      </c>
      <c r="B31" s="2" t="e">
        <f>B23/SUM(TimeEntries363369[Time delta in h])</f>
        <v>#VALUE!</v>
      </c>
      <c r="C31" t="s">
        <v>6</v>
      </c>
    </row>
    <row r="32" spans="1:13" x14ac:dyDescent="0.25">
      <c r="A32" t="s">
        <v>96</v>
      </c>
    </row>
    <row r="33" spans="1:13" x14ac:dyDescent="0.25">
      <c r="A33" t="s">
        <v>97</v>
      </c>
    </row>
    <row r="34" spans="1:13" x14ac:dyDescent="0.25">
      <c r="A34" t="s">
        <v>209</v>
      </c>
      <c r="B34" t="s">
        <v>95</v>
      </c>
    </row>
    <row r="35" spans="1:13" x14ac:dyDescent="0.25">
      <c r="A35" t="s">
        <v>11</v>
      </c>
      <c r="B35" t="s">
        <v>7</v>
      </c>
      <c r="C35" t="s">
        <v>8</v>
      </c>
      <c r="D35" t="s">
        <v>9</v>
      </c>
      <c r="E35" t="s">
        <v>10</v>
      </c>
      <c r="F35" t="s">
        <v>86</v>
      </c>
      <c r="G35" t="s">
        <v>87</v>
      </c>
      <c r="I35" t="s">
        <v>71</v>
      </c>
      <c r="J35" s="15" t="s">
        <v>69</v>
      </c>
      <c r="K35" s="2" t="s">
        <v>70</v>
      </c>
      <c r="L35" t="s">
        <v>72</v>
      </c>
      <c r="M35" t="s">
        <v>73</v>
      </c>
    </row>
    <row r="36" spans="1:13" x14ac:dyDescent="0.25">
      <c r="B36" s="1"/>
      <c r="C36" s="1"/>
      <c r="D36" s="2">
        <f>MAX((TimeEntries363369[[#This Row],[End time]]-TimeEntries363369[[#This Row],[Start time]])*24,0)</f>
        <v>0</v>
      </c>
      <c r="J36" s="15"/>
      <c r="K36" s="2"/>
      <c r="L36" s="2">
        <f>SUM(TimeEntries363369[Time delta in h])</f>
        <v>0</v>
      </c>
      <c r="M36" s="16" t="e">
        <f>Tabelle7367364370[[#This Row],[EBS self time]]/Tabelle7367364370[[#This Row],[Total time]]</f>
        <v>#DIV/0!</v>
      </c>
    </row>
    <row r="37" spans="1:13" x14ac:dyDescent="0.25">
      <c r="B37" s="1"/>
      <c r="C37" s="1"/>
      <c r="D37" s="2"/>
    </row>
    <row r="39" spans="1:13" x14ac:dyDescent="0.25">
      <c r="A39" t="s">
        <v>206</v>
      </c>
      <c r="B39" t="s">
        <v>212</v>
      </c>
      <c r="C39" t="s">
        <v>207</v>
      </c>
      <c r="D39">
        <v>17</v>
      </c>
      <c r="E39" t="s">
        <v>208</v>
      </c>
      <c r="F39">
        <v>13</v>
      </c>
    </row>
    <row r="40" spans="1:13" x14ac:dyDescent="0.25">
      <c r="A40" s="4" t="s">
        <v>25</v>
      </c>
    </row>
    <row r="41" spans="1:13" x14ac:dyDescent="0.25">
      <c r="A41" t="s">
        <v>3</v>
      </c>
      <c r="B41" t="s">
        <v>95</v>
      </c>
    </row>
    <row r="42" spans="1:13" x14ac:dyDescent="0.25">
      <c r="A42" t="s">
        <v>79</v>
      </c>
      <c r="B42" s="2" t="s">
        <v>95</v>
      </c>
      <c r="C42" t="s">
        <v>4</v>
      </c>
    </row>
    <row r="43" spans="1:13" x14ac:dyDescent="0.25">
      <c r="A43" t="s">
        <v>0</v>
      </c>
      <c r="B43" s="2">
        <f>SUM(TimeEntries361371[Time delta in h])</f>
        <v>0</v>
      </c>
      <c r="C43" t="s">
        <v>4</v>
      </c>
    </row>
    <row r="44" spans="1:13" x14ac:dyDescent="0.25">
      <c r="A44" t="s">
        <v>14</v>
      </c>
      <c r="B44" s="5" t="s">
        <v>95</v>
      </c>
    </row>
    <row r="45" spans="1:13" x14ac:dyDescent="0.25">
      <c r="A45" t="s">
        <v>15</v>
      </c>
      <c r="B45" s="5" t="s">
        <v>19</v>
      </c>
    </row>
    <row r="46" spans="1:13" x14ac:dyDescent="0.25">
      <c r="A46" t="s">
        <v>1</v>
      </c>
      <c r="B46" t="s">
        <v>94</v>
      </c>
    </row>
    <row r="47" spans="1:13" x14ac:dyDescent="0.25">
      <c r="A47" t="s">
        <v>16</v>
      </c>
      <c r="B47" s="5" t="s">
        <v>95</v>
      </c>
    </row>
    <row r="48" spans="1:13" x14ac:dyDescent="0.25">
      <c r="A48" t="s">
        <v>2</v>
      </c>
    </row>
    <row r="49" spans="1:13" x14ac:dyDescent="0.25">
      <c r="A49" t="s">
        <v>47</v>
      </c>
      <c r="B49" t="s">
        <v>212</v>
      </c>
    </row>
    <row r="50" spans="1:13" x14ac:dyDescent="0.25">
      <c r="A50" t="s">
        <v>5</v>
      </c>
      <c r="B50" s="2" t="e">
        <f>B42/SUM(TimeEntries361371[Time delta in h])</f>
        <v>#VALUE!</v>
      </c>
      <c r="C50" t="s">
        <v>6</v>
      </c>
    </row>
    <row r="51" spans="1:13" x14ac:dyDescent="0.25">
      <c r="A51" t="s">
        <v>96</v>
      </c>
    </row>
    <row r="52" spans="1:13" x14ac:dyDescent="0.25">
      <c r="A52" t="s">
        <v>97</v>
      </c>
    </row>
    <row r="53" spans="1:13" x14ac:dyDescent="0.25">
      <c r="A53" t="s">
        <v>209</v>
      </c>
      <c r="B53" t="s">
        <v>95</v>
      </c>
    </row>
    <row r="54" spans="1:13" x14ac:dyDescent="0.25">
      <c r="A54" t="s">
        <v>11</v>
      </c>
      <c r="B54" t="s">
        <v>7</v>
      </c>
      <c r="C54" t="s">
        <v>8</v>
      </c>
      <c r="D54" t="s">
        <v>9</v>
      </c>
      <c r="E54" t="s">
        <v>10</v>
      </c>
      <c r="F54" t="s">
        <v>86</v>
      </c>
      <c r="G54" t="s">
        <v>87</v>
      </c>
      <c r="I54" t="s">
        <v>71</v>
      </c>
      <c r="J54" s="15" t="s">
        <v>69</v>
      </c>
      <c r="K54" s="2" t="s">
        <v>70</v>
      </c>
      <c r="L54" t="s">
        <v>72</v>
      </c>
      <c r="M54" t="s">
        <v>73</v>
      </c>
    </row>
    <row r="55" spans="1:13" x14ac:dyDescent="0.25">
      <c r="B55" s="1"/>
      <c r="C55" s="1"/>
      <c r="D55" s="2">
        <f>MAX((TimeEntries361371[[#This Row],[End time]]-TimeEntries361371[[#This Row],[Start time]])*24,0)</f>
        <v>0</v>
      </c>
      <c r="J55" s="15"/>
      <c r="K55" s="2"/>
      <c r="L55" s="2">
        <f>SUM(TimeEntries361371[Time delta in h])</f>
        <v>0</v>
      </c>
      <c r="M55" s="16" t="e">
        <f>Tabelle7367362372[[#This Row],[EBS self time]]/Tabelle7367362372[[#This Row],[Total time]]</f>
        <v>#DIV/0!</v>
      </c>
    </row>
    <row r="56" spans="1:13" x14ac:dyDescent="0.25">
      <c r="B56" s="1"/>
      <c r="C56" s="1"/>
      <c r="D56" s="2"/>
    </row>
    <row r="58" spans="1:13" x14ac:dyDescent="0.25">
      <c r="A58" t="s">
        <v>206</v>
      </c>
      <c r="B58" t="s">
        <v>211</v>
      </c>
      <c r="C58" t="s">
        <v>207</v>
      </c>
      <c r="D58">
        <v>17</v>
      </c>
      <c r="E58" t="s">
        <v>208</v>
      </c>
      <c r="F58">
        <v>13</v>
      </c>
    </row>
    <row r="59" spans="1:13" x14ac:dyDescent="0.25">
      <c r="A59" s="4" t="s">
        <v>25</v>
      </c>
    </row>
    <row r="60" spans="1:13" x14ac:dyDescent="0.25">
      <c r="A60" t="s">
        <v>3</v>
      </c>
      <c r="B60" t="s">
        <v>95</v>
      </c>
    </row>
    <row r="61" spans="1:13" x14ac:dyDescent="0.25">
      <c r="A61" t="s">
        <v>79</v>
      </c>
      <c r="B61" s="2" t="s">
        <v>95</v>
      </c>
      <c r="C61" t="s">
        <v>4</v>
      </c>
    </row>
    <row r="62" spans="1:13" x14ac:dyDescent="0.25">
      <c r="A62" t="s">
        <v>0</v>
      </c>
      <c r="B62" s="2">
        <f>SUM(TimeEntries359373[Time delta in h])</f>
        <v>0</v>
      </c>
      <c r="C62" t="s">
        <v>4</v>
      </c>
    </row>
    <row r="63" spans="1:13" x14ac:dyDescent="0.25">
      <c r="A63" t="s">
        <v>14</v>
      </c>
      <c r="B63" s="5" t="s">
        <v>95</v>
      </c>
    </row>
    <row r="64" spans="1:13" x14ac:dyDescent="0.25">
      <c r="A64" t="s">
        <v>15</v>
      </c>
      <c r="B64" s="5" t="s">
        <v>19</v>
      </c>
    </row>
    <row r="65" spans="1:13" x14ac:dyDescent="0.25">
      <c r="A65" t="s">
        <v>1</v>
      </c>
      <c r="B65" t="s">
        <v>94</v>
      </c>
    </row>
    <row r="66" spans="1:13" x14ac:dyDescent="0.25">
      <c r="A66" t="s">
        <v>16</v>
      </c>
      <c r="B66" s="5" t="s">
        <v>95</v>
      </c>
    </row>
    <row r="67" spans="1:13" x14ac:dyDescent="0.25">
      <c r="A67" t="s">
        <v>2</v>
      </c>
    </row>
    <row r="68" spans="1:13" x14ac:dyDescent="0.25">
      <c r="A68" t="s">
        <v>47</v>
      </c>
      <c r="B68" t="s">
        <v>211</v>
      </c>
    </row>
    <row r="69" spans="1:13" x14ac:dyDescent="0.25">
      <c r="A69" t="s">
        <v>5</v>
      </c>
      <c r="B69" s="2" t="e">
        <f>B61/SUM(TimeEntries359373[Time delta in h])</f>
        <v>#VALUE!</v>
      </c>
      <c r="C69" t="s">
        <v>6</v>
      </c>
    </row>
    <row r="70" spans="1:13" x14ac:dyDescent="0.25">
      <c r="A70" t="s">
        <v>96</v>
      </c>
    </row>
    <row r="71" spans="1:13" x14ac:dyDescent="0.25">
      <c r="A71" t="s">
        <v>97</v>
      </c>
    </row>
    <row r="72" spans="1:13" x14ac:dyDescent="0.25">
      <c r="A72" t="s">
        <v>209</v>
      </c>
      <c r="B72" t="s">
        <v>95</v>
      </c>
    </row>
    <row r="73" spans="1:13" x14ac:dyDescent="0.25">
      <c r="A73" t="s">
        <v>11</v>
      </c>
      <c r="B73" t="s">
        <v>7</v>
      </c>
      <c r="C73" t="s">
        <v>8</v>
      </c>
      <c r="D73" t="s">
        <v>9</v>
      </c>
      <c r="E73" t="s">
        <v>10</v>
      </c>
      <c r="F73" t="s">
        <v>86</v>
      </c>
      <c r="G73" t="s">
        <v>87</v>
      </c>
      <c r="I73" t="s">
        <v>71</v>
      </c>
      <c r="J73" s="15" t="s">
        <v>69</v>
      </c>
      <c r="K73" s="2" t="s">
        <v>70</v>
      </c>
      <c r="L73" t="s">
        <v>72</v>
      </c>
      <c r="M73" t="s">
        <v>73</v>
      </c>
    </row>
    <row r="74" spans="1:13" x14ac:dyDescent="0.25">
      <c r="B74" s="1"/>
      <c r="C74" s="1"/>
      <c r="D74" s="2">
        <f>MAX((TimeEntries359373[[#This Row],[End time]]-TimeEntries359373[[#This Row],[Start time]])*24,0)</f>
        <v>0</v>
      </c>
      <c r="J74" s="15"/>
      <c r="K74" s="2"/>
      <c r="L74" s="2">
        <f>SUM(TimeEntries359373[Time delta in h])</f>
        <v>0</v>
      </c>
      <c r="M74" s="16" t="e">
        <f>Tabelle7367360374[[#This Row],[EBS self time]]/Tabelle7367360374[[#This Row],[Total time]]</f>
        <v>#DIV/0!</v>
      </c>
    </row>
    <row r="75" spans="1:13" x14ac:dyDescent="0.25">
      <c r="B75" s="1"/>
      <c r="C75" s="1"/>
      <c r="D75" s="2"/>
    </row>
    <row r="77" spans="1:13" x14ac:dyDescent="0.25">
      <c r="A77" t="s">
        <v>206</v>
      </c>
      <c r="B77" t="s">
        <v>210</v>
      </c>
      <c r="C77" t="s">
        <v>207</v>
      </c>
      <c r="D77">
        <v>17</v>
      </c>
      <c r="E77" t="s">
        <v>208</v>
      </c>
      <c r="F77">
        <v>13</v>
      </c>
    </row>
    <row r="78" spans="1:13" x14ac:dyDescent="0.25">
      <c r="A78" s="4" t="s">
        <v>25</v>
      </c>
    </row>
    <row r="79" spans="1:13" x14ac:dyDescent="0.25">
      <c r="A79" t="s">
        <v>3</v>
      </c>
      <c r="B79" t="s">
        <v>95</v>
      </c>
    </row>
    <row r="80" spans="1:13" x14ac:dyDescent="0.25">
      <c r="A80" t="s">
        <v>79</v>
      </c>
      <c r="B80" s="2" t="s">
        <v>95</v>
      </c>
      <c r="C80" t="s">
        <v>4</v>
      </c>
    </row>
    <row r="81" spans="1:13" x14ac:dyDescent="0.25">
      <c r="A81" t="s">
        <v>0</v>
      </c>
      <c r="B81" s="2">
        <f>SUM(TimeEntries357375[Time delta in h])</f>
        <v>0</v>
      </c>
      <c r="C81" t="s">
        <v>4</v>
      </c>
    </row>
    <row r="82" spans="1:13" x14ac:dyDescent="0.25">
      <c r="A82" t="s">
        <v>14</v>
      </c>
      <c r="B82" s="5" t="s">
        <v>95</v>
      </c>
    </row>
    <row r="83" spans="1:13" x14ac:dyDescent="0.25">
      <c r="A83" t="s">
        <v>15</v>
      </c>
      <c r="B83" s="5" t="s">
        <v>19</v>
      </c>
    </row>
    <row r="84" spans="1:13" x14ac:dyDescent="0.25">
      <c r="A84" t="s">
        <v>1</v>
      </c>
      <c r="B84" t="s">
        <v>94</v>
      </c>
    </row>
    <row r="85" spans="1:13" x14ac:dyDescent="0.25">
      <c r="A85" t="s">
        <v>16</v>
      </c>
      <c r="B85" s="5" t="s">
        <v>95</v>
      </c>
    </row>
    <row r="86" spans="1:13" x14ac:dyDescent="0.25">
      <c r="A86" t="s">
        <v>2</v>
      </c>
    </row>
    <row r="87" spans="1:13" x14ac:dyDescent="0.25">
      <c r="A87" t="s">
        <v>47</v>
      </c>
      <c r="B87" t="s">
        <v>210</v>
      </c>
    </row>
    <row r="88" spans="1:13" x14ac:dyDescent="0.25">
      <c r="A88" t="s">
        <v>5</v>
      </c>
      <c r="B88" s="2" t="e">
        <f>B80/SUM(TimeEntries357375[Time delta in h])</f>
        <v>#VALUE!</v>
      </c>
      <c r="C88" t="s">
        <v>6</v>
      </c>
    </row>
    <row r="89" spans="1:13" x14ac:dyDescent="0.25">
      <c r="A89" t="s">
        <v>96</v>
      </c>
    </row>
    <row r="90" spans="1:13" x14ac:dyDescent="0.25">
      <c r="A90" t="s">
        <v>97</v>
      </c>
    </row>
    <row r="91" spans="1:13" x14ac:dyDescent="0.25">
      <c r="A91" t="s">
        <v>209</v>
      </c>
      <c r="B91" t="s">
        <v>95</v>
      </c>
    </row>
    <row r="92" spans="1:13" x14ac:dyDescent="0.25">
      <c r="A92" t="s">
        <v>11</v>
      </c>
      <c r="B92" t="s">
        <v>7</v>
      </c>
      <c r="C92" t="s">
        <v>8</v>
      </c>
      <c r="D92" t="s">
        <v>9</v>
      </c>
      <c r="E92" t="s">
        <v>10</v>
      </c>
      <c r="F92" t="s">
        <v>86</v>
      </c>
      <c r="G92" t="s">
        <v>87</v>
      </c>
      <c r="I92" t="s">
        <v>71</v>
      </c>
      <c r="J92" s="15" t="s">
        <v>69</v>
      </c>
      <c r="K92" s="2" t="s">
        <v>70</v>
      </c>
      <c r="L92" t="s">
        <v>72</v>
      </c>
      <c r="M92" t="s">
        <v>73</v>
      </c>
    </row>
    <row r="93" spans="1:13" x14ac:dyDescent="0.25">
      <c r="B93" s="1"/>
      <c r="C93" s="1"/>
      <c r="D93" s="2">
        <f>MAX((TimeEntries357375[[#This Row],[End time]]-TimeEntries357375[[#This Row],[Start time]])*24,0)</f>
        <v>0</v>
      </c>
      <c r="J93" s="15"/>
      <c r="K93" s="2"/>
      <c r="L93" s="2">
        <f>SUM(TimeEntries357375[Time delta in h])</f>
        <v>0</v>
      </c>
      <c r="M93" s="16" t="e">
        <f>Tabelle7367358376[[#This Row],[EBS self time]]/Tabelle7367358376[[#This Row],[Total time]]</f>
        <v>#DIV/0!</v>
      </c>
    </row>
    <row r="94" spans="1:13" x14ac:dyDescent="0.25">
      <c r="B94" s="1"/>
      <c r="C94" s="1"/>
      <c r="D94" s="2"/>
    </row>
  </sheetData>
  <hyperlinks>
    <hyperlink ref="A2" location="Planning!A1" display="Go back to 'Planning' sheet" xr:uid="{56847535-29D9-4919-B997-0718684DE4B5}"/>
    <hyperlink ref="A21" location="Planning!A1" display="Go back to 'Planning' sheet" xr:uid="{DCF88909-8B65-46F5-B1FC-C5BC210CAF38}"/>
    <hyperlink ref="A40" location="Planning!A1" display="Go back to 'Planning' sheet" xr:uid="{070DB7A4-5A83-41F4-B5F2-766A34ABEC71}"/>
    <hyperlink ref="A59" location="Planning!A1" display="Go back to 'Planning' sheet" xr:uid="{A8AA8223-0361-4C46-8E76-3AA149963A3A}"/>
    <hyperlink ref="A78" location="Planning!A1" display="Go back to 'Planning' sheet" xr:uid="{8DCD6877-1B36-4312-BA7A-33750D9C3930}"/>
  </hyperlinks>
  <pageMargins left="0.7" right="0.7" top="0.78740157499999996" bottom="0.78740157499999996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opLeftCell="B1" zoomScaleNormal="100" workbookViewId="0">
      <selection activeCell="C11" sqref="C11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6" t="s">
        <v>138</v>
      </c>
      <c r="B4" s="47"/>
      <c r="C4" s="48" t="s">
        <v>204</v>
      </c>
      <c r="D4" s="48"/>
      <c r="E4" s="49"/>
      <c r="F4" s="46"/>
      <c r="G4" s="46"/>
      <c r="H4" s="46" t="s">
        <v>94</v>
      </c>
      <c r="I4" s="50" t="s">
        <v>205</v>
      </c>
      <c r="J4" s="46"/>
      <c r="K4" s="46" t="s">
        <v>95</v>
      </c>
      <c r="L4" s="46"/>
      <c r="M4" s="46"/>
      <c r="N4" s="51"/>
      <c r="O4" s="46" t="s">
        <v>19</v>
      </c>
      <c r="P4" s="46">
        <v>6</v>
      </c>
      <c r="Q4" s="46" t="s">
        <v>215</v>
      </c>
      <c r="U4"/>
    </row>
    <row r="5" spans="1:22" ht="15" customHeight="1" x14ac:dyDescent="0.25">
      <c r="A5" s="46" t="s">
        <v>137</v>
      </c>
      <c r="B5" s="47"/>
      <c r="C5" s="48" t="s">
        <v>204</v>
      </c>
      <c r="D5" s="48"/>
      <c r="E5" s="49"/>
      <c r="F5" s="46"/>
      <c r="G5" s="46"/>
      <c r="H5" s="46" t="s">
        <v>94</v>
      </c>
      <c r="I5" s="50" t="s">
        <v>205</v>
      </c>
      <c r="J5" s="46"/>
      <c r="K5" s="46" t="s">
        <v>95</v>
      </c>
      <c r="L5" s="46"/>
      <c r="M5" s="46"/>
      <c r="N5" s="51"/>
      <c r="O5" s="46" t="s">
        <v>19</v>
      </c>
      <c r="P5" s="46">
        <v>5</v>
      </c>
      <c r="Q5" s="46" t="s">
        <v>214</v>
      </c>
      <c r="U5"/>
    </row>
    <row r="6" spans="1:22" ht="15" customHeight="1" x14ac:dyDescent="0.25">
      <c r="A6" s="46" t="s">
        <v>136</v>
      </c>
      <c r="B6" s="47"/>
      <c r="C6" s="48" t="s">
        <v>204</v>
      </c>
      <c r="D6" s="48"/>
      <c r="E6" s="49"/>
      <c r="F6" s="46"/>
      <c r="G6" s="46"/>
      <c r="H6" s="46" t="s">
        <v>94</v>
      </c>
      <c r="I6" s="50" t="s">
        <v>205</v>
      </c>
      <c r="J6" s="46"/>
      <c r="K6" s="46" t="s">
        <v>95</v>
      </c>
      <c r="L6" s="46"/>
      <c r="M6" s="46"/>
      <c r="N6" s="51"/>
      <c r="O6" s="46" t="s">
        <v>19</v>
      </c>
      <c r="P6" s="46">
        <v>4</v>
      </c>
      <c r="Q6" s="46" t="s">
        <v>213</v>
      </c>
      <c r="U6"/>
    </row>
    <row r="7" spans="1:22" ht="15" customHeight="1" x14ac:dyDescent="0.25">
      <c r="A7" s="46" t="s">
        <v>135</v>
      </c>
      <c r="B7" s="47"/>
      <c r="C7" s="48" t="s">
        <v>204</v>
      </c>
      <c r="D7" s="48"/>
      <c r="E7" s="49"/>
      <c r="F7" s="46"/>
      <c r="G7" s="46"/>
      <c r="H7" s="46" t="s">
        <v>94</v>
      </c>
      <c r="I7" s="50" t="s">
        <v>205</v>
      </c>
      <c r="J7" s="46"/>
      <c r="K7" s="46" t="s">
        <v>95</v>
      </c>
      <c r="L7" s="46"/>
      <c r="M7" s="46"/>
      <c r="N7" s="51"/>
      <c r="O7" s="46" t="s">
        <v>19</v>
      </c>
      <c r="P7" s="46">
        <v>3</v>
      </c>
      <c r="Q7" s="46" t="s">
        <v>212</v>
      </c>
      <c r="U7"/>
    </row>
    <row r="8" spans="1:22" ht="15" customHeight="1" x14ac:dyDescent="0.25">
      <c r="A8" s="46" t="s">
        <v>134</v>
      </c>
      <c r="B8" s="47"/>
      <c r="C8" s="48" t="s">
        <v>204</v>
      </c>
      <c r="D8" s="48"/>
      <c r="E8" s="49"/>
      <c r="F8" s="46"/>
      <c r="G8" s="46"/>
      <c r="H8" s="46" t="s">
        <v>94</v>
      </c>
      <c r="I8" s="50" t="s">
        <v>205</v>
      </c>
      <c r="J8" s="46"/>
      <c r="K8" s="46" t="s">
        <v>95</v>
      </c>
      <c r="L8" s="46"/>
      <c r="M8" s="46"/>
      <c r="N8" s="51"/>
      <c r="O8" s="46" t="s">
        <v>19</v>
      </c>
      <c r="P8" s="46">
        <v>2</v>
      </c>
      <c r="Q8" s="46" t="s">
        <v>211</v>
      </c>
      <c r="U8"/>
    </row>
    <row r="9" spans="1:22" ht="15" customHeight="1" x14ac:dyDescent="0.25">
      <c r="A9" s="46" t="s">
        <v>133</v>
      </c>
      <c r="B9" s="47"/>
      <c r="C9" s="48" t="s">
        <v>204</v>
      </c>
      <c r="D9" s="48"/>
      <c r="E9" s="49"/>
      <c r="F9" s="46"/>
      <c r="G9" s="46"/>
      <c r="H9" s="46" t="s">
        <v>94</v>
      </c>
      <c r="I9" s="50" t="s">
        <v>205</v>
      </c>
      <c r="J9" s="46"/>
      <c r="K9" s="46" t="s">
        <v>95</v>
      </c>
      <c r="L9" s="46"/>
      <c r="M9" s="46"/>
      <c r="N9" s="51"/>
      <c r="O9" s="46" t="s">
        <v>19</v>
      </c>
      <c r="P9" s="46">
        <v>1</v>
      </c>
      <c r="Q9" s="46" t="s">
        <v>210</v>
      </c>
      <c r="U9"/>
    </row>
    <row r="10" spans="1:22" s="44" customFormat="1" x14ac:dyDescent="0.25">
      <c r="A10" s="39"/>
      <c r="B10" s="35"/>
      <c r="C10" s="23"/>
      <c r="D10" s="23"/>
      <c r="E10" s="24"/>
      <c r="F10" s="39"/>
      <c r="G10" s="39"/>
      <c r="H10" s="39"/>
      <c r="I10" s="40"/>
      <c r="J10" s="39"/>
      <c r="K10" s="39"/>
      <c r="L10" s="39"/>
      <c r="M10" s="39"/>
      <c r="N10" s="36"/>
      <c r="O10" s="39"/>
      <c r="P10" s="39"/>
      <c r="Q10" s="39"/>
      <c r="R10" s="42"/>
      <c r="S10" s="41"/>
      <c r="T10" s="41"/>
      <c r="U10" s="43"/>
    </row>
    <row r="11" spans="1:22" s="44" customFormat="1" x14ac:dyDescent="0.25">
      <c r="A11" s="24"/>
      <c r="B11" s="35"/>
      <c r="C11" s="23"/>
      <c r="D11" s="23" t="s">
        <v>114</v>
      </c>
      <c r="E11"/>
      <c r="F11" s="24"/>
      <c r="G11" s="24"/>
      <c r="H11" s="24"/>
      <c r="I11" s="24"/>
      <c r="J11" s="25"/>
      <c r="K11" s="24"/>
      <c r="L11" s="25"/>
      <c r="M11" s="25"/>
      <c r="N11" s="36"/>
      <c r="O11"/>
      <c r="P11"/>
      <c r="Q11" s="24"/>
      <c r="R11" s="42"/>
      <c r="S11" s="41"/>
      <c r="T11" s="41"/>
      <c r="U11" s="43"/>
      <c r="V11" s="45"/>
    </row>
    <row r="16" spans="1:22" x14ac:dyDescent="0.25">
      <c r="C16" s="11"/>
    </row>
    <row r="39" spans="22:22" x14ac:dyDescent="0.25">
      <c r="V39" t="s">
        <v>88</v>
      </c>
    </row>
  </sheetData>
  <dataConsolidate/>
  <conditionalFormatting sqref="B4:B9">
    <cfRule type="containsText" dxfId="13" priority="7" operator="containsText" text="&lt;current">
      <formula>NOT(ISERROR(SEARCH("&lt;current",B4)))</formula>
    </cfRule>
  </conditionalFormatting>
  <conditionalFormatting sqref="H4:H9">
    <cfRule type="containsText" dxfId="12" priority="2" operator="containsText" text="Note">
      <formula>NOT(ISERROR(SEARCH("Note",H4)))</formula>
    </cfRule>
    <cfRule type="containsText" dxfId="11" priority="8" operator="containsText" text="Done">
      <formula>NOT(ISERROR(SEARCH("Done",H4)))</formula>
    </cfRule>
    <cfRule type="containsText" dxfId="10" priority="9" operator="containsText" text="In progress">
      <formula>NOT(ISERROR(SEARCH("In progress",H4)))</formula>
    </cfRule>
    <cfRule type="containsText" dxfId="9" priority="10" operator="containsText" text="To do">
      <formula>NOT(ISERROR(SEARCH("To do",H4)))</formula>
    </cfRule>
  </conditionalFormatting>
  <conditionalFormatting sqref="N4:N9">
    <cfRule type="cellIs" dxfId="8" priority="1" operator="lessThan">
      <formula>TODAY()</formula>
    </cfRule>
  </conditionalFormatting>
  <conditionalFormatting sqref="P4:P9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9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9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9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9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9" xr:uid="{F32ADCD5-9D8D-4CCE-8AA4-B6EAC1E91473}">
      <formula1>"important,fruit"</formula1>
    </dataValidation>
  </dataValidations>
  <hyperlinks>
    <hyperlink ref="C9" location="Planning!A1" display="Planning!A1" xr:uid="{DC7DDB32-EF71-4AF1-8BCC-DD612195F9BE}"/>
    <hyperlink ref="C8" location="Planning!A1" display="Planning!A1" xr:uid="{EBD8FA7B-6F45-4107-9A30-C2F459C02322}"/>
    <hyperlink ref="C7" location="Planning!A1" display="Planning!A1" xr:uid="{4C92ED6D-F287-43A3-8D72-7C8CD1EAC1B2}"/>
    <hyperlink ref="C6" location="Planning!A1" display="Planning!A1" xr:uid="{A6A5FD4B-C568-4E94-99E9-E00CC4549018}"/>
    <hyperlink ref="C5" location="Planning!A1" display="Planning!A1" xr:uid="{DE5EBC32-11FE-432D-A8AD-C15F85F78D16}"/>
    <hyperlink ref="C4" location="Planning!A1" display="Planning!A1" xr:uid="{A5952152-BB82-4A9E-A638-DF56A1EBCCB0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A0E3-FB52-4673-87AF-E051982CB6D0}">
  <sheetPr codeName="Tabelle1"/>
  <dimension ref="A1:N24"/>
  <sheetViews>
    <sheetView workbookViewId="0">
      <selection activeCell="H11" sqref="H11"/>
    </sheetView>
  </sheetViews>
  <sheetFormatPr baseColWidth="10" defaultRowHeight="15" x14ac:dyDescent="0.25"/>
  <cols>
    <col min="1" max="3" width="9.7109375" customWidth="1"/>
    <col min="4" max="5" width="4" customWidth="1"/>
    <col min="6" max="8" width="9.7109375" customWidth="1"/>
    <col min="9" max="11" width="4" customWidth="1"/>
  </cols>
  <sheetData>
    <row r="1" spans="1:8" ht="21" customHeight="1" x14ac:dyDescent="0.25"/>
    <row r="2" spans="1:8" ht="21" customHeight="1" x14ac:dyDescent="0.25"/>
    <row r="3" spans="1:8" ht="21" customHeight="1" x14ac:dyDescent="0.25">
      <c r="F3" t="s">
        <v>216</v>
      </c>
      <c r="G3" t="s">
        <v>217</v>
      </c>
      <c r="H3" t="s">
        <v>218</v>
      </c>
    </row>
    <row r="4" spans="1:8" ht="21" customHeight="1" x14ac:dyDescent="0.25">
      <c r="D4" s="54"/>
    </row>
    <row r="5" spans="1:8" ht="21" customHeight="1" x14ac:dyDescent="0.25">
      <c r="A5" t="s">
        <v>216</v>
      </c>
      <c r="B5" t="s">
        <v>217</v>
      </c>
      <c r="C5" t="s">
        <v>218</v>
      </c>
    </row>
    <row r="6" spans="1:8" ht="21" customHeight="1" x14ac:dyDescent="0.25"/>
    <row r="7" spans="1:8" ht="21" customHeight="1" x14ac:dyDescent="0.25"/>
    <row r="8" spans="1:8" ht="21" customHeight="1" x14ac:dyDescent="0.25"/>
    <row r="9" spans="1:8" ht="21" customHeight="1" x14ac:dyDescent="0.25"/>
    <row r="10" spans="1:8" ht="21" customHeight="1" x14ac:dyDescent="0.25"/>
    <row r="11" spans="1:8" ht="21" customHeight="1" x14ac:dyDescent="0.25"/>
    <row r="12" spans="1:8" ht="21" customHeight="1" x14ac:dyDescent="0.25"/>
    <row r="13" spans="1:8" ht="21" customHeight="1" x14ac:dyDescent="0.25"/>
    <row r="14" spans="1:8" ht="21" customHeight="1" x14ac:dyDescent="0.25"/>
    <row r="15" spans="1:8" ht="21" customHeight="1" x14ac:dyDescent="0.25"/>
    <row r="16" spans="1:8" ht="21" customHeight="1" x14ac:dyDescent="0.25"/>
    <row r="17" ht="21" customHeight="1" x14ac:dyDescent="0.25"/>
    <row r="18" ht="21" customHeight="1" x14ac:dyDescent="0.25"/>
    <row r="19" ht="21" customHeight="1" x14ac:dyDescent="0.25"/>
    <row r="20" ht="21" customHeight="1" x14ac:dyDescent="0.25"/>
    <row r="21" ht="21" customHeight="1" x14ac:dyDescent="0.25"/>
    <row r="22" ht="21" customHeight="1" x14ac:dyDescent="0.25"/>
    <row r="23" ht="21" customHeight="1" x14ac:dyDescent="0.25"/>
    <row r="24" ht="21" customHeight="1" x14ac:dyDescent="0.25"/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565F0-D953-43D9-BDF1-0115B7170F36}">
  <sheetPr codeName="TaskSheetTemplate1"/>
  <dimension ref="A1:M17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SUM(TimeEntries377[Time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215</v>
      </c>
    </row>
    <row r="11" spans="1:13" x14ac:dyDescent="0.25">
      <c r="A11" t="s">
        <v>5</v>
      </c>
      <c r="B11" s="2" t="e">
        <f>B3/SUM(TimeEntries377[Time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209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MAX((TimeEntries377[[#This Row],[End time]]-TimeEntries377[[#This Row],[Start time]])*24,0)</f>
        <v>0</v>
      </c>
      <c r="J16" s="15"/>
      <c r="K16" s="2"/>
      <c r="L16" s="2">
        <f>SUM(TimeEntries377[Time delta in h])</f>
        <v>0</v>
      </c>
      <c r="M16" s="16" t="e">
        <f>Tabelle7367378[[#This Row],[EBS self time]]/Tabelle7367378[[#This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1694D461-B306-4D2A-9EC7-EC3A441556C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70"/>
  <sheetViews>
    <sheetView topLeftCell="A5" workbookViewId="0">
      <selection activeCell="C31" sqref="C3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190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7">
        <v>43878.817696759259</v>
      </c>
      <c r="C19" t="s">
        <v>150</v>
      </c>
      <c r="D19" t="s">
        <v>27</v>
      </c>
      <c r="E19" t="s">
        <v>146</v>
      </c>
      <c r="F19" t="s">
        <v>147</v>
      </c>
      <c r="G19" t="s">
        <v>148</v>
      </c>
      <c r="H19" t="s">
        <v>149</v>
      </c>
      <c r="J19" t="s">
        <v>133</v>
      </c>
      <c r="K19" t="s">
        <v>145</v>
      </c>
      <c r="L19">
        <v>2</v>
      </c>
      <c r="M19" s="2">
        <v>0</v>
      </c>
      <c r="N19" s="2">
        <v>5</v>
      </c>
      <c r="O19" t="s">
        <v>200</v>
      </c>
      <c r="P19" t="s">
        <v>200</v>
      </c>
      <c r="Q19" t="s">
        <v>200</v>
      </c>
      <c r="R19" t="s">
        <v>146</v>
      </c>
      <c r="S19" t="s">
        <v>201</v>
      </c>
      <c r="T19" t="s">
        <v>202</v>
      </c>
    </row>
    <row r="20" spans="1:20" x14ac:dyDescent="0.25">
      <c r="A20" t="s">
        <v>134</v>
      </c>
      <c r="B20" s="17">
        <v>43940.766226851854</v>
      </c>
      <c r="C20" t="s">
        <v>189</v>
      </c>
      <c r="D20" t="s">
        <v>27</v>
      </c>
      <c r="E20" t="s">
        <v>146</v>
      </c>
      <c r="F20" t="s">
        <v>191</v>
      </c>
      <c r="G20" t="s">
        <v>192</v>
      </c>
      <c r="H20" t="s">
        <v>188</v>
      </c>
      <c r="J20" t="s">
        <v>134</v>
      </c>
      <c r="K20" t="s">
        <v>144</v>
      </c>
      <c r="L20">
        <v>1</v>
      </c>
      <c r="M20" s="2">
        <v>2.7502777775516698</v>
      </c>
      <c r="N20" s="2">
        <v>0.25</v>
      </c>
      <c r="O20" t="s">
        <v>203</v>
      </c>
      <c r="P20" t="s">
        <v>187</v>
      </c>
      <c r="Q20" t="s">
        <v>200</v>
      </c>
      <c r="R20" t="s">
        <v>146</v>
      </c>
      <c r="S20" t="s">
        <v>201</v>
      </c>
      <c r="T20" t="s">
        <v>202</v>
      </c>
    </row>
    <row r="21" spans="1:20" x14ac:dyDescent="0.25">
      <c r="A21" t="s">
        <v>135</v>
      </c>
      <c r="B21" s="17">
        <v>43959.961782407408</v>
      </c>
      <c r="C21" t="s">
        <v>189</v>
      </c>
      <c r="D21" t="s">
        <v>27</v>
      </c>
      <c r="E21" t="s">
        <v>146</v>
      </c>
      <c r="F21" t="s">
        <v>194</v>
      </c>
      <c r="G21" t="s">
        <v>195</v>
      </c>
      <c r="H21" t="s">
        <v>193</v>
      </c>
      <c r="M21" s="2"/>
      <c r="N21" s="2"/>
    </row>
    <row r="22" spans="1:20" x14ac:dyDescent="0.25">
      <c r="A22" t="s">
        <v>136</v>
      </c>
      <c r="B22" s="17">
        <v>44041.479814814818</v>
      </c>
      <c r="C22" t="s">
        <v>189</v>
      </c>
      <c r="D22" t="s">
        <v>27</v>
      </c>
      <c r="E22" t="s">
        <v>146</v>
      </c>
      <c r="F22" t="s">
        <v>197</v>
      </c>
      <c r="G22" t="s">
        <v>198</v>
      </c>
      <c r="H22" t="s">
        <v>196</v>
      </c>
      <c r="M22" s="2"/>
      <c r="N22" s="2"/>
    </row>
    <row r="23" spans="1:20" x14ac:dyDescent="0.25">
      <c r="A23" t="s">
        <v>137</v>
      </c>
      <c r="B23" s="17">
        <v>44044.481226851851</v>
      </c>
      <c r="C23" t="s">
        <v>189</v>
      </c>
      <c r="D23" t="s">
        <v>27</v>
      </c>
      <c r="E23" t="s">
        <v>146</v>
      </c>
      <c r="F23" t="s">
        <v>201</v>
      </c>
      <c r="G23" t="s">
        <v>202</v>
      </c>
      <c r="H23" t="s">
        <v>199</v>
      </c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4" spans="2:2" x14ac:dyDescent="0.25">
      <c r="B54" s="17"/>
    </row>
    <row r="55" spans="2:2" x14ac:dyDescent="0.25">
      <c r="B55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  <row r="59" spans="2:2" x14ac:dyDescent="0.25">
      <c r="B59" s="17"/>
    </row>
    <row r="60" spans="2:2" x14ac:dyDescent="0.25">
      <c r="B60" s="17"/>
    </row>
    <row r="61" spans="2:2" x14ac:dyDescent="0.25">
      <c r="B61" s="17"/>
    </row>
    <row r="62" spans="2:2" x14ac:dyDescent="0.25">
      <c r="B62" s="17"/>
    </row>
    <row r="63" spans="2:2" x14ac:dyDescent="0.25">
      <c r="B63" s="17"/>
    </row>
    <row r="64" spans="2:2" x14ac:dyDescent="0.25">
      <c r="B64" s="17"/>
    </row>
    <row r="65" spans="2:2" x14ac:dyDescent="0.25">
      <c r="B65" s="17"/>
    </row>
    <row r="68" spans="2:2" x14ac:dyDescent="0.25">
      <c r="B68" s="17"/>
    </row>
    <row r="69" spans="2:2" x14ac:dyDescent="0.25">
      <c r="B69" s="17"/>
    </row>
    <row r="70" spans="2:2" x14ac:dyDescent="0.25">
      <c r="B70" s="17"/>
    </row>
  </sheetData>
  <mergeCells count="2">
    <mergeCell ref="F15:H15"/>
    <mergeCell ref="F16:H16"/>
  </mergeCells>
  <conditionalFormatting sqref="D35:D1048576 D33 D1:D31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3 D19:D3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151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152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153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154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155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156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157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158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159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160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161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162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163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164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165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166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167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168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169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170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171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172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173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174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175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176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177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178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179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180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181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182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183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184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185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186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D5" sqref="D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209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MAX((TimeEntries[[#This Row],[End time]]-TimeEntries[[#This Row],[Start time]])*24,0)</f>
        <v>0</v>
      </c>
      <c r="J16" s="15"/>
      <c r="K16" s="2"/>
      <c r="L16" s="2">
        <f>SUM(TimeEntries[Time delta in h])</f>
        <v>0</v>
      </c>
      <c r="M16" s="16" t="e">
        <f>Tabelle7367[[#This Row],[EBS self time]]/Tabelle7367[[#This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VSHEET_STOR_5FA28F</vt:lpstr>
      <vt:lpstr>Planning</vt:lpstr>
      <vt:lpstr>Tabelle1</vt:lpstr>
      <vt:lpstr>t4358A3ABA60DD936B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2020-08-13T18:34:04Z</dcterms:modified>
  <cp:category/>
  <cp:contentStatus/>
</cp:coreProperties>
</file>