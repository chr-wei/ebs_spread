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C697045D-C7F6-4D6B-A6FB-FE26F20C7ADE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405" r:id="rId2"/>
    <sheet name="Analysis" sheetId="1004" r:id="rId3"/>
    <sheet name="Settings" sheetId="418" r:id="rId4"/>
    <sheet name="Messages" sheetId="1390" r:id="rId5"/>
    <sheet name="Task sheet template" sheetId="5" state="hidden" r:id="rId6"/>
    <sheet name="Version info" sheetId="3" r:id="rId7"/>
    <sheet name="EbsSheet template" sheetId="440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tc={E59F196A-2D17-4CE6-9BD0-A85A11E8FDD9}</author>
  </authors>
  <commentList>
    <comment ref="P18" authorId="0" shapeId="0" xr:uid="{E59F196A-2D17-4CE6-9BD0-A85A11E8FDD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<sst xmlns="http://schemas.openxmlformats.org/spreadsheetml/2006/main" count="238" uniqueCount="183">
  <si>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</si>
  <si>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</si>
  <si>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</si>
  <si>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</si>
  <si>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</si>
  <si>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</si>
  <si>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</si>
  <si>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</si>
  <si>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</si>
  <si>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</si>
  <si>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</si>
  <si>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</si>
  <si>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</si>
  <si>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</si>
  <si>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</si>
  <si>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</si>
  <si>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</si>
  <si>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</si>
  <si>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</si>
  <si>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</si>
  <si>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</si>
  <si>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</si>
  <si>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</si>
  <si>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</si>
  <si>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</si>
  <si>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</si>
  <si>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</si>
  <si>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</si>
  <si>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</si>
  <si>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</si>
  <si>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</si>
  <si>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</si>
  <si>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</si>
  <si>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</si>
  <si>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</si>
  <si>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</si>
  <si>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</si>
  <si>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</si>
  <si>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</si>
  <si>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</si>
  <si>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</si>
  <si>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</si>
  <si>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</si>
  <si>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</si>
  <si>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</si>
  <si>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</si>
  <si>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</si>
  <si>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</si>
  <si>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</si>
  <si>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</si>
  <si>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</si>
  <si>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</si>
  <si>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</si>
  <si>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</si>
  <si>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</si>
  <si>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</si>
  <si>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</si>
  <si>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</si>
  <si>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</si>
  <si>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</si>
  <si>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</si>
  <si>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</si>
  <si>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</si>
  <si>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</si>
  <si>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</si>
  <si>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</si>
  <si>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</si>
  <si>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</si>
  <si>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</si>
  <si>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</si>
  <si>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</si>
  <si>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</si>
  <si>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</si>
  <si>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</si>
  <si>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</si>
  <si>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</si>
  <si>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</si>
  <si>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</si>
  <si>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</si>
  <si>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</si>
  <si>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</si>
  <si>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</si>
  <si>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</si>
  <si>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</si>
  <si>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</si>
  <si>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</si>
  <si>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</si>
  <si>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</si>
  <si>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</si>
  <si>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</si>
  <si>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</si>
  <si>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</si>
  <si>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</si>
  <si>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</si>
  <si>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</si>
  <si>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</si>
  <si>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</si>
  <si>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</si>
  <si>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</si>
  <si>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</si>
  <si>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</si>
  <si>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</si>
  <si>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</si>
  <si>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</si>
  <si>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</si>
  <si>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</si>
  <si>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</si>
  <si>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</si>
  <si>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</si>
  <si>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</si>
  <si>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</si>
  <si>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</si>
  <si>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</si>
  <si>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</si>
  <si>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</si>
  <si>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</si>
  <si>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</si>
  <si>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</si>
  <si>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</si>
  <si>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</si>
  <si>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</si>
  <si>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</si>
  <si>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</si>
  <si>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</si>
  <si>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</si>
  <si>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</si>
  <si>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</si>
  <si>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</si>
  <si>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</si>
  <si>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</si>
  <si>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</si>
  <si>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</si>
  <si>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</si>
  <si>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</si>
  <si>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</si>
  <si>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</si>
  <si>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</si>
  <si>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</si>
  <si>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</si>
  <si>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</si>
  <si>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</si>
  <si>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</si>
  <si>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</si>
  <si>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</si>
  <si>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</si>
  <si>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</si>
  <si>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</si>
  <si>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</si>
  <si>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</si>
  <si>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</si>
  <si>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</si>
  <si>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</si>
  <si>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</si>
  <si>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</si>
  <si>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</si>
  <si>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</si>
  <si>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</si>
  <si>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</si>
  <si>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</si>
  <si>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</si>
  <si>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</si>
  <si>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</si>
  <si>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</si>
  <si>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</si>
  <si>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</si>
  <si>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</si>
  <si>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</si>
  <si>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</si>
  <si>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</si>
  <si>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</si>
  <si>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</si>
  <si>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</si>
  <si>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</si>
  <si>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</si>
  <si>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</si>
  <si>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</si>
  <si>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</si>
  <si>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</si>
  <si>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</si>
  <si>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</si>
  <si>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</si>
  <si>
    <t>{20,000}</t>
  </si>
  <si>
    <t>e6A4E11B01EE3119EF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</si>
</sst>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14" fontId="6" fillId="0" borderId="0" xfId="1" applyNumberFormat="1" applyFill="1" applyAlignment="1">
      <alignment wrapText="1"/>
    </xf>
    <xf numFmtId="2" fontId="0" fillId="0" borderId="0" xfId="0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22" fontId="0" fillId="0" borderId="0" xfId="0" applyNumberFormat="1" applyFill="1" applyAlignment="1">
      <alignment wrapText="1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26/08/2020 21:15:02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9C57-49D8-8DB1-40A1C7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032-4136-92D2-B2F9788F8B33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032-4136-92D2-B2F9788F8B33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9032-4136-92D2-B2F9788F8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210557D-CD76-4F78-9B35-CF9FF5F9E91D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8FCB0AC-5402-4E75-A58F-B931B6AD6444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7AA80CE-E68C-4948-A4AC-EEBA346B40EA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1AFE604-3C00-4785-9F3A-914DA6CE0D3A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3AE3452-99A0-4B3F-B82E-C25B3AA4B9C5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DB59CB6-B32F-4130-86D5-832821CE6A1A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A8D15A8-A9C8-4BCA-88D6-AEC651AEBED8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C63C06B-DD90-4C34-BF8A-48F140443EFE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36F182B-A6C2-4734-A513-E03B360119E2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41ACDD5-B756-42D9-BB1C-2BD167A6F16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363A60E-EC0F-4EF1-A238-E58BB2088673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DF167E6-0FC1-4518-8735-3F04AF5ECD02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EEBB272-D256-4B7B-9510-37754BC7EE3A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E2F21C6-FFC3-4CE9-80DB-AC8EC7DC0C15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689608-7E36-4AEE-B368-660F49B144FE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F3DFC57-1D66-4759-9ED5-B9EEDBC0EEC3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36D9BB-7C33-4C07-868F-F5506983D176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7C53371-E977-4DAE-8E14-2C00F39EE7B5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32F66E9-C60B-41D6-B3D2-70F594CA5328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4E2CAC4-1824-456F-8E1B-CF9CDAE6515C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6C09594-665D-4996-8B63-C32BA257EA5C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06B2865-9FEE-4034-9A2A-23DB808C27D9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57A0F0E-0E52-4177-B9DD-706127C63CFD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AEFF1E9-91AD-416C-9D90-AAE2FADB212D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8667B10-BB87-4622-9DCB-9BE11D287E14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A3F11E8-7107-4884-9E37-1CBDC75CD147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AAD3D96-59D8-47CE-98B0-3D949E8477B8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B953C4D-E8CE-4C89-A037-8E9FF95A7971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C8F427E-AAE7-43F9-A897-F5D1878591A9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93BF3E3-B094-4063-B6FB-C0A2212F501D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5F6F82C-4515-4F15-B4C9-9F2879812CD2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7F9EFBA-50DF-44E5-8E79-469B656C2ED3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491F83E-A714-4495-8B6A-DB5565F8D407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D3865A4-B882-4EC8-AD1E-ED32DE435EE9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1EEF410-EFBB-4174-876E-D7B1D9A3E195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4063A35-F941-4963-8A49-17DC512EF6D1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C9C39B4-52FB-4DA6-BE3A-EDD2CE70DF1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1B9CE59-682B-4708-9F0F-E2A39BAD698F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664DF67-9DA3-4EF3-9ACD-5EC2DCDC7954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CA7A3B3-C718-4659-A1B1-5E61ECAAA6FB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3B1BC48-0E5F-4A04-862D-70EFA1AE1AD1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BAE64EE-0FA6-4481-B1E5-9226E349D9D6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7523203-904D-4A7A-8A68-2B5F4BF01F61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4EA1D9C-7EAC-4A86-BD76-1812732995CA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151F806-BFDC-41D9-B7AA-4C5F21C674FF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41F77A9-9BCC-42D1-B392-1D7F91007E4F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522BAAB-5A95-41DA-AC2D-E65547825445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B4783C6-7863-4C58-83AA-7DDCEE43C38C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04E4493-437A-4B68-B4CE-E1271AB7DD38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9195A28-AFD2-4AB7-9BF5-C8F85758CE4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3792B7F-75F6-4D2A-BB16-670C095B4AB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621C282-1DE5-4D1D-A789-A81A8893C9EC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0B94E86-6533-4B3E-8733-D8F33DDF5ECA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64D0851-153E-4AAE-81FD-122EC8039BD5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DA1AC8F-ECF1-4445-B98D-FC8286760FC5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8CF89DF-095F-4746-A7F1-830A3854A0A6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55D5782-4A9E-49F3-8C7B-DF3B814AD4F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9F196F0-CF24-4078-9F37-D08B5E3C15E9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499085B-D6BF-4ABC-B0FF-CD97EA539B86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954D37E-CF8E-4289-8D2E-FE0F22B95A9F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8E9EEEB-B19F-4FDD-8BAE-1B4584473C88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F29131A-E2B1-4F2C-BC7E-260D9844ABE6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68CE7E3-2190-4CD7-AE01-0AF72A93284C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A384A67-A350-46F6-A7DA-5003AA685F71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34BD991-51C3-4151-A344-52C9F7CDD7BF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E1EC612-6FB1-42A6-84D4-35CD49B31015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145C8F6-3D61-4D77-B3C8-6E879773BE57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0A2A65B-C923-4DBB-AD02-04D8B12DAAAA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8BE234B-0B2B-4B0F-8DFE-2D0063A1554B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56C8B61-6AE9-4411-BA48-E371D62E6ECD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8600FC7-EFBF-4F2C-85D9-FA4342AFBCC3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395250A-736D-422F-A109-5D3A35322A2B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C1E0276-94CB-4C43-B563-DA2633852A5C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4F4DE60-BB7C-4E4A-A6B3-E5D2296CC79B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90B51A-1B44-466A-B404-A78E069DE896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C376E39-8DE0-428B-B2D3-F82609FDD353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ED0742F-789F-4C5A-A935-A64AB727203F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0797018-2EFA-4962-B9AC-530AF1AB7E6D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9000A9B-5957-4461-9321-3E0973123EA7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474015-FD3E-4847-8870-32EDEFC900D8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D8DB48-82F5-428B-9069-1FCD8BE9111C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7746B3D-CFD8-40B0-8E76-A662CC660A74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3D8858C-6E8F-4815-8AA0-72F4D2A59369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B1D5AD2-632D-486A-BD20-6B3969D60C4A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79F407D-7581-41A4-8D80-9DD9673EEC87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82F9654-B6FA-4ED5-A401-EE48CC15EE19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C70E6CD-E75A-4678-B115-2496E0DE039B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A9884A0-E714-4C3E-8F71-722D91DF3B89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7660734-F209-4402-A50E-7DED355B87C9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B1EEB5-8AA0-42D6-80F8-01F342AB4311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671E348-9E63-4465-873D-FAE60D171018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7C633F-4459-4D9A-9BAD-73DAD1AAEE5D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9D9DFC0-B350-4F3E-9F09-7D3BDF94BCB8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095CBAA-B320-4695-9F08-7E0EB99C6CEB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196A88C-191F-4EE0-86AE-A770CC367747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7F91121-A4FC-46CF-BB8E-008C4FB4B2E2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D4F6928-7D7B-4397-8755-AF65D793C182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826443AB-A1D3-4715-A3AC-1783E591EF8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A3EAC04C-9456-4E6F-BE8B-B6916CE5892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4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31" dataCellStyle="Standard"/>
    <tableColumn id="3" xr3:uid="{3AD21368-826B-4507-A159-BE8BE5B02C1F}" name="Indicator" dataDxfId="30" dataCellStyle="Spaltenebene_1"/>
    <tableColumn id="2" xr3:uid="{C139B307-7150-4838-B1FD-482AAB7B1208}" name="Task name" dataDxfId="29" dataCellStyle="Link"/>
    <tableColumn id="18" xr3:uid="{3B298737-E571-4F23-9C71-2BC3C2385355}" name="Comment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BF0671-8FE6-42D5-8874-7C95B9D3EED6}" name="EbsBaseData4326270421" displayName="EbsBaseData4326270421" ref="A18:H19" totalsRowShown="0">
  <autoFilter ref="A18:H19" xr:uid="{1948C160-1F52-48A7-8061-8AFF06D47134}"/>
  <tableColumns count="8">
    <tableColumn id="1" xr3:uid="{679123A7-C230-4642-9D8D-61A0AB250EF9}" name="EBS entry no."/>
    <tableColumn id="4" xr3:uid="{4BBD5E34-52B1-4E17-B74D-A9DFD8DA4CBB}" name="EBS run date" dataDxfId="34"/>
    <tableColumn id="8" xr3:uid="{FCAC5FB1-D4AF-436C-BB0A-C855C297B14D}" name="[Velocity pool]"/>
    <tableColumn id="2" xr3:uid="{BE078BCC-1881-4D6D-9D55-986B83CA6177}" name="Show pool?"/>
    <tableColumn id="3" xr3:uid="{1D28932A-B837-4DF7-949D-BE15FEC9640D}" name="[Propability support points]"/>
    <tableColumn id="5" xr3:uid="{0704308F-BA41-4041-A09A-94430FCEDCF9}" name="[Project time estimates]"/>
    <tableColumn id="6" xr3:uid="{9F629585-9FBF-438D-8973-D938E12C749B}" name="[Project date estimates]"/>
    <tableColumn id="7" xr3:uid="{30859941-B4C3-4D7B-B002-85BB057BD002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D69066-53DC-4EF5-8106-7921F2C09896}" name="EbsTaskData9592711222" displayName="EbsTaskData9592711222" ref="J18:T19" insertRow="1" totalsRowShown="0">
  <autoFilter ref="J18:T19" xr:uid="{2297DC20-55A3-4C75-B785-3C4ABEF5CB9C}"/>
  <tableColumns count="11">
    <tableColumn id="1" xr3:uid="{BFF877FA-EDC1-4E0C-95A6-776852DF3F39}" name="Data entry no."/>
    <tableColumn id="10" xr3:uid="{5460463B-95CA-49BB-82BF-581B3758C08F}" name="tHASH"/>
    <tableColumn id="5" xr3:uid="{553BA270-BBC8-419E-93D3-AEC3C1984E78}" name="Logged Priority"/>
    <tableColumn id="7" xr3:uid="{DA520822-1454-4B0D-A0AA-2937515E872A}" name="Time spent so far" dataDxfId="33"/>
    <tableColumn id="4" xr3:uid="{4C334666-5FF6-4EA9-9DCD-9D5692153BAC}" name="User time estimate" dataDxfId="32"/>
    <tableColumn id="3" xr3:uid="{B89A523C-89DB-4CC8-9096-BFD1B34BB9CF}" name="[Monte Carlo estimate pool]"/>
    <tableColumn id="2" xr3:uid="{DD73444C-4BE9-4988-9B84-375C9E9A1A2E}" name="[Remaining time pool]"/>
    <tableColumn id="6" xr3:uid="{1AEE81E1-0CBB-4F89-AF2C-8B64AC16F53B}" name="[Accumulated time pool]"/>
    <tableColumn id="8" xr3:uid="{1F207371-9724-49F6-A826-986EC4864E6F}" name="[Propability support points]"/>
    <tableColumn id="9" xr3:uid="{A68756E3-FDF8-4B94-93C9-77D4E9C62E4E}" name="[Interpolated time estimates]"/>
    <tableColumn id="11" xr3:uid="{9F38126C-B3A8-4CD6-AAF1-616411B9AA5F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5" dataDxfId="53" headerRowBorderDxfId="54">
  <autoFilter ref="A8:D54" xr:uid="{8E9EC0C1-7901-48B6-A59A-1CE6ABEE7A55}"/>
  <tableColumns count="4">
    <tableColumn id="1" xr3:uid="{58BB2187-C79D-4A1A-A9A3-DA2F074C476C}" name="Split entry no." dataDxfId="52"/>
    <tableColumn id="2" xr3:uid="{A755482D-FFF4-43D8-8021-1956CE3A7021}" name="Split start" dataDxfId="51"/>
    <tableColumn id="3" xr3:uid="{FE0A0B8D-1F8A-4CEC-9FB3-C945A45F99BF}" name="Split end" dataDxfId="50"/>
    <tableColumn id="4" xr3:uid="{5443222D-0CE3-4625-9EDB-D13B87B6C388}" name="Time spent" dataDxfId="49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8" dataCellStyle="Link"/>
    <tableColumn id="9" xr3:uid="{0037D127-E2BA-445A-BC63-1395BA3AC441}" name="Calendar ID" dataDxfId="47" dataCellStyle="Link"/>
    <tableColumn id="10" xr3:uid="{37CA3B7B-8FF0-4042-97C6-E23A79A74325}" name="Store ID"/>
    <tableColumn id="6" xr3:uid="{044D8005-25C5-4D31-940A-B6DE4C6B0EA5}" name="WorkingDays" dataDxfId="46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5"/>
    <tableColumn id="8" xr3:uid="{1177B0FB-46B2-406D-B988-C64E0ABA6972}" name="AppointmentOffsetHours" dataDxfId="44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43"/>
    <tableColumn id="3" xr3:uid="{78DABF02-3853-48FF-81AD-5801C74BED1B}" name="End time" dataDxfId="42"/>
    <tableColumn id="4" xr3:uid="{76C994F9-216A-4848-9FB6-16BAF8B0EEEA}" name="Time delta in h" dataDxfId="41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0"/>
    <tableColumn id="3" xr3:uid="{A62B365F-400F-45A4-B789-FE7B5FDBD312}" name="EBS self time" dataDxfId="39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8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7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6"/>
    <tableColumn id="4" xr3:uid="{F9EDA55E-5206-49A7-A846-6A0B14C04CAF}" name="User time estimate" dataDxfId="35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59F196A-2D17-4CE6-9BD0-A85A11E8FDD9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E12" sqref="E12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customWidth="1" outlineLevel="1"/>
    <col min="12" max="12" width="15" style="10" customWidth="1" outlineLevel="1"/>
    <col min="13" max="13" width="15.7109375" style="10" customWidth="1" outlineLevel="1"/>
    <col min="14" max="14" width="15.7109375" style="38" customWidth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8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/>
      <c r="B4" s="47"/>
      <c r="C4" s="48"/>
      <c r="D4" s="48"/>
      <c r="E4" s="49"/>
      <c r="F4" s="46"/>
      <c r="G4" s="46"/>
      <c r="H4" s="46"/>
      <c r="I4" s="51"/>
      <c r="J4" s="51"/>
      <c r="K4" s="54"/>
      <c r="L4" s="46"/>
      <c r="M4" s="46"/>
      <c r="N4" s="50"/>
      <c r="O4" s="46"/>
      <c r="P4" s="46"/>
      <c r="Q4" s="46"/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4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2"/>
      <c r="S10" s="41"/>
      <c r="T10" s="41"/>
      <c r="U10" s="43"/>
    </row>
    <row r="11" spans="1:22" s="44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2"/>
      <c r="S11" s="41"/>
      <c r="T11" s="41"/>
      <c r="U11" s="43"/>
      <c r="V11" s="45"/>
    </row>
    <row r="39" spans="22:22" x14ac:dyDescent="0.25">
      <c r="V39" t="s">
        <v>88</v>
      </c>
    </row>
  </sheetData>
  <dataConsolidate/>
  <conditionalFormatting sqref="B4">
    <cfRule type="containsText" dxfId="13" priority="7" operator="containsText" text="&lt;current">
      <formula>NOT(ISERROR(SEARCH("&lt;current",B4)))</formula>
    </cfRule>
  </conditionalFormatting>
  <conditionalFormatting sqref="H4">
    <cfRule type="containsText" dxfId="12" priority="2" operator="containsText" text="Note">
      <formula>NOT(ISERROR(SEARCH("Note",H4)))</formula>
    </cfRule>
    <cfRule type="containsText" dxfId="11" priority="8" operator="containsText" text="Done">
      <formula>NOT(ISERROR(SEARCH("Done",H4)))</formula>
    </cfRule>
    <cfRule type="containsText" dxfId="10" priority="9" operator="containsText" text="In progress">
      <formula>NOT(ISERROR(SEARCH("In progress",H4)))</formula>
    </cfRule>
    <cfRule type="containsText" dxfId="9" priority="10" operator="containsText" text="To do">
      <formula>NOT(ISERROR(SEARCH("To do",H4)))</formula>
    </cfRule>
  </conditionalFormatting>
  <conditionalFormatting sqref="N4">
    <cfRule type="cellIs" dxfId="8" priority="1" operator="lessThan">
      <formula>TODAY()</formula>
    </cfRule>
  </conditionalFormatting>
  <conditionalFormatting sqref="P4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142D0098-4503-431C-A5B1-9F67A610E71E}">
      <formula1>"tag4"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E92B484D-5708-474E-B2B5-4D6A6BAED0F1}">
      <formula1>"tag6,tag5"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0947217C-504F-4CB4-804F-01DA95DFE1EE}">
      <formula1>"Me"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0A0E-4268-4B62-B545-7678BB226748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7">
        <v>44069.885439814818</v>
      </c>
      <c r="C19" t="s">
        <v>181</v>
      </c>
      <c r="D19" t="s">
        <v>27</v>
      </c>
      <c r="H19" t="s">
        <v>182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B676EAC3-C606-4AE2-A08D-963724306F55}">
      <formula1>"Yes,No"</formula1>
    </dataValidation>
    <dataValidation type="list" allowBlank="1" showInputMessage="1" showErrorMessage="1" sqref="F16" xr:uid="{A1164FF2-3A42-4263-82E5-C17ABEE88769}">
      <formula1>"Time,Date"</formula1>
    </dataValidation>
    <dataValidation type="list" allowBlank="1" showInputMessage="1" showErrorMessage="1" sqref="F15:H15" xr:uid="{7BF91611-DC3D-4A95-9C3C-FEAE4D896A1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H9" sqref="H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144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145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146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147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148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149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150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151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152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153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154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155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156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157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158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159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160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161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162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163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164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165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166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167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168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169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170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171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172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173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174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175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176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177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178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179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18" sqref="A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180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2020-08-26T19:44:38Z</dcterms:modified>
  <cp:category/>
  <cp:contentStatus/>
</cp:coreProperties>
</file>