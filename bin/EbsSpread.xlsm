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8531DF23-D8E2-4BE3-AFDF-7757C60D8442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405" r:id="rId2"/>
    <sheet name="Analysis" sheetId="1004" r:id="rId3"/>
    <sheet name="Settings" sheetId="418" r:id="rId4"/>
    <sheet name="Messages" sheetId="1390" r:id="rId5"/>
    <sheet name="Task sheet template" sheetId="5" state="hidden" r:id="rId6"/>
    <sheet name="Version info" sheetId="3" r:id="rId7"/>
    <sheet name="EbsSheet template" sheetId="440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tc={AF0BCD2F-1576-43E5-88C4-24FC1923FC78}</author>
  </authors>
  <commentList>
    <comment ref="P18" authorId="0" shapeId="0" xr:uid="{AF0BCD2F-1576-43E5-88C4-24FC1923FC7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<sst xmlns="http://schemas.openxmlformats.org/spreadsheetml/2006/main" count="285" uniqueCount="205">
  <si>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</si>
  <si>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</si>
  <si>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</si>
  <si>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</si>
  <si>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</si>
  <si>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</si>
  <si>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</si>
  <si>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</si>
  <si>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</si>
  <si>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</si>
  <si>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</si>
  <si>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</si>
  <si>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</si>
  <si>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</si>
  <si>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</si>
  <si>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</si>
  <si>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</si>
  <si>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</si>
  <si>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</si>
  <si>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</si>
  <si>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</si>
  <si>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</si>
  <si>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</si>
  <si>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</si>
  <si>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</si>
  <si>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</si>
  <si>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</si>
  <si>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</si>
  <si>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</si>
  <si>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</si>
  <si>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</si>
  <si>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</si>
  <si>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</si>
  <si>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</si>
  <si>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</si>
  <si>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</si>
  <si>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</si>
  <si>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</si>
  <si>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</si>
  <si>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</si>
  <si>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</si>
  <si>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</si>
  <si>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</si>
  <si>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</si>
  <si>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</si>
  <si>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</si>
  <si>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</si>
  <si>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</si>
  <si>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</si>
  <si>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</si>
  <si>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</si>
  <si>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</si>
  <si>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</si>
  <si>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</si>
  <si>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</si>
  <si>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</si>
  <si>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</si>
  <si>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</si>
  <si>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</si>
  <si>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</si>
  <si>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</si>
  <si>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</si>
  <si>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</si>
  <si>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</si>
  <si>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</si>
  <si>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</si>
  <si>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</si>
  <si>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</si>
  <si>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</si>
  <si>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</si>
  <si>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</si>
  <si>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</si>
  <si>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</si>
  <si>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</si>
  <si>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</si>
  <si>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</si>
  <si>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</si>
  <si>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</si>
  <si>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</si>
  <si>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</si>
  <si>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</si>
  <si>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</si>
  <si>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</si>
  <si>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</si>
  <si>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</si>
  <si>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</si>
  <si>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</si>
  <si>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</si>
  <si>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</si>
  <si>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</si>
  <si>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</si>
  <si>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</si>
  <si>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</si>
  <si>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</si>
  <si>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</si>
  <si>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</si>
  <si>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</si>
  <si>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</si>
  <si>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</si>
  <si>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</si>
  <si>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</si>
  <si>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</si>
  <si>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</si>
  <si>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</si>
  <si>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</si>
  <si>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</si>
  <si>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</si>
  <si>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</si>
  <si>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</si>
  <si>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</si>
  <si>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</si>
  <si>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</si>
  <si>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</si>
  <si>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</si>
  <si>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</si>
  <si>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</si>
  <si>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</si>
  <si>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</si>
  <si>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</si>
  <si>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</si>
  <si>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</si>
  <si>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</si>
  <si>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</si>
  <si>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</si>
  <si>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</si>
  <si>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</si>
  <si>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</si>
  <si>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</si>
  <si>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</si>
  <si>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</si>
  <si>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</si>
  <si>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</si>
  <si>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</si>
  <si>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</si>
  <si>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</si>
  <si>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</si>
  <si>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</si>
  <si>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</si>
  <si>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</si>
  <si>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</si>
  <si>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</si>
  <si>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</si>
  <si>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</si>
  <si>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</si>
  <si>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tAAF8231FB67247C24</t>
  </si>
  <si>
    <t>t542BC5542C608ACDC</t>
  </si>
  <si>
    <t>{0,050;0,200;0,350;0,500;0,650;0,800;0,950}</t>
  </si>
  <si>
    <t>{4,500;5,500;6,500;7,000;9,500;9,600;11,500}</t>
  </si>
  <si>
    <t>{18/02/2020 12:30:00;18/02/2020 13:30:00;18/02/2020 14:30:00;18/02/2020 15:00:00;18/02/2020 17:30:00;18/02/2020 17:36:00;19/02/2020 09:00:00}</t>
  </si>
  <si>
    <t>e637063BE1A4F3CAD2</t>
  </si>
  <si>
    <t>{0,667;2,000}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</si>
  <si>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</si>
  <si>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</si>
  <si>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</si>
  <si>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</si>
  <si>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</si>
  <si>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</si>
  <si>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</si>
  <si>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</si>
  <si>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</si>
  <si>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</si>
  <si>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</si>
  <si>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</si>
  <si>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</si>
  <si>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</si>
  <si>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</si>
  <si>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</si>
  <si>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</si>
  <si>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</si>
  <si>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</si>
  <si>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</si>
  <si>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</si>
  <si>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</si>
  <si>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</si>
  <si>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</si>
  <si>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</si>
  <si>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</si>
  <si>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</si>
  <si>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</si>
  <si>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</si>
  <si>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</si>
  <si>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</si>
  <si>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</si>
  <si>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</si>
  <si>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</si>
  <si>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</si>
  <si>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</si>
  <si>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</si>
  <si>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e87A54AD7CFFCD7396</t>
  </si>
  <si>
    <t>{9,825;0,667;2,000}</t>
  </si>
  <si>
    <t>All</t>
  </si>
  <si>
    <t>{0,937;2,704;3,501;3,556;5,923;8,496;9,770}</t>
  </si>
  <si>
    <t>{20/04/2020 08:56:14;20/04/2020 10:42:13;20/04/2020 11:30:02;20/04/2020 11:33:23;20/04/2020 13:55:23;20/04/2020 16:29:47;20/04/2020 17:46:13}</t>
  </si>
  <si>
    <t>eD6F01E2DD00B2A4D2</t>
  </si>
  <si>
    <t>{1,677;3,452;3,563;5,499;7,700;8,571;11,243}</t>
  </si>
  <si>
    <t>{11/05/2020 09:40:39;11/05/2020 11:27:08;11/05/2020 11:33:47;11/05/2020 13:29:55;11/05/2020 15:41:59;11/05/2020 16:34:16;12/05/2020 08:44:36}</t>
  </si>
  <si>
    <t>e6E61E82C600BC5FCA</t>
  </si>
  <si>
    <t>{0,509;0,509;2,500;2,500;7,496;7,496;7,496}</t>
  </si>
  <si>
    <t>{03/08/2020 08:30:32;03/08/2020 08:30:32;03/08/2020 10:30:00;03/08/2020 10:30:00;03/08/2020 15:29:47;03/08/2020 15:29:47;03/08/2020 15:29:47}</t>
  </si>
  <si>
    <t>e584492D6E5A055045</t>
  </si>
  <si>
    <t>{2,500;2,500;2,500;0,509;2,500;7,496;0,509;0,509;7,496;0,509;7,496;2,500;0,509;0,509;0,509;7,496;2,500;2,500;7,496;7,496;0,509;0,509;7,496;2,500;7,496;0,509;0,509;0,509;2,500;0,509;2,500;2,500;0,509;7,496;2,500;2,500;0,509;2,500;0,509;2,500;7,496;2,500;7,496;7,496;0,509;2,500;0,509;0,509;2,500;0,509}</t>
  </si>
  <si>
    <t>{0,509;0,509;0,509;2,500;2,500;7,496;7,496}</t>
  </si>
  <si>
    <t>{03/08/2020 08:30:32;03/08/2020 08:30:32;03/08/2020 08:30:32;03/08/2020 10:30:00;03/08/2020 10:30:00;03/08/2020 15:29:47;03/08/2020 15:29:47}</t>
  </si>
  <si>
    <t>{0,375;0,025;0,025;0,125;0,125;0,375;0,375;0,125;0,375;0,125;0,375;0,125;0,025;0,375;0,025;0,025;0,025;0,375;0,375;0,125;0,375;0,125;0,125;0,125;0,125;0,025;0,025;0,125;0,125;0,125;0,375;0,125;0,375;0,125;0,375;0,375;0,125;0,025;0,125;0,375;0,375;0,375;0,375;0,375;0,025;0,025;0,025;0,125;0,375;0,025}</t>
  </si>
  <si>
    <t>Created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</si>
</sst>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4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2" fontId="0" fillId="0" borderId="0" xfId="0" applyNumberFormat="1" applyFill="1" applyAlignment="1">
      <alignment wrapText="1"/>
    </xf>
    <xf numFmtId="14" fontId="6" fillId="0" borderId="0" xfId="1" applyNumberFormat="1" applyFill="1" applyAlignment="1">
      <alignment wrapTex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17/02/2020 19:37:29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53E1-44D5-A953-0A541E14AEC0}"/>
            </c:ext>
          </c:extLst>
        </c:ser>
        <c:ser>
          <c:idx val="1"/>
          <c:order val="1"/>
          <c:tx>
            <c:v>Velo pool on: 19/04/2020 18:23:22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53E1-44D5-A953-0A541E14AEC0}"/>
            </c:ext>
          </c:extLst>
        </c:ser>
        <c:ser>
          <c:idx val="2"/>
          <c:order val="2"/>
          <c:tx>
            <c:v>Velo pool on: 08/05/2020 23:04:58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53E1-44D5-A953-0A541E14AEC0}"/>
            </c:ext>
          </c:extLst>
        </c:ser>
        <c:ser>
          <c:idx val="3"/>
          <c:order val="3"/>
          <c:tx>
            <c:v>Velo pool on: 29/07/2020 11:30:56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53E1-44D5-A953-0A541E14AEC0}"/>
            </c:ext>
          </c:extLst>
        </c:ser>
        <c:ser>
          <c:idx val="4"/>
          <c:order val="4"/>
          <c:tx>
            <c:v>Velo pool on: 01/08/2020 11:32:58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6-53E1-44D5-A953-0A541E14A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5.5</c:v>
              </c:pt>
              <c:pt idx="1">
                <c:v>2.2190000000000003</c:v>
              </c:pt>
              <c:pt idx="2">
                <c:v>2.62</c:v>
              </c:pt>
              <c:pt idx="3">
                <c:v>1.5045000000000002</c:v>
              </c:pt>
              <c:pt idx="4">
                <c:v>0.50900000000000001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069D-469D-9B5D-19F6F524DFA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8</c:v>
              </c:pt>
              <c:pt idx="1">
                <c:v>4.7119999999999997</c:v>
              </c:pt>
              <c:pt idx="2">
                <c:v>5.6315000000000008</c:v>
              </c:pt>
              <c:pt idx="3">
                <c:v>4.9980000000000002</c:v>
              </c:pt>
              <c:pt idx="4">
                <c:v>1.5045000000000002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069D-469D-9B5D-19F6F524DFA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"/>
              <c:pt idx="0">
                <c:v>43878.817696759259</c:v>
              </c:pt>
              <c:pt idx="1">
                <c:v>43940.766226851854</c:v>
              </c:pt>
              <c:pt idx="2">
                <c:v>43959.961782407408</c:v>
              </c:pt>
              <c:pt idx="3">
                <c:v>44041.479814814818</c:v>
              </c:pt>
              <c:pt idx="4">
                <c:v>44044.481226851851</c:v>
              </c:pt>
            </c:numLit>
          </c:xVal>
          <c:yVal>
            <c:numLit>
              <c:formatCode>General</c:formatCode>
              <c:ptCount val="5"/>
              <c:pt idx="0">
                <c:v>10.5</c:v>
              </c:pt>
              <c:pt idx="1">
                <c:v>7.8465000000000007</c:v>
              </c:pt>
              <c:pt idx="2">
                <c:v>9.4715000000000007</c:v>
              </c:pt>
              <c:pt idx="3">
                <c:v>7.4960000000000004</c:v>
              </c:pt>
              <c:pt idx="4">
                <c:v>4.9980000000000011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069D-469D-9B5D-19F6F524D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43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45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47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49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51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53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55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57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59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61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63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5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6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6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6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6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7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14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31" dataCellStyle="Standard"/>
    <tableColumn id="3" xr3:uid="{3AD21368-826B-4507-A159-BE8BE5B02C1F}" name="Indicator" dataDxfId="30" dataCellStyle="Spaltenebene_1"/>
    <tableColumn id="2" xr3:uid="{C139B307-7150-4838-B1FD-482AAB7B1208}" name="Task name" dataDxfId="29" dataCellStyle="Link"/>
    <tableColumn id="18" xr3:uid="{3B298737-E571-4F23-9C71-2BC3C2385355}" name="Comment" dataDxfId="28" dataCellStyle="Link"/>
    <tableColumn id="4" xr3:uid="{E2EAEAF6-33EC-4D8C-B42E-C249C36E3D3C}" name="%Tag 1" dataDxfId="27" dataCellStyle="Standard"/>
    <tableColumn id="5" xr3:uid="{1E4EAD98-8B30-4F09-AA64-D7613D00651F}" name="%Tag 2" dataDxfId="26" dataCellStyle="Standard"/>
    <tableColumn id="6" xr3:uid="{9E1E50BB-6DA2-47A1-BB20-8C9FAC4B0DB5}" name="%Tag 3" dataDxfId="25" dataCellStyle="Standard"/>
    <tableColumn id="10" xr3:uid="{85CEF83B-6217-49AE-8974-E4D5953E2637}" name="Kanban list" dataDxfId="24" dataCellStyle="Standard"/>
    <tableColumn id="11" xr3:uid="{E542542F-D34F-488A-95AF-76A724785E5A}" name="User time estimate" dataDxfId="23" dataCellStyle="Standard"/>
    <tableColumn id="12" xr3:uid="{7DA005F8-D924-4031-B65E-6C6F60E3212D}" name="Total time" dataDxfId="22" dataCellStyle="Standard"/>
    <tableColumn id="16" xr3:uid="{209AEE68-BDAE-4E8C-BCF6-6EEA4F9A7FDE}" name="Finished on" dataDxfId="21" dataCellStyle="Standard"/>
    <tableColumn id="8" xr3:uid="{727785B7-29B9-493D-A20B-C319B38E1DF3}" name="EBS 50% time" dataDxfId="20" dataCellStyle="Standard"/>
    <tableColumn id="9" xr3:uid="{B12BA9B8-3C81-408C-AFE4-25993FD8491D}" name="EBS 50% date" dataDxfId="19" dataCellStyle="Standard"/>
    <tableColumn id="20" xr3:uid="{DAE27A09-2EB0-4A47-A9F0-48ED802D8570}" name="Due date" dataDxfId="18" dataCellStyle="Spaltenebene_1"/>
    <tableColumn id="19" xr3:uid="{7A8CB495-6AE9-4A1E-AC5B-8B6487C84135}" name="Contributor" dataDxfId="17" dataCellStyle="Standard"/>
    <tableColumn id="17" xr3:uid="{EF767A93-0B38-4A66-A27B-92321C0E655C}" name="Priority" dataDxfId="16" dataCellStyle="Standard"/>
    <tableColumn id="15" xr3:uid="{2ADBC76B-EB88-4BCD-8956-7B4B22C5A3D4}" name="tHASH" dataDxfId="15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B6E4CA-8078-4EB2-996B-E662EECF26CA}" name="EbsBaseData4326270489" displayName="EbsBaseData4326270489" ref="A18:H23" totalsRowShown="0">
  <autoFilter ref="A18:H23" xr:uid="{1948C160-1F52-48A7-8061-8AFF06D47134}"/>
  <tableColumns count="8">
    <tableColumn id="1" xr3:uid="{E6BEF93E-0B5C-43B8-89CF-C62D27CA2DAC}" name="EBS entry no."/>
    <tableColumn id="4" xr3:uid="{29329024-2EEE-45EA-B998-5CDBC9E950F5}" name="EBS run date" dataDxfId="55"/>
    <tableColumn id="8" xr3:uid="{33AFB60A-3051-4DB6-A6B8-0435DDB02ECE}" name="[Velocity pool]"/>
    <tableColumn id="2" xr3:uid="{895066AF-2A51-416F-A6FE-62CB7A01DF26}" name="Show pool?"/>
    <tableColumn id="3" xr3:uid="{CDD9E8F6-BE77-41C8-99D8-D114ACAE99C9}" name="[Propability support points]"/>
    <tableColumn id="5" xr3:uid="{157A0266-4D3A-4F56-8527-AE9E73B9F527}" name="[Project time estimates]"/>
    <tableColumn id="6" xr3:uid="{8D50710C-652F-413E-A15F-BC565A3019FF}" name="[Project date estimates]"/>
    <tableColumn id="7" xr3:uid="{6C1099F2-F9D5-4C7A-953D-B1AD1675D801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D4EFFA-43C8-41F3-80D4-25ADD61C649D}" name="EbsTaskData9592711290" displayName="EbsTaskData9592711290" ref="J18:T20" totalsRowShown="0">
  <autoFilter ref="J18:T20" xr:uid="{2297DC20-55A3-4C75-B785-3C4ABEF5CB9C}"/>
  <tableColumns count="11">
    <tableColumn id="1" xr3:uid="{428AC8C3-73B3-4C2C-93D7-18A3CD0B6F01}" name="Data entry no."/>
    <tableColumn id="10" xr3:uid="{FE4E3CE0-401E-4E04-ACEE-65397BC404C5}" name="tHASH"/>
    <tableColumn id="5" xr3:uid="{D1B05325-A0C2-4996-9C76-DBA98C706165}" name="Logged Priority"/>
    <tableColumn id="7" xr3:uid="{BD8AF817-8C86-4CB8-A17D-F12728C2FAE1}" name="Time spent so far" dataDxfId="54"/>
    <tableColumn id="4" xr3:uid="{BD24E662-9F4E-4C61-82B5-EAD94B1901CC}" name="User time estimate" dataDxfId="53"/>
    <tableColumn id="3" xr3:uid="{398A22D4-3766-44B5-B551-96ADF54972F4}" name="[Monte Carlo estimate pool]"/>
    <tableColumn id="2" xr3:uid="{28ADD1FF-53E8-4F98-9AC0-21A34F348176}" name="[Remaining time pool]"/>
    <tableColumn id="6" xr3:uid="{D677D706-8056-473C-8451-5700EC733CD9}" name="[Accumulated time pool]"/>
    <tableColumn id="8" xr3:uid="{F8B8129E-441C-4FF7-BA7B-B7B48CF28123}" name="[Propability support points]"/>
    <tableColumn id="9" xr3:uid="{27CA39DF-0F63-49C2-81FE-ED6793C64D54}" name="[Interpolated time estimates]"/>
    <tableColumn id="11" xr3:uid="{FF086BCC-7FDD-4936-A7E9-36C8BE6A1F6E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2" dataDxfId="50" headerRowBorderDxfId="51">
  <autoFilter ref="A8:D54" xr:uid="{8E9EC0C1-7901-48B6-A59A-1CE6ABEE7A55}"/>
  <tableColumns count="4">
    <tableColumn id="1" xr3:uid="{58BB2187-C79D-4A1A-A9A3-DA2F074C476C}" name="Split entry no." dataDxfId="49"/>
    <tableColumn id="2" xr3:uid="{A755482D-FFF4-43D8-8021-1956CE3A7021}" name="Split start" dataDxfId="48"/>
    <tableColumn id="3" xr3:uid="{FE0A0B8D-1F8A-4CEC-9FB3-C945A45F99BF}" name="Split end" dataDxfId="47"/>
    <tableColumn id="4" xr3:uid="{5443222D-0CE3-4625-9EDB-D13B87B6C388}" name="Time spent" dataDxfId="46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5" dataCellStyle="Link"/>
    <tableColumn id="9" xr3:uid="{0037D127-E2BA-445A-BC63-1395BA3AC441}" name="Calendar ID" dataDxfId="44" dataCellStyle="Link"/>
    <tableColumn id="10" xr3:uid="{37CA3B7B-8FF0-4042-97C6-E23A79A74325}" name="Store ID"/>
    <tableColumn id="6" xr3:uid="{044D8005-25C5-4D31-940A-B6DE4C6B0EA5}" name="WorkingDays" dataDxfId="43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2"/>
    <tableColumn id="8" xr3:uid="{1177B0FB-46B2-406D-B988-C64E0ABA6972}" name="AppointmentOffsetHours" dataDxfId="41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40"/>
    <tableColumn id="3" xr3:uid="{78DABF02-3853-48FF-81AD-5801C74BED1B}" name="End time" dataDxfId="39"/>
    <tableColumn id="4" xr3:uid="{76C994F9-216A-4848-9FB6-16BAF8B0EEEA}" name="Time delta in h" dataDxfId="38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7"/>
    <tableColumn id="3" xr3:uid="{A62B365F-400F-45A4-B789-FE7B5FDBD312}" name="EBS self time" dataDxfId="3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4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3"/>
    <tableColumn id="4" xr3:uid="{F9EDA55E-5206-49A7-A846-6A0B14C04CAF}" name="User time estimate" dataDxfId="32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AF0BCD2F-1576-43E5-88C4-24FC1923FC78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C12" sqref="C12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6"/>
      <c r="B4" s="47"/>
      <c r="C4" s="48"/>
      <c r="D4" s="48"/>
      <c r="E4" s="49"/>
      <c r="F4" s="46"/>
      <c r="G4" s="46"/>
      <c r="H4" s="46"/>
      <c r="I4" s="50"/>
      <c r="J4" s="46"/>
      <c r="K4" s="46"/>
      <c r="L4" s="46"/>
      <c r="M4" s="46"/>
      <c r="N4" s="51"/>
      <c r="O4" s="46"/>
      <c r="P4" s="46"/>
      <c r="Q4" s="46"/>
      <c r="U4"/>
    </row>
    <row r="5" spans="1:22" ht="15" customHeight="1" x14ac:dyDescent="0.25">
      <c r="A5" s="39"/>
      <c r="B5" s="35"/>
      <c r="C5" s="23"/>
      <c r="D5" s="23"/>
      <c r="E5" s="24"/>
      <c r="F5" s="39"/>
      <c r="G5" s="39"/>
      <c r="H5" s="39"/>
      <c r="I5" s="40"/>
      <c r="J5" s="39"/>
      <c r="K5" s="39"/>
      <c r="L5" s="39"/>
      <c r="M5" s="39"/>
      <c r="N5" s="36"/>
      <c r="O5" s="39"/>
      <c r="P5" s="39"/>
      <c r="Q5" s="39"/>
      <c r="U5"/>
    </row>
    <row r="6" spans="1:22" ht="15" customHeight="1" x14ac:dyDescent="0.25">
      <c r="A6" s="24"/>
      <c r="B6" s="35"/>
      <c r="C6" s="23"/>
      <c r="D6" s="23" t="s">
        <v>114</v>
      </c>
      <c r="F6" s="24"/>
      <c r="G6" s="24"/>
      <c r="H6" s="24"/>
      <c r="I6" s="24"/>
      <c r="J6" s="25"/>
      <c r="K6" s="24"/>
      <c r="L6" s="25"/>
      <c r="M6" s="25"/>
      <c r="N6" s="36"/>
      <c r="Q6" s="24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4" customFormat="1" x14ac:dyDescent="0.25">
      <c r="A10" s="6"/>
      <c r="B10" s="38"/>
      <c r="C10" s="9"/>
      <c r="D10" s="9"/>
      <c r="E10"/>
      <c r="F10" s="7"/>
      <c r="G10" s="7"/>
      <c r="H10" s="7"/>
      <c r="I10" s="10"/>
      <c r="J10" s="10"/>
      <c r="K10" s="6"/>
      <c r="L10" s="10"/>
      <c r="M10" s="10"/>
      <c r="N10" s="38"/>
      <c r="O10"/>
      <c r="P10"/>
      <c r="Q10" s="6"/>
      <c r="R10" s="42"/>
      <c r="S10" s="41"/>
      <c r="T10" s="41"/>
      <c r="U10" s="43"/>
    </row>
    <row r="11" spans="1:22" s="44" customFormat="1" x14ac:dyDescent="0.25">
      <c r="A11" s="6"/>
      <c r="B11" s="38"/>
      <c r="C11" s="11"/>
      <c r="D11" s="9"/>
      <c r="E11"/>
      <c r="F11" s="7"/>
      <c r="G11" s="7"/>
      <c r="H11" s="7"/>
      <c r="I11" s="10"/>
      <c r="J11" s="10"/>
      <c r="K11" s="6"/>
      <c r="L11" s="10"/>
      <c r="M11" s="10"/>
      <c r="N11" s="38"/>
      <c r="O11"/>
      <c r="P11"/>
      <c r="Q11" s="6"/>
      <c r="R11" s="42"/>
      <c r="S11" s="41"/>
      <c r="T11" s="41"/>
      <c r="U11" s="43"/>
      <c r="V11" s="45"/>
    </row>
    <row r="39" spans="22:22" x14ac:dyDescent="0.25">
      <c r="V39" t="s">
        <v>88</v>
      </c>
    </row>
  </sheetData>
  <dataConsolidate/>
  <conditionalFormatting sqref="B4">
    <cfRule type="containsText" dxfId="13" priority="7" operator="containsText" text="&lt;current">
      <formula>NOT(ISERROR(SEARCH("&lt;current",B4)))</formula>
    </cfRule>
  </conditionalFormatting>
  <conditionalFormatting sqref="H4">
    <cfRule type="containsText" dxfId="12" priority="2" operator="containsText" text="Note">
      <formula>NOT(ISERROR(SEARCH("Note",H4)))</formula>
    </cfRule>
    <cfRule type="containsText" dxfId="11" priority="8" operator="containsText" text="Done">
      <formula>NOT(ISERROR(SEARCH("Done",H4)))</formula>
    </cfRule>
    <cfRule type="containsText" dxfId="10" priority="9" operator="containsText" text="In progress">
      <formula>NOT(ISERROR(SEARCH("In progress",H4)))</formula>
    </cfRule>
    <cfRule type="containsText" dxfId="9" priority="10" operator="containsText" text="To do">
      <formula>NOT(ISERROR(SEARCH("To do",H4)))</formula>
    </cfRule>
  </conditionalFormatting>
  <conditionalFormatting sqref="N4">
    <cfRule type="cellIs" dxfId="8" priority="1" operator="lessThan">
      <formula>TODAY()</formula>
    </cfRule>
  </conditionalFormatting>
  <conditionalFormatting sqref="P4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D15B3D4E-C4A9-4E32-9BB4-30E081D2F1BA}">
      <formula1>"fruit"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F32ADCD5-9D8D-4CCE-8AA4-B6EAC1E91473}">
      <formula1>"important,fruit"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D687E-DEBF-49F3-BC93-A84C95215FEF}">
  <sheetPr codeName="EbsSheetTemplate1"/>
  <dimension ref="A15:T70"/>
  <sheetViews>
    <sheetView topLeftCell="A5" workbookViewId="0">
      <selection activeCell="C31" sqref="C31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190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133</v>
      </c>
      <c r="B19" s="17">
        <v>43878.817696759259</v>
      </c>
      <c r="C19" t="s">
        <v>150</v>
      </c>
      <c r="D19" t="s">
        <v>27</v>
      </c>
      <c r="E19" t="s">
        <v>146</v>
      </c>
      <c r="F19" t="s">
        <v>147</v>
      </c>
      <c r="G19" t="s">
        <v>148</v>
      </c>
      <c r="H19" t="s">
        <v>149</v>
      </c>
      <c r="J19" t="s">
        <v>133</v>
      </c>
      <c r="K19" t="s">
        <v>145</v>
      </c>
      <c r="L19">
        <v>2</v>
      </c>
      <c r="M19" s="2">
        <v>0</v>
      </c>
      <c r="N19" s="2">
        <v>5</v>
      </c>
      <c r="O19" t="s">
        <v>200</v>
      </c>
      <c r="P19" t="s">
        <v>200</v>
      </c>
      <c r="Q19" t="s">
        <v>200</v>
      </c>
      <c r="R19" t="s">
        <v>146</v>
      </c>
      <c r="S19" t="s">
        <v>201</v>
      </c>
      <c r="T19" t="s">
        <v>202</v>
      </c>
    </row>
    <row r="20" spans="1:20" x14ac:dyDescent="0.25">
      <c r="A20" t="s">
        <v>134</v>
      </c>
      <c r="B20" s="17">
        <v>43940.766226851854</v>
      </c>
      <c r="C20" t="s">
        <v>189</v>
      </c>
      <c r="D20" t="s">
        <v>27</v>
      </c>
      <c r="E20" t="s">
        <v>146</v>
      </c>
      <c r="F20" t="s">
        <v>191</v>
      </c>
      <c r="G20" t="s">
        <v>192</v>
      </c>
      <c r="H20" t="s">
        <v>188</v>
      </c>
      <c r="J20" t="s">
        <v>134</v>
      </c>
      <c r="K20" t="s">
        <v>144</v>
      </c>
      <c r="L20">
        <v>1</v>
      </c>
      <c r="M20" s="2">
        <v>2.7502777775516698</v>
      </c>
      <c r="N20" s="2">
        <v>0.25</v>
      </c>
      <c r="O20" t="s">
        <v>203</v>
      </c>
      <c r="P20" t="s">
        <v>187</v>
      </c>
      <c r="Q20" t="s">
        <v>200</v>
      </c>
      <c r="R20" t="s">
        <v>146</v>
      </c>
      <c r="S20" t="s">
        <v>201</v>
      </c>
      <c r="T20" t="s">
        <v>202</v>
      </c>
    </row>
    <row r="21" spans="1:20" x14ac:dyDescent="0.25">
      <c r="A21" t="s">
        <v>135</v>
      </c>
      <c r="B21" s="17">
        <v>43959.961782407408</v>
      </c>
      <c r="C21" t="s">
        <v>189</v>
      </c>
      <c r="D21" t="s">
        <v>27</v>
      </c>
      <c r="E21" t="s">
        <v>146</v>
      </c>
      <c r="F21" t="s">
        <v>194</v>
      </c>
      <c r="G21" t="s">
        <v>195</v>
      </c>
      <c r="H21" t="s">
        <v>193</v>
      </c>
      <c r="M21" s="2"/>
      <c r="N21" s="2"/>
    </row>
    <row r="22" spans="1:20" x14ac:dyDescent="0.25">
      <c r="A22" t="s">
        <v>136</v>
      </c>
      <c r="B22" s="17">
        <v>44041.479814814818</v>
      </c>
      <c r="C22" t="s">
        <v>189</v>
      </c>
      <c r="D22" t="s">
        <v>27</v>
      </c>
      <c r="E22" t="s">
        <v>146</v>
      </c>
      <c r="F22" t="s">
        <v>197</v>
      </c>
      <c r="G22" t="s">
        <v>198</v>
      </c>
      <c r="H22" t="s">
        <v>196</v>
      </c>
      <c r="M22" s="2"/>
      <c r="N22" s="2"/>
    </row>
    <row r="23" spans="1:20" x14ac:dyDescent="0.25">
      <c r="A23" t="s">
        <v>137</v>
      </c>
      <c r="B23" s="17">
        <v>44044.481226851851</v>
      </c>
      <c r="C23" t="s">
        <v>189</v>
      </c>
      <c r="D23" t="s">
        <v>27</v>
      </c>
      <c r="E23" t="s">
        <v>146</v>
      </c>
      <c r="F23" t="s">
        <v>201</v>
      </c>
      <c r="G23" t="s">
        <v>202</v>
      </c>
      <c r="H23" t="s">
        <v>199</v>
      </c>
      <c r="M23" s="2"/>
      <c r="N23" s="2"/>
    </row>
    <row r="24" spans="1:20" x14ac:dyDescent="0.25">
      <c r="B24" s="17"/>
      <c r="M24" s="2"/>
      <c r="N24" s="2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4" spans="2:2" x14ac:dyDescent="0.25">
      <c r="B44" s="17"/>
    </row>
    <row r="45" spans="2:2" x14ac:dyDescent="0.25">
      <c r="B45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  <row r="49" spans="2:2" x14ac:dyDescent="0.25">
      <c r="B49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  <row r="53" spans="2:2" x14ac:dyDescent="0.25">
      <c r="B53" s="17"/>
    </row>
    <row r="54" spans="2:2" x14ac:dyDescent="0.25">
      <c r="B54" s="17"/>
    </row>
    <row r="55" spans="2:2" x14ac:dyDescent="0.25">
      <c r="B55" s="17"/>
    </row>
    <row r="56" spans="2:2" x14ac:dyDescent="0.25">
      <c r="B56" s="17"/>
    </row>
    <row r="57" spans="2:2" x14ac:dyDescent="0.25">
      <c r="B57" s="17"/>
    </row>
    <row r="58" spans="2:2" x14ac:dyDescent="0.25">
      <c r="B58" s="17"/>
    </row>
    <row r="59" spans="2:2" x14ac:dyDescent="0.25">
      <c r="B59" s="17"/>
    </row>
    <row r="60" spans="2:2" x14ac:dyDescent="0.25">
      <c r="B60" s="17"/>
    </row>
    <row r="61" spans="2:2" x14ac:dyDescent="0.25">
      <c r="B61" s="17"/>
    </row>
    <row r="62" spans="2:2" x14ac:dyDescent="0.25">
      <c r="B62" s="17"/>
    </row>
    <row r="63" spans="2:2" x14ac:dyDescent="0.25">
      <c r="B63" s="17"/>
    </row>
    <row r="64" spans="2:2" x14ac:dyDescent="0.25">
      <c r="B64" s="17"/>
    </row>
    <row r="65" spans="2:2" x14ac:dyDescent="0.25">
      <c r="B65" s="17"/>
    </row>
    <row r="68" spans="2:2" x14ac:dyDescent="0.25">
      <c r="B68" s="17"/>
    </row>
    <row r="69" spans="2:2" x14ac:dyDescent="0.25">
      <c r="B69" s="17"/>
    </row>
    <row r="70" spans="2:2" x14ac:dyDescent="0.25">
      <c r="B70" s="17"/>
    </row>
  </sheetData>
  <mergeCells count="2">
    <mergeCell ref="F15:H15"/>
    <mergeCell ref="F16:H16"/>
  </mergeCells>
  <conditionalFormatting sqref="D35:D1048576 D33 D1:D31">
    <cfRule type="containsText" dxfId="7" priority="1" operator="containsText" text="No">
      <formula>NOT(ISERROR(SEARCH("No",D1)))</formula>
    </cfRule>
    <cfRule type="containsText" dxfId="6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6" xr:uid="{0A8B8B00-1A7B-4C80-AA32-9E60DAA93F4D}">
      <formula1>"Time,Date"</formula1>
    </dataValidation>
    <dataValidation type="list" allowBlank="1" showInputMessage="1" showErrorMessage="1" sqref="F15:H15" xr:uid="{139B3DA5-3D31-499C-9B17-107FFADB435D}">
      <formula1>"Last, Last 100 days, All"</formula1>
    </dataValidation>
    <dataValidation type="list" allowBlank="1" showInputMessage="1" showErrorMessage="1" sqref="D33 D19:D31" xr:uid="{9FCA1A69-2E7C-49D4-9A31-F896EEC2A701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A6" sqref="A6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151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133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134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135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136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137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138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139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140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141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142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143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152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153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154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155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156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157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158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159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160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161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162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163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164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165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166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167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168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169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170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171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172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173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174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175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176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177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178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179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180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181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182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183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184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185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186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C18" sqref="C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129</v>
      </c>
      <c r="D4" t="s">
        <v>130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204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MAX((TimeEntries[[#This Row],[End time]]-TimeEntries[[#This Row],[Start time]])*24,0)</f>
        <v>0</v>
      </c>
      <c r="J16" s="15"/>
      <c r="K16" s="2"/>
      <c r="L16" s="2">
        <f>SUM(TimeEntries[Time delta in h])</f>
        <v>0</v>
      </c>
      <c r="M16" s="16" t="e">
        <f>Tabelle7367[[#This Row],[EBS self time]]/Tabelle7367[[#This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76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2020-08-17T22:05:27Z</dcterms:modified>
  <cp:category/>
  <cp:contentStatus/>
</cp:coreProperties>
</file>