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trlProps/ctrlProp13.xml" ContentType="application/vnd.ms-excel.controlproperties+xml"/>
  <Override PartName="/xl/tables/table10.xml" ContentType="application/vnd.openxmlformats-officedocument.spreadsheetml.table+xml"/>
  <Override PartName="/xl/drawings/drawing6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1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12.xml" ContentType="application/vnd.openxmlformats-officedocument.spreadsheetml.table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9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Projects\EbsSpread\bin\"/>
    </mc:Choice>
  </mc:AlternateContent>
  <xr:revisionPtr revIDLastSave="0" documentId="13_ncr:1_{BA6843BC-F910-4036-95EB-9E0C9B7F249E}" xr6:coauthVersionLast="45" xr6:coauthVersionMax="45" xr10:uidLastSave="{00000000-0000-0000-0000-000000000000}"/>
  <bookViews>
    <workbookView xWindow="-120" yWindow="-120" windowWidth="24240" windowHeight="13140" tabRatio="813" xr2:uid="{DAA936AD-5BF0-425A-A8EF-49858B3BE9B8}"/>
  </bookViews>
  <sheets>
    <sheet name="Planning" sheetId="1" r:id="rId1"/>
    <sheet name="tEBFCD13A644F1CD96" sheetId="1481" state="hidden" r:id="rId2"/>
    <sheet name="Tabelle1" sheetId="1479" r:id="rId3"/>
    <sheet name="t4358A3ABA60DD936B" sheetId="1478" state="hidden" r:id="rId4"/>
    <sheet name="EbsSheet (Me)" sheetId="1405" r:id="rId5"/>
    <sheet name="Analysis" sheetId="1004" r:id="rId6"/>
    <sheet name="Settings" sheetId="418" r:id="rId7"/>
    <sheet name="Messages" sheetId="1390" r:id="rId8"/>
    <sheet name="Task sheet template" sheetId="5" r:id="rId9"/>
    <sheet name="Version info" sheetId="3" r:id="rId10"/>
    <sheet name="EbsSheet template" sheetId="440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6" i="1481" l="1"/>
  <c r="L16" i="1481" s="1"/>
  <c r="M16" i="1481" s="1"/>
  <c r="B4" i="1481" l="1"/>
  <c r="B11" i="1481"/>
  <c r="D16" i="1478" l="1"/>
  <c r="B4" i="1478" s="1"/>
  <c r="B11" i="1478" l="1"/>
  <c r="L16" i="1478"/>
  <c r="M16" i="1478" s="1"/>
  <c r="D16" i="5"/>
  <c r="B4" i="5" s="1"/>
  <c r="L16" i="5" l="1"/>
  <c r="B11" i="5"/>
  <c r="J4" i="418"/>
  <c r="M16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tc={AF0BCD2F-1576-43E5-88C4-24FC1923FC78}</author>
  </authors>
  <commentList>
    <comment ref="P18" authorId="0" shapeId="0" xr:uid="{AF0BCD2F-1576-43E5-88C4-24FC1923FC78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<sst xmlns="http://schemas.openxmlformats.org/spreadsheetml/2006/main" count="372" uniqueCount="212">
  <si>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</si>
  <si>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</si>
  <si>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</si>
  <si>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</si>
  <si>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</si>
  <si>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</si>
  <si>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</si>
  <si>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</si>
  <si>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</si>
  <si>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</si>
  <si>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Indicator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</si>
  <si>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</si>
  <si>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</si>
  <si>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</si>
  <si>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</si>
  <si>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</si>
  <si>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</si>
  <si>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</si>
  <si>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</si>
  <si>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</si>
  <si>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</si>
  <si>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</si>
  <si>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</si>
  <si>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</si>
  <si>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</si>
  <si>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</si>
  <si>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</si>
  <si>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</si>
  <si>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</si>
  <si>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</si>
  <si>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</si>
  <si>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</si>
  <si>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</si>
  <si>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</si>
  <si>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</si>
  <si>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</si>
  <si>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</si>
  <si>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</si>
  <si>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</si>
  <si>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</si>
  <si>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</si>
  <si>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</si>
  <si>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</si>
  <si>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</si>
  <si>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</si>
  <si>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</si>
  <si>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</si>
  <si>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</si>
  <si>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</si>
  <si>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</si>
  <si>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</si>
  <si>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</si>
  <si>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</si>
  <si>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</si>
  <si>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</si>
  <si>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</si>
  <si>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</si>
  <si>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</si>
  <si>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</si>
  <si>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</si>
  <si>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</si>
  <si>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</si>
  <si>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</si>
  <si>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</si>
  <si>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</si>
  <si>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</si>
  <si>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</si>
  <si>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</si>
  <si>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</si>
  <si>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</si>
  <si>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</si>
  <si>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</si>
  <si>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</si>
  <si>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</si>
  <si>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</si>
  <si>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</si>
  <si>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</si>
  <si>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EBS 50% date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</si>
  <si>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</si>
  <si>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</si>
  <si>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</si>
  <si>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</si>
  <si>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</si>
  <si>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</si>
  <si>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</si>
  <si>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</si>
  <si>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</si>
  <si>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</si>
  <si>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hh</t>
  </si>
  <si>
    <t>Calendar ID</t>
  </si>
  <si>
    <t>Store ID</t>
  </si>
  <si>
    <t>Store ID temp</t>
  </si>
  <si>
    <t>Calendar ID temp</t>
  </si>
  <si>
    <t>Calendar path temp</t>
  </si>
  <si>
    <t>To do</t>
  </si>
  <si>
    <t>N/A</t>
  </si>
  <si>
    <t>%Tag * HEADERS</t>
  </si>
  <si>
    <t>%Tag * VALUES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</si>
  <si>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</si>
  <si>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</si>
  <si>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</si>
  <si>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</si>
  <si>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</si>
  <si>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</si>
  <si>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</si>
  <si>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</si>
  <si>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</si>
  <si>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</si>
  <si>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</si>
  <si>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</si>
  <si>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</si>
  <si>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</si>
  <si>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</si>
  <si>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FirstDayOfWeek</t>
  </si>
  <si>
    <t>d</t>
  </si>
  <si>
    <t>ImportedTaskPostfix</t>
  </si>
  <si>
    <t>Message no.</t>
  </si>
  <si>
    <t>Message</t>
  </si>
  <si>
    <t>Severity</t>
  </si>
  <si>
    <t>Timestamp</t>
  </si>
  <si>
    <t>Caller</t>
  </si>
  <si>
    <t xml:space="preserve"> (imported2)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</si>
  <si>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</si>
  <si>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</si>
  <si>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</si>
  <si>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</si>
  <si>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</si>
  <si>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</si>
  <si>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</si>
  <si>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00000000F593AB5CD8A4614C8B1EC1E4C84EFB870100D67807C5E37E4B47A653892DF42F73BD00000000010D0000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</si>
  <si>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</si>
  <si>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\\weihsbach.c@outlook.com\Kalender</t>
  </si>
  <si>
    <t>Add DoEvents for long-running operations</t>
  </si>
  <si>
    <t>#000001</t>
  </si>
  <si>
    <t>#000002</t>
  </si>
  <si>
    <t>#000003</t>
  </si>
  <si>
    <t>#000004</t>
  </si>
  <si>
    <t>#000005</t>
  </si>
  <si>
    <t>#000006</t>
  </si>
  <si>
    <t>#000007</t>
  </si>
  <si>
    <t>#000008</t>
  </si>
  <si>
    <t>#000009</t>
  </si>
  <si>
    <t>#000010</t>
  </si>
  <si>
    <t>#000011</t>
  </si>
  <si>
    <t>tAAF8231FB67247C24</t>
  </si>
  <si>
    <t>t542BC5542C608ACDC</t>
  </si>
  <si>
    <t>{0,050;0,200;0,350;0,500;0,650;0,800;0,950}</t>
  </si>
  <si>
    <t>{4,500;5,500;6,500;7,000;9,500;9,600;11,500}</t>
  </si>
  <si>
    <t>{18/02/2020 12:30:00;18/02/2020 13:30:00;18/02/2020 14:30:00;18/02/2020 15:00:00;18/02/2020 17:30:00;18/02/2020 17:36:00;19/02/2020 09:00:00}</t>
  </si>
  <si>
    <t>e637063BE1A4F3CAD2</t>
  </si>
  <si>
    <t>{0,667;2,000}</t>
  </si>
  <si>
    <t>Day</t>
  </si>
  <si>
    <t>#000012</t>
  </si>
  <si>
    <t>#000013</t>
  </si>
  <si>
    <t>#000014</t>
  </si>
  <si>
    <t>#000015</t>
  </si>
  <si>
    <t>#000016</t>
  </si>
  <si>
    <t>#000017</t>
  </si>
  <si>
    <t>#000018</t>
  </si>
  <si>
    <t>#000019</t>
  </si>
  <si>
    <t>#000020</t>
  </si>
  <si>
    <t>#000021</t>
  </si>
  <si>
    <t>#000022</t>
  </si>
  <si>
    <t>#000023</t>
  </si>
  <si>
    <t>#000024</t>
  </si>
  <si>
    <t>#000025</t>
  </si>
  <si>
    <t>#000026</t>
  </si>
  <si>
    <t>#000027</t>
  </si>
  <si>
    <t>#000028</t>
  </si>
  <si>
    <t>#000029</t>
  </si>
  <si>
    <t>#000030</t>
  </si>
  <si>
    <t>#000031</t>
  </si>
  <si>
    <t>#000032</t>
  </si>
  <si>
    <t>#000033</t>
  </si>
  <si>
    <t>#000034</t>
  </si>
  <si>
    <t>#000035</t>
  </si>
  <si>
    <t>#000036</t>
  </si>
  <si>
    <t>#000037</t>
  </si>
  <si>
    <t>#000038</t>
  </si>
  <si>
    <t>#000039</t>
  </si>
  <si>
    <t>#000040</t>
  </si>
  <si>
    <t>#000041</t>
  </si>
  <si>
    <t>#000042</t>
  </si>
  <si>
    <t>#000043</t>
  </si>
  <si>
    <t>#000044</t>
  </si>
  <si>
    <t>#000045</t>
  </si>
  <si>
    <t>#000046</t>
  </si>
  <si>
    <t>{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}</t>
  </si>
  <si>
    <t>e87A54AD7CFFCD7396</t>
  </si>
  <si>
    <t>{9,825;0,667;2,000}</t>
  </si>
  <si>
    <t>All</t>
  </si>
  <si>
    <t>{0,937;2,704;3,501;3,556;5,923;8,496;9,770}</t>
  </si>
  <si>
    <t>{20/04/2020 08:56:14;20/04/2020 10:42:13;20/04/2020 11:30:02;20/04/2020 11:33:23;20/04/2020 13:55:23;20/04/2020 16:29:47;20/04/2020 17:46:13}</t>
  </si>
  <si>
    <t>eD6F01E2DD00B2A4D2</t>
  </si>
  <si>
    <t>{1,677;3,452;3,563;5,499;7,700;8,571;11,243}</t>
  </si>
  <si>
    <t>{11/05/2020 09:40:39;11/05/2020 11:27:08;11/05/2020 11:33:47;11/05/2020 13:29:55;11/05/2020 15:41:59;11/05/2020 16:34:16;12/05/2020 08:44:36}</t>
  </si>
  <si>
    <t>e6E61E82C600BC5FCA</t>
  </si>
  <si>
    <t>{0,509;0,509;2,500;2,500;7,496;7,496;7,496}</t>
  </si>
  <si>
    <t>{03/08/2020 08:30:32;03/08/2020 08:30:32;03/08/2020 10:30:00;03/08/2020 10:30:00;03/08/2020 15:29:47;03/08/2020 15:29:47;03/08/2020 15:29:47}</t>
  </si>
  <si>
    <t>e584492D6E5A055045</t>
  </si>
  <si>
    <t>{2,500;2,500;2,500;0,509;2,500;7,496;0,509;0,509;7,496;0,509;7,496;2,500;0,509;0,509;0,509;7,496;2,500;2,500;7,496;7,496;0,509;0,509;7,496;2,500;7,496;0,509;0,509;0,509;2,500;0,509;2,500;2,500;0,509;7,496;2,500;2,500;0,509;2,500;0,509;2,500;7,496;2,500;7,496;7,496;0,509;2,500;0,509;0,509;2,500;0,509}</t>
  </si>
  <si>
    <t>{0,509;0,509;0,509;2,500;2,500;7,496;7,496}</t>
  </si>
  <si>
    <t>{03/08/2020 08:30:32;03/08/2020 08:30:32;03/08/2020 08:30:32;03/08/2020 10:30:00;03/08/2020 10:30:00;03/08/2020 15:29:47;03/08/2020 15:29:47}</t>
  </si>
  <si>
    <t>{0,375;0,025;0,025;0,125;0,125;0,375;0,375;0,125;0,375;0,125;0,375;0,125;0,025;0,375;0,025;0,025;0,025;0,375;0,375;0,125;0,375;0,125;0,125;0,125;0,125;0,025;0,025;0,125;0,125;0,125;0,375;0,125;0,375;0,125;0,375;0,375;0,125;0,025;0,125;0,375;0,375;0,375;0,375;0,375;0,025;0,025;0,025;0,125;0,375;0,025}</t>
  </si>
  <si>
    <t>&lt;ENTER_NAME&gt;</t>
  </si>
  <si>
    <t>&lt;ENTER_ESTIMATE&gt;</t>
  </si>
  <si>
    <t>Created on</t>
  </si>
  <si>
    <t>tEBFCD13A644F1CD96</t>
  </si>
  <si>
    <t>t4358A3ABA60DD936B</t>
  </si>
  <si>
    <t>Spalte1</t>
  </si>
  <si>
    <t>Spalte2</t>
  </si>
  <si>
    <t>Spalte3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</si>
</sst>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55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2" fontId="0" fillId="0" borderId="0" xfId="0" applyNumberFormat="1" applyFont="1" applyFill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0" fontId="7" fillId="0" borderId="0" xfId="0" applyFont="1" applyFill="1" applyAlignment="1"/>
    <xf numFmtId="22" fontId="6" fillId="0" borderId="0" xfId="1" applyNumberFormat="1" applyFill="1" applyAlignment="1"/>
    <xf numFmtId="0" fontId="1" fillId="0" borderId="0" xfId="0" applyFont="1" applyAlignment="1"/>
    <xf numFmtId="0" fontId="0" fillId="0" borderId="0" xfId="0" applyAlignment="1"/>
    <xf numFmtId="0" fontId="5" fillId="0" borderId="0" xfId="0" applyFont="1" applyAlignment="1"/>
    <xf numFmtId="0" fontId="0" fillId="0" borderId="0" xfId="0" applyFill="1" applyAlignment="1">
      <alignment wrapText="1"/>
    </xf>
    <xf numFmtId="0" fontId="6" fillId="0" borderId="0" xfId="1" applyFill="1" applyAlignment="1">
      <alignment wrapText="1"/>
    </xf>
    <xf numFmtId="0" fontId="7" fillId="0" borderId="0" xfId="2" applyFont="1" applyFill="1" applyAlignment="1">
      <alignment wrapText="1"/>
    </xf>
    <xf numFmtId="0" fontId="7" fillId="0" borderId="0" xfId="0" applyFont="1" applyFill="1" applyAlignment="1">
      <alignment wrapText="1"/>
    </xf>
    <xf numFmtId="2" fontId="0" fillId="0" borderId="0" xfId="0" applyNumberFormat="1" applyFill="1" applyAlignment="1">
      <alignment wrapText="1"/>
    </xf>
    <xf numFmtId="14" fontId="6" fillId="0" borderId="0" xfId="1" applyNumberFormat="1" applyFill="1" applyAlignment="1">
      <alignment wrapText="1"/>
    </xf>
    <xf numFmtId="0" fontId="0" fillId="10" borderId="0" xfId="0" applyFill="1"/>
    <xf numFmtId="0" fontId="4" fillId="4" borderId="2" xfId="3" applyFont="1" applyFill="1" applyBorder="1" applyAlignment="1">
      <alignment horizontal="left"/>
    </xf>
    <xf numFmtId="0" fontId="4" fillId="4" borderId="0" xfId="3" applyFont="1" applyFill="1" applyBorder="1" applyAlignment="1">
      <alignment horizontal="left"/>
    </xf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68"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b/>
        <i val="0"/>
        <color rgb="FF00B0F0"/>
      </font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</dxfs>
  <tableStyles count="0" defaultTableStyle="TableStyleMedium2" defaultPivotStyle="PivotStyleLight16"/>
  <colors>
    <mruColors>
      <color rgb="FFFF3300"/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17/02/2020 19:37:29</c:v>
          </c:tx>
          <c:spPr>
            <a:ln w="22225" cap="rnd" cmpd="sng" algn="ctr">
              <a:solidFill>
                <a:srgbClr val="DADADA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DADADA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2-53E1-44D5-A953-0A541E14AEC0}"/>
            </c:ext>
          </c:extLst>
        </c:ser>
        <c:ser>
          <c:idx val="1"/>
          <c:order val="1"/>
          <c:tx>
            <c:v>Velo pool on: 19/04/2020 18:23:22</c:v>
          </c:tx>
          <c:spPr>
            <a:ln w="22225" cap="rnd" cmpd="sng" algn="ctr">
              <a:solidFill>
                <a:srgbClr val="DADADA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DADADA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3-53E1-44D5-A953-0A541E14AEC0}"/>
            </c:ext>
          </c:extLst>
        </c:ser>
        <c:ser>
          <c:idx val="2"/>
          <c:order val="2"/>
          <c:tx>
            <c:v>Velo pool on: 08/05/2020 23:04:58</c:v>
          </c:tx>
          <c:spPr>
            <a:ln w="22225" cap="rnd" cmpd="sng" algn="ctr">
              <a:solidFill>
                <a:srgbClr val="DADADA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DADADA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4-53E1-44D5-A953-0A541E14AEC0}"/>
            </c:ext>
          </c:extLst>
        </c:ser>
        <c:ser>
          <c:idx val="3"/>
          <c:order val="3"/>
          <c:tx>
            <c:v>Velo pool on: 29/07/2020 11:30:56</c:v>
          </c:tx>
          <c:spPr>
            <a:ln w="22225" cap="rnd" cmpd="sng" algn="ctr">
              <a:solidFill>
                <a:srgbClr val="DADADA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DADADA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5-53E1-44D5-A953-0A541E14AEC0}"/>
            </c:ext>
          </c:extLst>
        </c:ser>
        <c:ser>
          <c:idx val="4"/>
          <c:order val="4"/>
          <c:tx>
            <c:v>Velo pool on: 01/08/2020 11:32:58</c:v>
          </c:tx>
          <c:spPr>
            <a:ln w="22225" cap="rnd" cmpd="sng" algn="ctr">
              <a:solidFill>
                <a:srgbClr val="93D07B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93D07B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6-53E1-44D5-A953-0A541E14A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20%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"/>
              <c:pt idx="0">
                <c:v>43878.817696759259</c:v>
              </c:pt>
              <c:pt idx="1">
                <c:v>43940.766226851854</c:v>
              </c:pt>
              <c:pt idx="2">
                <c:v>43959.961782407408</c:v>
              </c:pt>
              <c:pt idx="3">
                <c:v>44041.479814814818</c:v>
              </c:pt>
              <c:pt idx="4">
                <c:v>44044.481226851851</c:v>
              </c:pt>
            </c:numLit>
          </c:xVal>
          <c:yVal>
            <c:numLit>
              <c:formatCode>General</c:formatCode>
              <c:ptCount val="5"/>
              <c:pt idx="0">
                <c:v>5.5</c:v>
              </c:pt>
              <c:pt idx="1">
                <c:v>2.2190000000000003</c:v>
              </c:pt>
              <c:pt idx="2">
                <c:v>2.62</c:v>
              </c:pt>
              <c:pt idx="3">
                <c:v>1.5045000000000002</c:v>
              </c:pt>
              <c:pt idx="4">
                <c:v>0.50900000000000001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069D-469D-9B5D-19F6F524DFA6}"/>
            </c:ext>
          </c:extLst>
        </c:ser>
        <c:ser>
          <c:idx val="1"/>
          <c:order val="1"/>
          <c:tx>
            <c:v>50%</c:v>
          </c:tx>
          <c:spPr>
            <a:ln w="1587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"/>
              <c:pt idx="0">
                <c:v>43878.817696759259</c:v>
              </c:pt>
              <c:pt idx="1">
                <c:v>43940.766226851854</c:v>
              </c:pt>
              <c:pt idx="2">
                <c:v>43959.961782407408</c:v>
              </c:pt>
              <c:pt idx="3">
                <c:v>44041.479814814818</c:v>
              </c:pt>
              <c:pt idx="4">
                <c:v>44044.481226851851</c:v>
              </c:pt>
            </c:numLit>
          </c:xVal>
          <c:yVal>
            <c:numLit>
              <c:formatCode>General</c:formatCode>
              <c:ptCount val="5"/>
              <c:pt idx="0">
                <c:v>8</c:v>
              </c:pt>
              <c:pt idx="1">
                <c:v>4.7119999999999997</c:v>
              </c:pt>
              <c:pt idx="2">
                <c:v>5.6315000000000008</c:v>
              </c:pt>
              <c:pt idx="3">
                <c:v>4.9980000000000002</c:v>
              </c:pt>
              <c:pt idx="4">
                <c:v>1.5045000000000002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E-069D-469D-9B5D-19F6F524DFA6}"/>
            </c:ext>
          </c:extLst>
        </c:ser>
        <c:ser>
          <c:idx val="2"/>
          <c:order val="2"/>
          <c:tx>
            <c:v>80%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"/>
              <c:pt idx="0">
                <c:v>43878.817696759259</c:v>
              </c:pt>
              <c:pt idx="1">
                <c:v>43940.766226851854</c:v>
              </c:pt>
              <c:pt idx="2">
                <c:v>43959.961782407408</c:v>
              </c:pt>
              <c:pt idx="3">
                <c:v>44041.479814814818</c:v>
              </c:pt>
              <c:pt idx="4">
                <c:v>44044.481226851851</c:v>
              </c:pt>
            </c:numLit>
          </c:xVal>
          <c:yVal>
            <c:numLit>
              <c:formatCode>General</c:formatCode>
              <c:ptCount val="5"/>
              <c:pt idx="0">
                <c:v>10.5</c:v>
              </c:pt>
              <c:pt idx="1">
                <c:v>7.8465000000000007</c:v>
              </c:pt>
              <c:pt idx="2">
                <c:v>9.4715000000000007</c:v>
              </c:pt>
              <c:pt idx="3">
                <c:v>7.4960000000000004</c:v>
              </c:pt>
              <c:pt idx="4">
                <c:v>4.9980000000000011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069D-469D-9B5D-19F6F524D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EBS estimation time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dd/mm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4</xdr:row>
      <xdr:rowOff>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200025</xdr:colOff>
      <xdr:row>4</xdr:row>
      <xdr:rowOff>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200025</xdr:colOff>
      <xdr:row>4</xdr:row>
      <xdr:rowOff>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752475</xdr:colOff>
      <xdr:row>4</xdr:row>
      <xdr:rowOff>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15</xdr:col>
      <xdr:colOff>0</xdr:colOff>
      <xdr:row>2</xdr:row>
      <xdr:rowOff>0</xdr:rowOff>
    </xdr:from>
    <xdr:to>
      <xdr:col>18</xdr:col>
      <xdr:colOff>571500</xdr:colOff>
      <xdr:row>4</xdr:row>
      <xdr:rowOff>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1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0</xdr:row>
          <xdr:rowOff>85725</xdr:rowOff>
        </xdr:from>
        <xdr:to>
          <xdr:col>2</xdr:col>
          <xdr:colOff>609600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85725</xdr:rowOff>
        </xdr:from>
        <xdr:to>
          <xdr:col>6</xdr:col>
          <xdr:colOff>123825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352425</xdr:rowOff>
        </xdr:from>
        <xdr:to>
          <xdr:col>4</xdr:col>
          <xdr:colOff>57150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85725</xdr:rowOff>
        </xdr:from>
        <xdr:to>
          <xdr:col>4</xdr:col>
          <xdr:colOff>57150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695325</xdr:colOff>
          <xdr:row>0</xdr:row>
          <xdr:rowOff>561975</xdr:rowOff>
        </xdr:from>
        <xdr:to>
          <xdr:col>2</xdr:col>
          <xdr:colOff>2133600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704850</xdr:colOff>
          <xdr:row>0</xdr:row>
          <xdr:rowOff>85725</xdr:rowOff>
        </xdr:from>
        <xdr:to>
          <xdr:col>3</xdr:col>
          <xdr:colOff>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76200</xdr:rowOff>
        </xdr:from>
        <xdr:to>
          <xdr:col>7</xdr:col>
          <xdr:colOff>838200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333375</xdr:rowOff>
        </xdr:from>
        <xdr:to>
          <xdr:col>7</xdr:col>
          <xdr:colOff>838200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</xdr:colOff>
          <xdr:row>0</xdr:row>
          <xdr:rowOff>66675</xdr:rowOff>
        </xdr:from>
        <xdr:to>
          <xdr:col>9</xdr:col>
          <xdr:colOff>742950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</xdr:colOff>
          <xdr:row>0</xdr:row>
          <xdr:rowOff>333375</xdr:rowOff>
        </xdr:from>
        <xdr:to>
          <xdr:col>9</xdr:col>
          <xdr:colOff>742950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352425</xdr:rowOff>
        </xdr:from>
        <xdr:to>
          <xdr:col>6</xdr:col>
          <xdr:colOff>123825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590550</xdr:rowOff>
        </xdr:from>
        <xdr:to>
          <xdr:col>7</xdr:col>
          <xdr:colOff>838200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14</xdr:row>
      <xdr:rowOff>0</xdr:rowOff>
    </xdr:from>
    <xdr:to>
      <xdr:col>9</xdr:col>
      <xdr:colOff>1304925</xdr:colOff>
      <xdr:row>16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2CC19F34-E7C2-48B9-A112-401E76FB90AD}"/>
            </a:ext>
          </a:extLst>
        </xdr:cNvPr>
        <xdr:cNvSpPr/>
      </xdr:nvSpPr>
      <xdr:spPr bwMode="auto">
        <a:xfrm>
          <a:off x="7600950" y="2667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14</xdr:row>
      <xdr:rowOff>0</xdr:rowOff>
    </xdr:from>
    <xdr:to>
      <xdr:col>12</xdr:col>
      <xdr:colOff>514350</xdr:colOff>
      <xdr:row>16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6396EA52-841A-4F65-831D-7A395BBA7AF6}"/>
            </a:ext>
          </a:extLst>
        </xdr:cNvPr>
        <xdr:cNvSpPr/>
      </xdr:nvSpPr>
      <xdr:spPr bwMode="auto">
        <a:xfrm>
          <a:off x="9096375" y="26670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14</xdr:row>
      <xdr:rowOff>0</xdr:rowOff>
    </xdr:from>
    <xdr:to>
      <xdr:col>9</xdr:col>
      <xdr:colOff>1304925</xdr:colOff>
      <xdr:row>16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7600950" y="2667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14</xdr:row>
      <xdr:rowOff>0</xdr:rowOff>
    </xdr:from>
    <xdr:to>
      <xdr:col>12</xdr:col>
      <xdr:colOff>514350</xdr:colOff>
      <xdr:row>16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 bwMode="auto">
        <a:xfrm>
          <a:off x="9096375" y="26670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99" name="Diagramm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0" name="Diagramm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57150</xdr:rowOff>
        </xdr:from>
        <xdr:to>
          <xdr:col>1</xdr:col>
          <xdr:colOff>314325</xdr:colOff>
          <xdr:row>5</xdr:row>
          <xdr:rowOff>285750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6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7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171450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7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18</xdr:row>
          <xdr:rowOff>171450</xdr:rowOff>
        </xdr:from>
        <xdr:to>
          <xdr:col>0</xdr:col>
          <xdr:colOff>1638300</xdr:colOff>
          <xdr:row>20</xdr:row>
          <xdr:rowOff>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7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180975</xdr:rowOff>
        </xdr:from>
        <xdr:to>
          <xdr:col>0</xdr:col>
          <xdr:colOff>1638300</xdr:colOff>
          <xdr:row>22</xdr:row>
          <xdr:rowOff>9525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7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 of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8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14</xdr:row>
      <xdr:rowOff>0</xdr:rowOff>
    </xdr:from>
    <xdr:to>
      <xdr:col>9</xdr:col>
      <xdr:colOff>1304925</xdr:colOff>
      <xdr:row>16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14</xdr:row>
      <xdr:rowOff>0</xdr:rowOff>
    </xdr:from>
    <xdr:to>
      <xdr:col>12</xdr:col>
      <xdr:colOff>514350</xdr:colOff>
      <xdr:row>16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B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B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Q4" totalsRowShown="0" dataDxfId="0">
  <autoFilter ref="A3:Q4" xr:uid="{520F3973-795E-47E6-97CD-1C1265CA838A}"/>
  <sortState xmlns:xlrd2="http://schemas.microsoft.com/office/spreadsheetml/2017/richdata2" ref="A4:Q4">
    <sortCondition descending="1" ref="P3:P4"/>
  </sortState>
  <tableColumns count="17">
    <tableColumn id="1" xr3:uid="{78BB2EF9-C626-4B0D-94B3-1781BE57C67F}" name="Task no." dataDxfId="17" dataCellStyle="Standard"/>
    <tableColumn id="3" xr3:uid="{3AD21368-826B-4507-A159-BE8BE5B02C1F}" name="Indicator" dataDxfId="16" dataCellStyle="Spaltenebene_1"/>
    <tableColumn id="2" xr3:uid="{C139B307-7150-4838-B1FD-482AAB7B1208}" name="Task name" dataDxfId="15" dataCellStyle="Link"/>
    <tableColumn id="18" xr3:uid="{3B298737-E571-4F23-9C71-2BC3C2385355}" name="Comment" dataDxfId="14" dataCellStyle="Link"/>
    <tableColumn id="4" xr3:uid="{E2EAEAF6-33EC-4D8C-B42E-C249C36E3D3C}" name="%Tag 1" dataDxfId="13" dataCellStyle="Standard"/>
    <tableColumn id="5" xr3:uid="{1E4EAD98-8B30-4F09-AA64-D7613D00651F}" name="%Tag 2" dataDxfId="12" dataCellStyle="Standard"/>
    <tableColumn id="6" xr3:uid="{9E1E50BB-6DA2-47A1-BB20-8C9FAC4B0DB5}" name="%Tag 3" dataDxfId="11" dataCellStyle="Standard"/>
    <tableColumn id="10" xr3:uid="{85CEF83B-6217-49AE-8974-E4D5953E2637}" name="Kanban list" dataDxfId="10" dataCellStyle="Standard"/>
    <tableColumn id="11" xr3:uid="{E542542F-D34F-488A-95AF-76A724785E5A}" name="User time estimate" dataDxfId="9" dataCellStyle="Standard"/>
    <tableColumn id="12" xr3:uid="{7DA005F8-D924-4031-B65E-6C6F60E3212D}" name="Total time" dataDxfId="8" dataCellStyle="Standard"/>
    <tableColumn id="16" xr3:uid="{209AEE68-BDAE-4E8C-BCF6-6EEA4F9A7FDE}" name="Finished on" dataDxfId="7" dataCellStyle="Standard"/>
    <tableColumn id="8" xr3:uid="{727785B7-29B9-493D-A20B-C319B38E1DF3}" name="EBS 50% time" dataDxfId="6" dataCellStyle="Standard"/>
    <tableColumn id="9" xr3:uid="{B12BA9B8-3C81-408C-AFE4-25993FD8491D}" name="EBS 50% date" dataDxfId="5" dataCellStyle="Standard"/>
    <tableColumn id="20" xr3:uid="{DAE27A09-2EB0-4A47-A9F0-48ED802D8570}" name="Due date" dataDxfId="4" dataCellStyle="Spaltenebene_1"/>
    <tableColumn id="19" xr3:uid="{7A8CB495-6AE9-4A1E-AC5B-8B6487C84135}" name="Contributor" dataDxfId="3" dataCellStyle="Standard"/>
    <tableColumn id="17" xr3:uid="{EF767A93-0B38-4A66-A27B-92321C0E655C}" name="Priority" dataDxfId="2" dataCellStyle="Standard"/>
    <tableColumn id="15" xr3:uid="{2ADBC76B-EB88-4BCD-8956-7B4B22C5A3D4}" name="tHASH" dataDxfId="1" dataCellStyle="Standard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937E8B6-0510-418D-B5C3-D02F43DCF1F0}" name="TimeEntries35737513" displayName="TimeEntries35737513" ref="A15:G16" totalsRowShown="0">
  <autoFilter ref="A15:G16" xr:uid="{9B694E06-832E-41CE-B081-A365548C788A}"/>
  <tableColumns count="7">
    <tableColumn id="1" xr3:uid="{F73BB121-5F78-4922-A322-6E93334C99C3}" name="Time entry no."/>
    <tableColumn id="2" xr3:uid="{873013D8-17AA-4E6A-B9F0-B324C72FE2F3}" name="Start time" dataDxfId="37"/>
    <tableColumn id="3" xr3:uid="{D265605D-59F8-4BE2-99E7-9D16E63D984D}" name="End time" dataDxfId="36"/>
    <tableColumn id="4" xr3:uid="{BF7C925C-C92A-4F76-9F26-3017ADF7B739}" name="Time delta in h" dataDxfId="35">
      <calculatedColumnFormula>MAX((TimeEntries35737513[[#This Row],[End time]]-TimeEntries35737513[[#This Row],[Start time]])*24,0)</calculatedColumnFormula>
    </tableColumn>
    <tableColumn id="5" xr3:uid="{2DD14DE1-2549-42C1-BAC0-26A264DFBC34}" name="Indicator"/>
    <tableColumn id="6" xr3:uid="{A3290D05-63EE-4442-A805-76DDEDFBD8F6}" name="Action1"/>
    <tableColumn id="7" xr3:uid="{2815E208-3AC1-40FB-9A43-0215BCD729B6}" name="Action2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303ABAA-ABAE-4C1D-BD96-A2E5DFC9784E}" name="Tabelle736735837614" displayName="Tabelle736735837614" ref="I15:M16" totalsRowShown="0">
  <autoFilter ref="I15:M16" xr:uid="{5D8EBA8B-C937-48E7-9253-3A934580E22B}"/>
  <tableColumns count="5">
    <tableColumn id="1" xr3:uid="{E1BEACC1-74C2-4D15-923C-46A15BBB509A}" name="Comparison entry no."/>
    <tableColumn id="2" xr3:uid="{F7F63844-0E7B-47F2-BDE2-14C6B7175171}" name="Propability Support point" dataDxfId="34"/>
    <tableColumn id="3" xr3:uid="{930D0EBA-79BC-45AB-8D1D-3A1273A7703B}" name="EBS self time" dataDxfId="33"/>
    <tableColumn id="4" xr3:uid="{7F8B488D-8BE5-40B5-A260-2FABC56E8BEC}" name="Total time">
      <calculatedColumnFormula>SUM(TimeEntries35737513[Time delta in h])</calculatedColumnFormula>
    </tableColumn>
    <tableColumn id="5" xr3:uid="{CDD5DAC3-980C-407D-A10A-51AC8CA4F9A2}" name="Total time / Your estimate" dataDxfId="32">
      <calculatedColumnFormula>Tabelle736735837614[[#This Row],[EBS self time]]/Tabelle736735837614[[#This Row],[Total time]]</calculatedColumnFormula>
    </tableColumn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72C458-8251-4604-9178-9387B63D273C}" name="lbelow" displayName="lbelow" ref="A5:C9" totalsRowShown="0">
  <autoFilter ref="A5:C9" xr:uid="{D78A8047-9E8A-47D8-85FB-74861EBCCDAA}"/>
  <tableColumns count="3">
    <tableColumn id="1" xr3:uid="{FE9FD31F-E5ED-4FB2-8F07-4AD0F722B0B1}" name="Spalte1"/>
    <tableColumn id="2" xr3:uid="{13B4544D-3D89-4055-A82D-E98C22B872BC}" name="Spalte2"/>
    <tableColumn id="3" xr3:uid="{3DA451EF-7331-40B4-85B6-42925AC19423}" name="Spalte3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388A1DF-8CCD-4292-B8AF-02E578404812}" name="rtt" displayName="rtt" ref="F3:H6" totalsRowShown="0">
  <autoFilter ref="F3:H6" xr:uid="{CF0FE10D-415C-413C-B60C-00DC56EFDE95}"/>
  <tableColumns count="3">
    <tableColumn id="1" xr3:uid="{C0887146-4713-468E-B8B2-CA30C8577916}" name="Spalte1"/>
    <tableColumn id="2" xr3:uid="{3724BD06-69AA-4863-8BE8-C6DB9DF56BDA}" name="Spalte2"/>
    <tableColumn id="3" xr3:uid="{8D8C58F2-5B54-479C-B879-F2B2C6F17125}" name="Spalte3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6" xr:uid="{7128D4AA-139B-44BE-B113-4A42CCEBC844}" name="TimeEntries377" displayName="TimeEntries377" ref="A15:G16" totalsRowShown="0">
  <autoFilter ref="A15:G16" xr:uid="{40D13D02-1E69-496D-8B92-B7ECCFB4FAB3}"/>
  <sortState xmlns:xlrd2="http://schemas.microsoft.com/office/spreadsheetml/2017/richdata2" ref="A16:E16">
    <sortCondition ref="A15:A16"/>
  </sortState>
  <tableColumns count="7">
    <tableColumn id="1" xr3:uid="{E21B49B9-FB22-4F65-B3F4-A72EC8584C6D}" name="Time entry no."/>
    <tableColumn id="2" xr3:uid="{4B6315ED-CFFB-40D7-939A-55A672C16A01}" name="Start time" dataDxfId="67"/>
    <tableColumn id="3" xr3:uid="{931867B2-ECD7-4FD2-8B3D-BBBED9AEE663}" name="End time" dataDxfId="66"/>
    <tableColumn id="4" xr3:uid="{2CD60A2F-7BA9-4276-87D3-08A6A9C720B1}" name="Time delta in h" dataDxfId="65">
      <calculatedColumnFormula>MAX((TimeEntries377[[#This Row],[End time]]-TimeEntries377[[#This Row],[Start time]])*24,0)</calculatedColumnFormula>
    </tableColumn>
    <tableColumn id="5" xr3:uid="{A452665D-A64A-4929-8853-280B24FE114E}" name="Indicator"/>
    <tableColumn id="6" xr3:uid="{50FEA45F-FABB-4CCD-ABC0-B89EB62BE7C8}" name="Action1"/>
    <tableColumn id="7" xr3:uid="{E054F880-9798-42B3-BAD6-1C7DACB3EF48}" name="Action2"/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7" xr:uid="{01EB955F-980D-4EE4-8ABE-C184B5DBD9FD}" name="Tabelle7367378" displayName="Tabelle7367378" ref="I15:M16" totalsRowShown="0">
  <autoFilter ref="I15:M16" xr:uid="{84675B4D-C39C-4C1D-95DA-B0DAB419A377}"/>
  <tableColumns count="5">
    <tableColumn id="1" xr3:uid="{0C2EEFAA-AA8B-4462-BE37-C50939D6AA77}" name="Comparison entry no."/>
    <tableColumn id="2" xr3:uid="{43B19F67-35DB-4184-886A-9F3BFCFCE590}" name="Propability Support point" dataDxfId="64"/>
    <tableColumn id="3" xr3:uid="{05A768D4-23B9-4EC8-8C3C-ADF84EE95106}" name="EBS self time" dataDxfId="63"/>
    <tableColumn id="4" xr3:uid="{33D79677-7FE4-4FED-BD68-A1B4DF932E67}" name="Total time">
      <calculatedColumnFormula>SUM(TimeEntries377[Time delta in h])</calculatedColumnFormula>
    </tableColumn>
    <tableColumn id="5" xr3:uid="{B9E24DAB-579E-4C6F-9249-ED6E59A06A5A}" name="Total time / Your estimate" dataDxfId="62">
      <calculatedColumnFormula>Tabelle7367378[[#This Row],[EBS self time]]/Tabelle7367378[[#This Row],[Total time]]</calculatedColumnFormula>
    </tableColumn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00B6E4CA-8078-4EB2-996B-E662EECF26CA}" name="EbsBaseData4326270489" displayName="EbsBaseData4326270489" ref="A18:H23" totalsRowShown="0">
  <autoFilter ref="A18:H23" xr:uid="{1948C160-1F52-48A7-8061-8AFF06D47134}"/>
  <tableColumns count="8">
    <tableColumn id="1" xr3:uid="{E6BEF93E-0B5C-43B8-89CF-C62D27CA2DAC}" name="EBS entry no."/>
    <tableColumn id="4" xr3:uid="{29329024-2EEE-45EA-B998-5CDBC9E950F5}" name="EBS run date" dataDxfId="61"/>
    <tableColumn id="8" xr3:uid="{33AFB60A-3051-4DB6-A6B8-0435DDB02ECE}" name="[Velocity pool]"/>
    <tableColumn id="2" xr3:uid="{895066AF-2A51-416F-A6FE-62CB7A01DF26}" name="Show pool?"/>
    <tableColumn id="3" xr3:uid="{CDD9E8F6-BE77-41C8-99D8-D114ACAE99C9}" name="[Propability support points]"/>
    <tableColumn id="5" xr3:uid="{157A0266-4D3A-4F56-8527-AE9E73B9F527}" name="[Project time estimates]"/>
    <tableColumn id="6" xr3:uid="{8D50710C-652F-413E-A15F-BC565A3019FF}" name="[Project date estimates]"/>
    <tableColumn id="7" xr3:uid="{6C1099F2-F9D5-4C7A-953D-B1AD1675D801}" name="eHASH"/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39D4EFFA-43C8-41F3-80D4-25ADD61C649D}" name="EbsTaskData9592711290" displayName="EbsTaskData9592711290" ref="J18:T20" totalsRowShown="0">
  <autoFilter ref="J18:T20" xr:uid="{2297DC20-55A3-4C75-B785-3C4ABEF5CB9C}"/>
  <tableColumns count="11">
    <tableColumn id="1" xr3:uid="{428AC8C3-73B3-4C2C-93D7-18A3CD0B6F01}" name="Data entry no."/>
    <tableColumn id="10" xr3:uid="{FE4E3CE0-401E-4E04-ACEE-65397BC404C5}" name="tHASH"/>
    <tableColumn id="5" xr3:uid="{D1B05325-A0C2-4996-9C76-DBA98C706165}" name="Logged Priority"/>
    <tableColumn id="7" xr3:uid="{BD8AF817-8C86-4CB8-A17D-F12728C2FAE1}" name="Time spent so far" dataDxfId="60"/>
    <tableColumn id="4" xr3:uid="{BD24E662-9F4E-4C61-82B5-EAD94B1901CC}" name="User time estimate" dataDxfId="59"/>
    <tableColumn id="3" xr3:uid="{398A22D4-3766-44B5-B551-96ADF54972F4}" name="[Monte Carlo estimate pool]"/>
    <tableColumn id="2" xr3:uid="{28ADD1FF-53E8-4F98-9AC0-21A34F348176}" name="[Remaining time pool]"/>
    <tableColumn id="6" xr3:uid="{D677D706-8056-473C-8451-5700EC733CD9}" name="[Accumulated time pool]"/>
    <tableColumn id="8" xr3:uid="{F8B8129E-441C-4FF7-BA7B-B7B48CF28123}" name="[Propability support points]"/>
    <tableColumn id="9" xr3:uid="{27CA39DF-0F63-49C2-81FE-ED6793C64D54}" name="[Interpolated time estimates]"/>
    <tableColumn id="11" xr3:uid="{FF086BCC-7FDD-4936-A7E9-36C8BE6A1F6E}" name="[Interpolated date estimates]"/>
  </tableColumns>
  <tableStyleInfo name="TableStyleDark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54" totalsRowShown="0" headerRowDxfId="58" dataDxfId="56" headerRowBorderDxfId="57">
  <autoFilter ref="A8:D54" xr:uid="{8E9EC0C1-7901-48B6-A59A-1CE6ABEE7A55}"/>
  <tableColumns count="4">
    <tableColumn id="1" xr3:uid="{58BB2187-C79D-4A1A-A9A3-DA2F074C476C}" name="Split entry no." dataDxfId="55"/>
    <tableColumn id="2" xr3:uid="{A755482D-FFF4-43D8-8021-1956CE3A7021}" name="Split start" dataDxfId="54"/>
    <tableColumn id="3" xr3:uid="{FE0A0B8D-1F8A-4CEC-9FB3-C945A45F99BF}" name="Split end" dataDxfId="53"/>
    <tableColumn id="4" xr3:uid="{5443222D-0CE3-4625-9EDB-D13B87B6C388}" name="Time spent" dataDxfId="52"/>
  </tableColumns>
  <tableStyleInfo name="TableStyleDark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51" dataCellStyle="Link"/>
    <tableColumn id="9" xr3:uid="{0037D127-E2BA-445A-BC63-1395BA3AC441}" name="Calendar ID" dataDxfId="50" dataCellStyle="Link"/>
    <tableColumn id="10" xr3:uid="{37CA3B7B-8FF0-4042-97C6-E23A79A74325}" name="Store ID"/>
    <tableColumn id="6" xr3:uid="{044D8005-25C5-4D31-940A-B6DE4C6B0EA5}" name="WorkingDays" dataDxfId="49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48"/>
    <tableColumn id="8" xr3:uid="{1177B0FB-46B2-406D-B988-C64E0ABA6972}" name="AppointmentOffsetHours" dataDxfId="47">
      <calculatedColumnFormula>5/60</calculatedColumnFormula>
    </tableColumn>
  </tableColumns>
  <tableStyleInfo name="TableStyleDark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5:G16" totalsRowShown="0">
  <autoFilter ref="A15:G16" xr:uid="{40D13D02-1E69-496D-8B92-B7ECCFB4FAB3}"/>
  <sortState xmlns:xlrd2="http://schemas.microsoft.com/office/spreadsheetml/2017/richdata2" ref="A16:E16">
    <sortCondition ref="A15:A16"/>
  </sortState>
  <tableColumns count="7">
    <tableColumn id="1" xr3:uid="{79398A77-C401-45B7-A5F3-FD95241DA46D}" name="Time entry no."/>
    <tableColumn id="2" xr3:uid="{B05CE561-2857-4C79-94B9-B743D40A6B9B}" name="Start time" dataDxfId="46"/>
    <tableColumn id="3" xr3:uid="{78DABF02-3853-48FF-81AD-5801C74BED1B}" name="End time" dataDxfId="45"/>
    <tableColumn id="4" xr3:uid="{76C994F9-216A-4848-9FB6-16BAF8B0EEEA}" name="Time delta in h" dataDxfId="44">
      <calculatedColumnFormula>MAX((TimeEntries[[#This Row],[End time]]-TimeEntries[[#This Row],[Start time]])*24,0)</calculatedColumnFormula>
    </tableColumn>
    <tableColumn id="5" xr3:uid="{7A34D70F-82B8-48DB-B5DE-37BA200663BE}" name="Indicator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5:M16" totalsRowShown="0">
  <autoFilter ref="I15:M16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43"/>
    <tableColumn id="3" xr3:uid="{A62B365F-400F-45A4-B789-FE7B5FDBD312}" name="EBS self time" dataDxfId="42"/>
    <tableColumn id="4" xr3:uid="{37AD97D9-9420-42BC-9EA3-73C14A0A1F72}" name="Total time">
      <calculatedColumnFormula>SUM(TimeEntries[Time delta in h])</calculatedColumnFormula>
    </tableColumn>
    <tableColumn id="5" xr3:uid="{919307D5-98B8-47B0-ABAC-374A91F6BBB0}" name="Total time / Your estimate" dataDxfId="41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40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39"/>
    <tableColumn id="4" xr3:uid="{F9EDA55E-5206-49A7-A846-6A0B14C04CAF}" name="User time estimate" dataDxfId="38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AF0BCD2F-1576-43E5-88C4-24FC1923FC78}">
    <text>The time estimate of the remaining time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drawing" Target="../drawings/drawing6.xml"/><Relationship Id="rId7" Type="http://schemas.openxmlformats.org/officeDocument/2006/relationships/ctrlProp" Target="../ctrlProps/ctrlProp1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weihsbach.c@outlook.com\Kalender" TargetMode="Externa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4.vml"/><Relationship Id="rId9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4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V39"/>
  <sheetViews>
    <sheetView tabSelected="1" topLeftCell="B1" zoomScaleNormal="100" workbookViewId="0">
      <selection activeCell="F11" sqref="F11"/>
    </sheetView>
  </sheetViews>
  <sheetFormatPr baseColWidth="10" defaultColWidth="11.42578125" defaultRowHeight="15" outlineLevelCol="1" x14ac:dyDescent="0.25"/>
  <cols>
    <col min="1" max="1" width="10.42578125" style="6" hidden="1" customWidth="1" outlineLevel="1"/>
    <col min="2" max="2" width="13.5703125" style="38" bestFit="1" customWidth="1" collapsed="1"/>
    <col min="3" max="3" width="32.140625" style="9" customWidth="1"/>
    <col min="4" max="4" width="25.7109375" style="9" customWidth="1"/>
    <col min="6" max="6" width="9.85546875" style="7" customWidth="1"/>
    <col min="7" max="7" width="11.42578125" style="7" bestFit="1" customWidth="1"/>
    <col min="8" max="8" width="13" style="7" bestFit="1" customWidth="1"/>
    <col min="9" max="10" width="20.42578125" style="10" bestFit="1" customWidth="1"/>
    <col min="11" max="11" width="21.5703125" style="6" hidden="1" customWidth="1" outlineLevel="1"/>
    <col min="12" max="12" width="15" style="10" hidden="1" customWidth="1" outlineLevel="1"/>
    <col min="13" max="13" width="15.7109375" style="10" hidden="1" customWidth="1" outlineLevel="1"/>
    <col min="14" max="14" width="15.7109375" style="38" customWidth="1" collapsed="1"/>
    <col min="15" max="15" width="13.5703125" hidden="1" customWidth="1" outlineLevel="1"/>
    <col min="16" max="16" width="11.42578125" hidden="1" customWidth="1" outlineLevel="1"/>
    <col min="17" max="17" width="20.28515625" style="6" hidden="1" customWidth="1" outlineLevel="1"/>
    <col min="18" max="18" width="15.7109375" style="38" customWidth="1" collapsed="1"/>
    <col min="19" max="19" width="9.85546875" customWidth="1"/>
    <col min="20" max="20" width="15.85546875" customWidth="1"/>
    <col min="21" max="21" width="3.7109375" style="3" customWidth="1"/>
  </cols>
  <sheetData>
    <row r="1" spans="1:22" ht="65.25" customHeight="1" x14ac:dyDescent="0.25">
      <c r="A1" s="3"/>
      <c r="C1" s="8"/>
      <c r="D1" s="8"/>
      <c r="E1" s="19"/>
      <c r="F1" s="19"/>
      <c r="G1" s="19"/>
      <c r="H1" s="10"/>
      <c r="K1" s="3"/>
      <c r="O1" s="3"/>
      <c r="P1" s="3"/>
      <c r="Q1"/>
      <c r="U1"/>
    </row>
    <row r="2" spans="1:22" x14ac:dyDescent="0.25">
      <c r="A2" s="8"/>
      <c r="C2" s="8"/>
      <c r="D2" s="8"/>
      <c r="E2" s="8"/>
      <c r="F2" s="8"/>
      <c r="G2" s="8"/>
      <c r="H2" s="8"/>
      <c r="I2" s="8"/>
      <c r="J2" s="8"/>
      <c r="K2" s="8"/>
      <c r="L2" s="37" t="s">
        <v>78</v>
      </c>
      <c r="M2" s="37" t="s">
        <v>78</v>
      </c>
      <c r="O2" s="8"/>
      <c r="P2" s="8"/>
      <c r="Q2" s="8"/>
      <c r="U2"/>
    </row>
    <row r="3" spans="1:22" x14ac:dyDescent="0.25">
      <c r="A3" s="6" t="s">
        <v>12</v>
      </c>
      <c r="B3" s="38" t="s">
        <v>10</v>
      </c>
      <c r="C3" s="9" t="s">
        <v>3</v>
      </c>
      <c r="D3" s="9" t="s">
        <v>2</v>
      </c>
      <c r="E3" s="7" t="s">
        <v>22</v>
      </c>
      <c r="F3" s="7" t="s">
        <v>23</v>
      </c>
      <c r="G3" s="7" t="s">
        <v>24</v>
      </c>
      <c r="H3" s="10" t="s">
        <v>1</v>
      </c>
      <c r="I3" s="10" t="s">
        <v>79</v>
      </c>
      <c r="J3" s="18" t="s">
        <v>72</v>
      </c>
      <c r="K3" t="s">
        <v>16</v>
      </c>
      <c r="L3" s="7" t="s">
        <v>83</v>
      </c>
      <c r="M3" s="7" t="s">
        <v>77</v>
      </c>
      <c r="N3" s="38" t="s">
        <v>14</v>
      </c>
      <c r="O3" s="6" t="s">
        <v>15</v>
      </c>
      <c r="P3" t="s">
        <v>13</v>
      </c>
      <c r="Q3" t="s">
        <v>47</v>
      </c>
      <c r="U3"/>
    </row>
    <row r="4" spans="1:22" ht="15" customHeight="1" x14ac:dyDescent="0.25">
      <c r="A4" s="46" t="s">
        <v>133</v>
      </c>
      <c r="B4" s="47"/>
      <c r="C4" s="48" t="s">
        <v>204</v>
      </c>
      <c r="D4" s="48"/>
      <c r="E4" s="49"/>
      <c r="F4" s="46"/>
      <c r="G4" s="46"/>
      <c r="H4" s="46" t="s">
        <v>94</v>
      </c>
      <c r="I4" s="50" t="s">
        <v>205</v>
      </c>
      <c r="J4" s="46"/>
      <c r="K4" s="46" t="s">
        <v>95</v>
      </c>
      <c r="L4" s="46"/>
      <c r="M4" s="46"/>
      <c r="N4" s="51"/>
      <c r="O4" s="46" t="s">
        <v>19</v>
      </c>
      <c r="P4" s="46">
        <v>1</v>
      </c>
      <c r="Q4" s="46" t="s">
        <v>207</v>
      </c>
      <c r="U4"/>
    </row>
    <row r="5" spans="1:22" ht="15" customHeight="1" x14ac:dyDescent="0.25">
      <c r="A5" s="39"/>
      <c r="B5" s="35"/>
      <c r="C5" s="23"/>
      <c r="D5" s="23"/>
      <c r="E5" s="24"/>
      <c r="F5" s="39"/>
      <c r="G5" s="39"/>
      <c r="H5" s="39"/>
      <c r="I5" s="40"/>
      <c r="J5" s="39"/>
      <c r="K5" s="39"/>
      <c r="L5" s="39"/>
      <c r="M5" s="39"/>
      <c r="N5" s="36"/>
      <c r="O5" s="39"/>
      <c r="P5" s="39"/>
      <c r="Q5" s="39"/>
      <c r="U5"/>
    </row>
    <row r="6" spans="1:22" ht="15" customHeight="1" x14ac:dyDescent="0.25">
      <c r="A6" s="24"/>
      <c r="B6" s="35"/>
      <c r="C6" s="23"/>
      <c r="D6" s="23" t="s">
        <v>114</v>
      </c>
      <c r="F6" s="24"/>
      <c r="G6" s="24"/>
      <c r="H6" s="24"/>
      <c r="I6" s="24"/>
      <c r="J6" s="25"/>
      <c r="K6" s="24"/>
      <c r="L6" s="25"/>
      <c r="M6" s="25"/>
      <c r="N6" s="36"/>
      <c r="Q6" s="24"/>
      <c r="U6"/>
    </row>
    <row r="7" spans="1:22" ht="15" customHeight="1" x14ac:dyDescent="0.25">
      <c r="U7"/>
    </row>
    <row r="8" spans="1:22" ht="15" customHeight="1" x14ac:dyDescent="0.25">
      <c r="U8"/>
    </row>
    <row r="9" spans="1:22" ht="15" customHeight="1" x14ac:dyDescent="0.25">
      <c r="U9"/>
    </row>
    <row r="10" spans="1:22" s="44" customFormat="1" x14ac:dyDescent="0.25">
      <c r="A10" s="6"/>
      <c r="B10" s="38"/>
      <c r="C10" s="9"/>
      <c r="D10" s="9"/>
      <c r="E10"/>
      <c r="F10" s="7"/>
      <c r="G10" s="7"/>
      <c r="H10" s="7"/>
      <c r="I10" s="10"/>
      <c r="J10" s="10"/>
      <c r="K10" s="6"/>
      <c r="L10" s="10"/>
      <c r="M10" s="10"/>
      <c r="N10" s="38"/>
      <c r="O10"/>
      <c r="P10"/>
      <c r="Q10" s="6"/>
      <c r="R10" s="42"/>
      <c r="S10" s="41"/>
      <c r="T10" s="41"/>
      <c r="U10" s="43"/>
    </row>
    <row r="11" spans="1:22" s="44" customFormat="1" x14ac:dyDescent="0.25">
      <c r="A11" s="6"/>
      <c r="B11" s="38"/>
      <c r="C11" s="11"/>
      <c r="D11" s="9"/>
      <c r="E11"/>
      <c r="F11" s="7"/>
      <c r="G11" s="7"/>
      <c r="H11" s="7"/>
      <c r="I11" s="10"/>
      <c r="J11" s="10"/>
      <c r="K11" s="6"/>
      <c r="L11" s="10"/>
      <c r="M11" s="10"/>
      <c r="N11" s="38"/>
      <c r="O11"/>
      <c r="P11"/>
      <c r="Q11" s="6"/>
      <c r="R11" s="42"/>
      <c r="S11" s="41"/>
      <c r="T11" s="41"/>
      <c r="U11" s="43"/>
      <c r="V11" s="45"/>
    </row>
    <row r="39" spans="22:22" x14ac:dyDescent="0.25">
      <c r="V39" t="s">
        <v>88</v>
      </c>
    </row>
  </sheetData>
  <dataConsolidate/>
  <conditionalFormatting sqref="B4">
    <cfRule type="containsText" dxfId="31" priority="7" operator="containsText" text="&lt;current">
      <formula>NOT(ISERROR(SEARCH("&lt;current",B4)))</formula>
    </cfRule>
  </conditionalFormatting>
  <conditionalFormatting sqref="H4">
    <cfRule type="containsText" dxfId="30" priority="2" operator="containsText" text="Note">
      <formula>NOT(ISERROR(SEARCH("Note",H4)))</formula>
    </cfRule>
    <cfRule type="containsText" dxfId="29" priority="8" operator="containsText" text="Done">
      <formula>NOT(ISERROR(SEARCH("Done",H4)))</formula>
    </cfRule>
    <cfRule type="containsText" dxfId="28" priority="9" operator="containsText" text="In progress">
      <formula>NOT(ISERROR(SEARCH("In progress",H4)))</formula>
    </cfRule>
    <cfRule type="containsText" dxfId="27" priority="10" operator="containsText" text="To do">
      <formula>NOT(ISERROR(SEARCH("To do",H4)))</formula>
    </cfRule>
  </conditionalFormatting>
  <conditionalFormatting sqref="N4">
    <cfRule type="cellIs" dxfId="26" priority="1" operator="lessThan">
      <formula>TODAY()</formula>
    </cfRule>
  </conditionalFormatting>
  <conditionalFormatting sqref="P4">
    <cfRule type="colorScale" priority="2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7">
    <dataValidation type="list" allowBlank="1" showInputMessage="1" showErrorMessage="1" sqref="L2" xr:uid="{97887939-3BEB-4208-B392-81AF3EE745BF}">
      <formula1>"cumulative, single"</formula1>
    </dataValidation>
    <dataValidation type="list" allowBlank="1" showInputMessage="1" showErrorMessage="1" sqref="M2" xr:uid="{AE25932B-CEE6-4C5E-83FE-7FE3F6CE570D}">
      <formula1>"cumulative,single"</formula1>
    </dataValidation>
    <dataValidation type="list" allowBlank="1" showInputMessage="1" showErrorMessage="1" sqref="H4" xr:uid="{6C3476F0-112C-4267-BE3C-B2374FE0AF43}">
      <formula1>"Note,To do,In progress,Done"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O4" xr:uid="{5BC6DE82-994E-4984-9BFB-1292C1A6B6C3}">
      <formula1>"Me,Me3"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" xr:uid="{F3A7B580-EA12-4D74-A276-E8131ECA15AD}">
      <formula1>"preparation,non food,food"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F4" xr:uid="{D15B3D4E-C4A9-4E32-9BB4-30E081D2F1BA}">
      <formula1>"fruit"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E4" xr:uid="{F32ADCD5-9D8D-4CCE-8AA4-B6EAC1E91473}">
      <formula1>"important,fruit"</formula1>
    </dataValidation>
  </dataValidations>
  <hyperlinks>
    <hyperlink ref="C4" location="Planning!A1" display="Planning!A1" xr:uid="{DC7DDB32-EF71-4AF1-8BCC-DD612195F9BE}"/>
  </hyperlink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1</xdr:col>
                    <xdr:colOff>76200</xdr:colOff>
                    <xdr:row>0</xdr:row>
                    <xdr:rowOff>85725</xdr:rowOff>
                  </from>
                  <to>
                    <xdr:col>2</xdr:col>
                    <xdr:colOff>609600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104775</xdr:colOff>
                    <xdr:row>0</xdr:row>
                    <xdr:rowOff>85725</xdr:rowOff>
                  </from>
                  <to>
                    <xdr:col>6</xdr:col>
                    <xdr:colOff>123825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3</xdr:col>
                    <xdr:colOff>333375</xdr:colOff>
                    <xdr:row>0</xdr:row>
                    <xdr:rowOff>352425</xdr:rowOff>
                  </from>
                  <to>
                    <xdr:col>4</xdr:col>
                    <xdr:colOff>57150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3</xdr:col>
                    <xdr:colOff>333375</xdr:colOff>
                    <xdr:row>0</xdr:row>
                    <xdr:rowOff>85725</xdr:rowOff>
                  </from>
                  <to>
                    <xdr:col>4</xdr:col>
                    <xdr:colOff>57150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695325</xdr:colOff>
                    <xdr:row>0</xdr:row>
                    <xdr:rowOff>561975</xdr:rowOff>
                  </from>
                  <to>
                    <xdr:col>2</xdr:col>
                    <xdr:colOff>2133600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704850</xdr:colOff>
                    <xdr:row>0</xdr:row>
                    <xdr:rowOff>85725</xdr:rowOff>
                  </from>
                  <to>
                    <xdr:col>3</xdr:col>
                    <xdr:colOff>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6</xdr:col>
                    <xdr:colOff>161925</xdr:colOff>
                    <xdr:row>0</xdr:row>
                    <xdr:rowOff>76200</xdr:rowOff>
                  </from>
                  <to>
                    <xdr:col>7</xdr:col>
                    <xdr:colOff>838200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6</xdr:col>
                    <xdr:colOff>161925</xdr:colOff>
                    <xdr:row>0</xdr:row>
                    <xdr:rowOff>333375</xdr:rowOff>
                  </from>
                  <to>
                    <xdr:col>7</xdr:col>
                    <xdr:colOff>838200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8</xdr:col>
                    <xdr:colOff>28575</xdr:colOff>
                    <xdr:row>0</xdr:row>
                    <xdr:rowOff>66675</xdr:rowOff>
                  </from>
                  <to>
                    <xdr:col>9</xdr:col>
                    <xdr:colOff>742950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8</xdr:col>
                    <xdr:colOff>28575</xdr:colOff>
                    <xdr:row>0</xdr:row>
                    <xdr:rowOff>333375</xdr:rowOff>
                  </from>
                  <to>
                    <xdr:col>9</xdr:col>
                    <xdr:colOff>742950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104775</xdr:colOff>
                    <xdr:row>0</xdr:row>
                    <xdr:rowOff>352425</xdr:rowOff>
                  </from>
                  <to>
                    <xdr:col>6</xdr:col>
                    <xdr:colOff>123825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6</xdr:col>
                    <xdr:colOff>161925</xdr:colOff>
                    <xdr:row>0</xdr:row>
                    <xdr:rowOff>590550</xdr:rowOff>
                  </from>
                  <to>
                    <xdr:col>7</xdr:col>
                    <xdr:colOff>838200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3B574-2E46-45B8-965D-505C3F0D8B46}">
  <sheetPr codeName="TaskSheetTemplate3"/>
  <dimension ref="A1:M17"/>
  <sheetViews>
    <sheetView workbookViewId="0"/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95</v>
      </c>
    </row>
    <row r="3" spans="1:13" x14ac:dyDescent="0.25">
      <c r="A3" t="s">
        <v>79</v>
      </c>
      <c r="B3" s="2" t="s">
        <v>95</v>
      </c>
      <c r="C3" t="s">
        <v>4</v>
      </c>
    </row>
    <row r="4" spans="1:13" x14ac:dyDescent="0.25">
      <c r="A4" t="s">
        <v>0</v>
      </c>
      <c r="B4" s="2">
        <f>SUM(TimeEntries35737513[Time delta in h])</f>
        <v>0</v>
      </c>
      <c r="C4" t="s">
        <v>4</v>
      </c>
    </row>
    <row r="5" spans="1:13" x14ac:dyDescent="0.25">
      <c r="A5" t="s">
        <v>14</v>
      </c>
      <c r="B5" s="5" t="s">
        <v>95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94</v>
      </c>
    </row>
    <row r="8" spans="1:13" x14ac:dyDescent="0.25">
      <c r="A8" t="s">
        <v>16</v>
      </c>
      <c r="B8" s="5" t="s">
        <v>95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207</v>
      </c>
    </row>
    <row r="11" spans="1:13" x14ac:dyDescent="0.25">
      <c r="A11" t="s">
        <v>5</v>
      </c>
      <c r="B11" s="2" t="e">
        <f>B3/SUM(TimeEntries35737513[Time delta in h])</f>
        <v>#VALUE!</v>
      </c>
      <c r="C11" t="s">
        <v>6</v>
      </c>
    </row>
    <row r="12" spans="1:13" x14ac:dyDescent="0.25">
      <c r="A12" t="s">
        <v>96</v>
      </c>
    </row>
    <row r="13" spans="1:13" x14ac:dyDescent="0.25">
      <c r="A13" t="s">
        <v>97</v>
      </c>
    </row>
    <row r="14" spans="1:13" x14ac:dyDescent="0.25">
      <c r="A14" t="s">
        <v>206</v>
      </c>
      <c r="B14" t="s">
        <v>95</v>
      </c>
    </row>
    <row r="15" spans="1:13" x14ac:dyDescent="0.25">
      <c r="A15" t="s">
        <v>11</v>
      </c>
      <c r="B15" t="s">
        <v>7</v>
      </c>
      <c r="C15" t="s">
        <v>8</v>
      </c>
      <c r="D15" t="s">
        <v>9</v>
      </c>
      <c r="E15" t="s">
        <v>10</v>
      </c>
      <c r="F15" t="s">
        <v>86</v>
      </c>
      <c r="G15" t="s">
        <v>87</v>
      </c>
      <c r="I15" t="s">
        <v>71</v>
      </c>
      <c r="J15" s="15" t="s">
        <v>69</v>
      </c>
      <c r="K15" s="2" t="s">
        <v>70</v>
      </c>
      <c r="L15" t="s">
        <v>72</v>
      </c>
      <c r="M15" t="s">
        <v>73</v>
      </c>
    </row>
    <row r="16" spans="1:13" x14ac:dyDescent="0.25">
      <c r="B16" s="1"/>
      <c r="C16" s="1"/>
      <c r="D16" s="2">
        <f>MAX((TimeEntries35737513[[#This Row],[End time]]-TimeEntries35737513[[#This Row],[Start time]])*24,0)</f>
        <v>0</v>
      </c>
      <c r="J16" s="15"/>
      <c r="K16" s="2"/>
      <c r="L16" s="2">
        <f>SUM(TimeEntries35737513[Time delta in h])</f>
        <v>0</v>
      </c>
      <c r="M16" s="16" t="e">
        <f>Tabelle736735837614[[#This Row],[EBS self time]]/Tabelle736735837614[[#This Row],[Total time]]</f>
        <v>#DIV/0!</v>
      </c>
    </row>
    <row r="17" spans="2:4" x14ac:dyDescent="0.25">
      <c r="B17" s="1"/>
      <c r="C17" s="1"/>
      <c r="D17" s="2"/>
    </row>
  </sheetData>
  <dataConsolidate/>
  <hyperlinks>
    <hyperlink ref="A1" location="Planning!A1" display="Go back to 'Planning' sheet" xr:uid="{51095BC2-5C22-4CFD-A9E9-DE874B21A7D8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DA0E3-FB52-4673-87AF-E051982CB6D0}">
  <sheetPr codeName="Tabelle1"/>
  <dimension ref="A1:H24"/>
  <sheetViews>
    <sheetView workbookViewId="0">
      <selection activeCell="H11" sqref="H11"/>
    </sheetView>
  </sheetViews>
  <sheetFormatPr baseColWidth="10" defaultRowHeight="15" x14ac:dyDescent="0.25"/>
  <cols>
    <col min="1" max="3" width="9.7109375" customWidth="1"/>
    <col min="4" max="5" width="4" customWidth="1"/>
    <col min="6" max="8" width="9.7109375" customWidth="1"/>
    <col min="9" max="11" width="4" customWidth="1"/>
  </cols>
  <sheetData>
    <row r="1" spans="1:8" ht="21" customHeight="1" x14ac:dyDescent="0.25"/>
    <row r="2" spans="1:8" ht="21" customHeight="1" x14ac:dyDescent="0.25"/>
    <row r="3" spans="1:8" ht="21" customHeight="1" x14ac:dyDescent="0.25">
      <c r="F3" t="s">
        <v>209</v>
      </c>
      <c r="G3" t="s">
        <v>210</v>
      </c>
      <c r="H3" t="s">
        <v>211</v>
      </c>
    </row>
    <row r="4" spans="1:8" ht="21" customHeight="1" x14ac:dyDescent="0.25">
      <c r="D4" s="52"/>
    </row>
    <row r="5" spans="1:8" ht="21" customHeight="1" x14ac:dyDescent="0.25">
      <c r="A5" t="s">
        <v>209</v>
      </c>
      <c r="B5" t="s">
        <v>210</v>
      </c>
      <c r="C5" t="s">
        <v>211</v>
      </c>
    </row>
    <row r="6" spans="1:8" ht="21" customHeight="1" x14ac:dyDescent="0.25"/>
    <row r="7" spans="1:8" ht="21" customHeight="1" x14ac:dyDescent="0.25"/>
    <row r="8" spans="1:8" ht="21" customHeight="1" x14ac:dyDescent="0.25"/>
    <row r="9" spans="1:8" ht="21" customHeight="1" x14ac:dyDescent="0.25"/>
    <row r="10" spans="1:8" ht="21" customHeight="1" x14ac:dyDescent="0.25"/>
    <row r="11" spans="1:8" ht="21" customHeight="1" x14ac:dyDescent="0.25"/>
    <row r="12" spans="1:8" ht="21" customHeight="1" x14ac:dyDescent="0.25"/>
    <row r="13" spans="1:8" ht="21" customHeight="1" x14ac:dyDescent="0.25"/>
    <row r="14" spans="1:8" ht="21" customHeight="1" x14ac:dyDescent="0.25"/>
    <row r="15" spans="1:8" ht="21" customHeight="1" x14ac:dyDescent="0.25"/>
    <row r="16" spans="1:8" ht="21" customHeight="1" x14ac:dyDescent="0.25"/>
    <row r="17" ht="21" customHeight="1" x14ac:dyDescent="0.25"/>
    <row r="18" ht="21" customHeight="1" x14ac:dyDescent="0.25"/>
    <row r="19" ht="21" customHeight="1" x14ac:dyDescent="0.25"/>
    <row r="20" ht="21" customHeight="1" x14ac:dyDescent="0.25"/>
    <row r="21" ht="21" customHeight="1" x14ac:dyDescent="0.25"/>
    <row r="22" ht="21" customHeight="1" x14ac:dyDescent="0.25"/>
    <row r="23" ht="21" customHeight="1" x14ac:dyDescent="0.25"/>
    <row r="24" ht="21" customHeight="1" x14ac:dyDescent="0.25"/>
  </sheetData>
  <pageMargins left="0.7" right="0.7" top="0.78740157499999996" bottom="0.78740157499999996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565F0-D953-43D9-BDF1-0115B7170F36}">
  <sheetPr codeName="TaskSheetTemplate1"/>
  <dimension ref="A1:M17"/>
  <sheetViews>
    <sheetView workbookViewId="0"/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95</v>
      </c>
    </row>
    <row r="3" spans="1:13" x14ac:dyDescent="0.25">
      <c r="A3" t="s">
        <v>79</v>
      </c>
      <c r="B3" s="2" t="s">
        <v>95</v>
      </c>
      <c r="C3" t="s">
        <v>4</v>
      </c>
    </row>
    <row r="4" spans="1:13" x14ac:dyDescent="0.25">
      <c r="A4" t="s">
        <v>0</v>
      </c>
      <c r="B4" s="2">
        <f>SUM(TimeEntries377[Time delta in h])</f>
        <v>0</v>
      </c>
      <c r="C4" t="s">
        <v>4</v>
      </c>
    </row>
    <row r="5" spans="1:13" x14ac:dyDescent="0.25">
      <c r="A5" t="s">
        <v>14</v>
      </c>
      <c r="B5" s="5" t="s">
        <v>95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94</v>
      </c>
    </row>
    <row r="8" spans="1:13" x14ac:dyDescent="0.25">
      <c r="A8" t="s">
        <v>16</v>
      </c>
      <c r="B8" s="5" t="s">
        <v>95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208</v>
      </c>
    </row>
    <row r="11" spans="1:13" x14ac:dyDescent="0.25">
      <c r="A11" t="s">
        <v>5</v>
      </c>
      <c r="B11" s="2" t="e">
        <f>B3/SUM(TimeEntries377[Time delta in h])</f>
        <v>#VALUE!</v>
      </c>
      <c r="C11" t="s">
        <v>6</v>
      </c>
    </row>
    <row r="12" spans="1:13" x14ac:dyDescent="0.25">
      <c r="A12" t="s">
        <v>96</v>
      </c>
    </row>
    <row r="13" spans="1:13" x14ac:dyDescent="0.25">
      <c r="A13" t="s">
        <v>97</v>
      </c>
    </row>
    <row r="14" spans="1:13" x14ac:dyDescent="0.25">
      <c r="A14" t="s">
        <v>206</v>
      </c>
      <c r="B14" t="s">
        <v>95</v>
      </c>
    </row>
    <row r="15" spans="1:13" x14ac:dyDescent="0.25">
      <c r="A15" t="s">
        <v>11</v>
      </c>
      <c r="B15" t="s">
        <v>7</v>
      </c>
      <c r="C15" t="s">
        <v>8</v>
      </c>
      <c r="D15" t="s">
        <v>9</v>
      </c>
      <c r="E15" t="s">
        <v>10</v>
      </c>
      <c r="F15" t="s">
        <v>86</v>
      </c>
      <c r="G15" t="s">
        <v>87</v>
      </c>
      <c r="I15" t="s">
        <v>71</v>
      </c>
      <c r="J15" s="15" t="s">
        <v>69</v>
      </c>
      <c r="K15" s="2" t="s">
        <v>70</v>
      </c>
      <c r="L15" t="s">
        <v>72</v>
      </c>
      <c r="M15" t="s">
        <v>73</v>
      </c>
    </row>
    <row r="16" spans="1:13" x14ac:dyDescent="0.25">
      <c r="B16" s="1"/>
      <c r="C16" s="1"/>
      <c r="D16" s="2">
        <f>MAX((TimeEntries377[[#This Row],[End time]]-TimeEntries377[[#This Row],[Start time]])*24,0)</f>
        <v>0</v>
      </c>
      <c r="J16" s="15"/>
      <c r="K16" s="2"/>
      <c r="L16" s="2">
        <f>SUM(TimeEntries377[Time delta in h])</f>
        <v>0</v>
      </c>
      <c r="M16" s="16" t="e">
        <f>Tabelle7367378[[#This Row],[EBS self time]]/Tabelle7367378[[#This Row],[Total time]]</f>
        <v>#DIV/0!</v>
      </c>
    </row>
    <row r="17" spans="2:4" x14ac:dyDescent="0.25">
      <c r="B17" s="1"/>
      <c r="C17" s="1"/>
      <c r="D17" s="2"/>
    </row>
  </sheetData>
  <dataConsolidate/>
  <hyperlinks>
    <hyperlink ref="A1" location="Planning!A1" display="Go back to 'Planning' sheet" xr:uid="{1694D461-B306-4D2A-9EC7-EC3A441556C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D687E-DEBF-49F3-BC93-A84C95215FEF}">
  <sheetPr codeName="EbsSheetTemplate1"/>
  <dimension ref="A15:T70"/>
  <sheetViews>
    <sheetView topLeftCell="A5" workbookViewId="0">
      <selection activeCell="C31" sqref="C31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75</v>
      </c>
      <c r="F15" s="53" t="s">
        <v>190</v>
      </c>
      <c r="G15" s="54"/>
      <c r="H15" s="54"/>
    </row>
    <row r="16" spans="5:8" x14ac:dyDescent="0.25">
      <c r="E16" s="14" t="s">
        <v>74</v>
      </c>
      <c r="F16" s="53" t="s">
        <v>37</v>
      </c>
      <c r="G16" s="54"/>
      <c r="H16" s="54"/>
    </row>
    <row r="17" spans="1:20" x14ac:dyDescent="0.25">
      <c r="J17" s="10" t="s">
        <v>44</v>
      </c>
      <c r="K17" s="10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A19" t="s">
        <v>133</v>
      </c>
      <c r="B19" s="17">
        <v>43878.817696759259</v>
      </c>
      <c r="C19" t="s">
        <v>150</v>
      </c>
      <c r="D19" t="s">
        <v>27</v>
      </c>
      <c r="E19" t="s">
        <v>146</v>
      </c>
      <c r="F19" t="s">
        <v>147</v>
      </c>
      <c r="G19" t="s">
        <v>148</v>
      </c>
      <c r="H19" t="s">
        <v>149</v>
      </c>
      <c r="J19" t="s">
        <v>133</v>
      </c>
      <c r="K19" t="s">
        <v>145</v>
      </c>
      <c r="L19">
        <v>2</v>
      </c>
      <c r="M19" s="2">
        <v>0</v>
      </c>
      <c r="N19" s="2">
        <v>5</v>
      </c>
      <c r="O19" t="s">
        <v>200</v>
      </c>
      <c r="P19" t="s">
        <v>200</v>
      </c>
      <c r="Q19" t="s">
        <v>200</v>
      </c>
      <c r="R19" t="s">
        <v>146</v>
      </c>
      <c r="S19" t="s">
        <v>201</v>
      </c>
      <c r="T19" t="s">
        <v>202</v>
      </c>
    </row>
    <row r="20" spans="1:20" x14ac:dyDescent="0.25">
      <c r="A20" t="s">
        <v>134</v>
      </c>
      <c r="B20" s="17">
        <v>43940.766226851854</v>
      </c>
      <c r="C20" t="s">
        <v>189</v>
      </c>
      <c r="D20" t="s">
        <v>27</v>
      </c>
      <c r="E20" t="s">
        <v>146</v>
      </c>
      <c r="F20" t="s">
        <v>191</v>
      </c>
      <c r="G20" t="s">
        <v>192</v>
      </c>
      <c r="H20" t="s">
        <v>188</v>
      </c>
      <c r="J20" t="s">
        <v>134</v>
      </c>
      <c r="K20" t="s">
        <v>144</v>
      </c>
      <c r="L20">
        <v>1</v>
      </c>
      <c r="M20" s="2">
        <v>2.7502777775516698</v>
      </c>
      <c r="N20" s="2">
        <v>0.25</v>
      </c>
      <c r="O20" t="s">
        <v>203</v>
      </c>
      <c r="P20" t="s">
        <v>187</v>
      </c>
      <c r="Q20" t="s">
        <v>200</v>
      </c>
      <c r="R20" t="s">
        <v>146</v>
      </c>
      <c r="S20" t="s">
        <v>201</v>
      </c>
      <c r="T20" t="s">
        <v>202</v>
      </c>
    </row>
    <row r="21" spans="1:20" x14ac:dyDescent="0.25">
      <c r="A21" t="s">
        <v>135</v>
      </c>
      <c r="B21" s="17">
        <v>43959.961782407408</v>
      </c>
      <c r="C21" t="s">
        <v>189</v>
      </c>
      <c r="D21" t="s">
        <v>27</v>
      </c>
      <c r="E21" t="s">
        <v>146</v>
      </c>
      <c r="F21" t="s">
        <v>194</v>
      </c>
      <c r="G21" t="s">
        <v>195</v>
      </c>
      <c r="H21" t="s">
        <v>193</v>
      </c>
      <c r="M21" s="2"/>
      <c r="N21" s="2"/>
    </row>
    <row r="22" spans="1:20" x14ac:dyDescent="0.25">
      <c r="A22" t="s">
        <v>136</v>
      </c>
      <c r="B22" s="17">
        <v>44041.479814814818</v>
      </c>
      <c r="C22" t="s">
        <v>189</v>
      </c>
      <c r="D22" t="s">
        <v>27</v>
      </c>
      <c r="E22" t="s">
        <v>146</v>
      </c>
      <c r="F22" t="s">
        <v>197</v>
      </c>
      <c r="G22" t="s">
        <v>198</v>
      </c>
      <c r="H22" t="s">
        <v>196</v>
      </c>
      <c r="M22" s="2"/>
      <c r="N22" s="2"/>
    </row>
    <row r="23" spans="1:20" x14ac:dyDescent="0.25">
      <c r="A23" t="s">
        <v>137</v>
      </c>
      <c r="B23" s="17">
        <v>44044.481226851851</v>
      </c>
      <c r="C23" t="s">
        <v>189</v>
      </c>
      <c r="D23" t="s">
        <v>27</v>
      </c>
      <c r="E23" t="s">
        <v>146</v>
      </c>
      <c r="F23" t="s">
        <v>201</v>
      </c>
      <c r="G23" t="s">
        <v>202</v>
      </c>
      <c r="H23" t="s">
        <v>199</v>
      </c>
      <c r="M23" s="2"/>
      <c r="N23" s="2"/>
    </row>
    <row r="24" spans="1:20" x14ac:dyDescent="0.25">
      <c r="B24" s="17"/>
      <c r="M24" s="2"/>
      <c r="N24" s="2"/>
    </row>
    <row r="25" spans="1:20" x14ac:dyDescent="0.25">
      <c r="B25" s="17"/>
    </row>
    <row r="26" spans="1:20" x14ac:dyDescent="0.25">
      <c r="B26" s="17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4" spans="2:2" x14ac:dyDescent="0.25">
      <c r="B44" s="17"/>
    </row>
    <row r="45" spans="2:2" x14ac:dyDescent="0.25">
      <c r="B45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  <row r="49" spans="2:2" x14ac:dyDescent="0.25">
      <c r="B49" s="17"/>
    </row>
    <row r="50" spans="2:2" x14ac:dyDescent="0.25">
      <c r="B50" s="17"/>
    </row>
    <row r="51" spans="2:2" x14ac:dyDescent="0.25">
      <c r="B51" s="17"/>
    </row>
    <row r="52" spans="2:2" x14ac:dyDescent="0.25">
      <c r="B52" s="17"/>
    </row>
    <row r="53" spans="2:2" x14ac:dyDescent="0.25">
      <c r="B53" s="17"/>
    </row>
    <row r="54" spans="2:2" x14ac:dyDescent="0.25">
      <c r="B54" s="17"/>
    </row>
    <row r="55" spans="2:2" x14ac:dyDescent="0.25">
      <c r="B55" s="17"/>
    </row>
    <row r="56" spans="2:2" x14ac:dyDescent="0.25">
      <c r="B56" s="17"/>
    </row>
    <row r="57" spans="2:2" x14ac:dyDescent="0.25">
      <c r="B57" s="17"/>
    </row>
    <row r="58" spans="2:2" x14ac:dyDescent="0.25">
      <c r="B58" s="17"/>
    </row>
    <row r="59" spans="2:2" x14ac:dyDescent="0.25">
      <c r="B59" s="17"/>
    </row>
    <row r="60" spans="2:2" x14ac:dyDescent="0.25">
      <c r="B60" s="17"/>
    </row>
    <row r="61" spans="2:2" x14ac:dyDescent="0.25">
      <c r="B61" s="17"/>
    </row>
    <row r="62" spans="2:2" x14ac:dyDescent="0.25">
      <c r="B62" s="17"/>
    </row>
    <row r="63" spans="2:2" x14ac:dyDescent="0.25">
      <c r="B63" s="17"/>
    </row>
    <row r="64" spans="2:2" x14ac:dyDescent="0.25">
      <c r="B64" s="17"/>
    </row>
    <row r="65" spans="2:2" x14ac:dyDescent="0.25">
      <c r="B65" s="17"/>
    </row>
    <row r="68" spans="2:2" x14ac:dyDescent="0.25">
      <c r="B68" s="17"/>
    </row>
    <row r="69" spans="2:2" x14ac:dyDescent="0.25">
      <c r="B69" s="17"/>
    </row>
    <row r="70" spans="2:2" x14ac:dyDescent="0.25">
      <c r="B70" s="17"/>
    </row>
  </sheetData>
  <mergeCells count="2">
    <mergeCell ref="F15:H15"/>
    <mergeCell ref="F16:H16"/>
  </mergeCells>
  <conditionalFormatting sqref="D35:D1048576 D33 D1:D31">
    <cfRule type="containsText" dxfId="25" priority="1" operator="containsText" text="No">
      <formula>NOT(ISERROR(SEARCH("No",D1)))</formula>
    </cfRule>
    <cfRule type="containsText" dxfId="24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6" xr:uid="{0A8B8B00-1A7B-4C80-AA32-9E60DAA93F4D}">
      <formula1>"Time,Date"</formula1>
    </dataValidation>
    <dataValidation type="list" allowBlank="1" showInputMessage="1" showErrorMessage="1" sqref="F15:H15" xr:uid="{139B3DA5-3D31-499C-9B17-107FFADB435D}">
      <formula1>"Last, Last 100 days, All"</formula1>
    </dataValidation>
    <dataValidation type="list" allowBlank="1" showInputMessage="1" showErrorMessage="1" sqref="D33 D19:D31" xr:uid="{9FCA1A69-2E7C-49D4-9A31-F896EEC2A701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54"/>
  <sheetViews>
    <sheetView workbookViewId="0">
      <selection activeCell="A6" sqref="A6"/>
    </sheetView>
  </sheetViews>
  <sheetFormatPr baseColWidth="10" defaultRowHeight="15" x14ac:dyDescent="0.25"/>
  <cols>
    <col min="1" max="1" width="17" customWidth="1"/>
    <col min="2" max="3" width="15.7109375" bestFit="1" customWidth="1"/>
    <col min="4" max="4" width="13.140625" bestFit="1" customWidth="1"/>
  </cols>
  <sheetData>
    <row r="1" spans="1:4" x14ac:dyDescent="0.25">
      <c r="A1" s="10" t="s">
        <v>106</v>
      </c>
    </row>
    <row r="2" spans="1:4" x14ac:dyDescent="0.25">
      <c r="A2" s="10"/>
    </row>
    <row r="3" spans="1:4" x14ac:dyDescent="0.25">
      <c r="A3" t="s">
        <v>107</v>
      </c>
      <c r="B3" s="30">
        <v>43817.077002314814</v>
      </c>
      <c r="C3" s="28"/>
      <c r="D3" s="28"/>
    </row>
    <row r="4" spans="1:4" x14ac:dyDescent="0.25">
      <c r="A4" t="s">
        <v>108</v>
      </c>
      <c r="B4" s="30">
        <v>43862</v>
      </c>
      <c r="C4" s="28"/>
      <c r="D4" s="28"/>
    </row>
    <row r="5" spans="1:4" x14ac:dyDescent="0.25">
      <c r="A5" t="s">
        <v>109</v>
      </c>
      <c r="B5" s="27" t="s">
        <v>151</v>
      </c>
      <c r="C5" s="28"/>
      <c r="D5" s="28"/>
    </row>
    <row r="6" spans="1:4" ht="27" customHeight="1" x14ac:dyDescent="0.25"/>
    <row r="8" spans="1:4" ht="15.75" thickBot="1" x14ac:dyDescent="0.3">
      <c r="A8" s="29" t="s">
        <v>111</v>
      </c>
      <c r="B8" s="29" t="s">
        <v>105</v>
      </c>
      <c r="C8" s="34" t="s">
        <v>104</v>
      </c>
      <c r="D8" s="29" t="s">
        <v>110</v>
      </c>
    </row>
    <row r="9" spans="1:4" x14ac:dyDescent="0.25">
      <c r="A9" s="31" t="s">
        <v>133</v>
      </c>
      <c r="B9" s="32">
        <v>43817.077002314814</v>
      </c>
      <c r="C9" s="32">
        <v>43818</v>
      </c>
      <c r="D9" s="33">
        <v>0</v>
      </c>
    </row>
    <row r="10" spans="1:4" x14ac:dyDescent="0.25">
      <c r="A10" s="31" t="s">
        <v>134</v>
      </c>
      <c r="B10" s="32">
        <v>43818</v>
      </c>
      <c r="C10" s="32">
        <v>43819</v>
      </c>
      <c r="D10" s="33">
        <v>0</v>
      </c>
    </row>
    <row r="11" spans="1:4" x14ac:dyDescent="0.25">
      <c r="A11" s="31" t="s">
        <v>135</v>
      </c>
      <c r="B11" s="32">
        <v>43819</v>
      </c>
      <c r="C11" s="32">
        <v>43820</v>
      </c>
      <c r="D11" s="33">
        <v>0</v>
      </c>
    </row>
    <row r="12" spans="1:4" x14ac:dyDescent="0.25">
      <c r="A12" s="31" t="s">
        <v>136</v>
      </c>
      <c r="B12" s="32">
        <v>43820</v>
      </c>
      <c r="C12" s="32">
        <v>43821</v>
      </c>
      <c r="D12" s="33">
        <v>0</v>
      </c>
    </row>
    <row r="13" spans="1:4" x14ac:dyDescent="0.25">
      <c r="A13" s="31" t="s">
        <v>137</v>
      </c>
      <c r="B13" s="32">
        <v>43821</v>
      </c>
      <c r="C13" s="32">
        <v>43822</v>
      </c>
      <c r="D13" s="33">
        <v>0</v>
      </c>
    </row>
    <row r="14" spans="1:4" x14ac:dyDescent="0.25">
      <c r="A14" s="31" t="s">
        <v>138</v>
      </c>
      <c r="B14" s="32">
        <v>43822</v>
      </c>
      <c r="C14" s="32">
        <v>43823</v>
      </c>
      <c r="D14" s="33">
        <v>0</v>
      </c>
    </row>
    <row r="15" spans="1:4" x14ac:dyDescent="0.25">
      <c r="A15" s="31" t="s">
        <v>139</v>
      </c>
      <c r="B15" s="32">
        <v>43823</v>
      </c>
      <c r="C15" s="32">
        <v>43824</v>
      </c>
      <c r="D15" s="33">
        <v>0</v>
      </c>
    </row>
    <row r="16" spans="1:4" x14ac:dyDescent="0.25">
      <c r="A16" s="31" t="s">
        <v>140</v>
      </c>
      <c r="B16" s="32">
        <v>43824</v>
      </c>
      <c r="C16" s="32">
        <v>43825</v>
      </c>
      <c r="D16" s="33">
        <v>0</v>
      </c>
    </row>
    <row r="17" spans="1:4" x14ac:dyDescent="0.25">
      <c r="A17" s="31" t="s">
        <v>141</v>
      </c>
      <c r="B17" s="32">
        <v>43825</v>
      </c>
      <c r="C17" s="32">
        <v>43826</v>
      </c>
      <c r="D17" s="33">
        <v>0</v>
      </c>
    </row>
    <row r="18" spans="1:4" x14ac:dyDescent="0.25">
      <c r="A18" s="31" t="s">
        <v>142</v>
      </c>
      <c r="B18" s="32">
        <v>43826</v>
      </c>
      <c r="C18" s="32">
        <v>43827</v>
      </c>
      <c r="D18" s="33">
        <v>0</v>
      </c>
    </row>
    <row r="19" spans="1:4" x14ac:dyDescent="0.25">
      <c r="A19" s="31" t="s">
        <v>143</v>
      </c>
      <c r="B19" s="32">
        <v>43827</v>
      </c>
      <c r="C19" s="32">
        <v>43828</v>
      </c>
      <c r="D19" s="33">
        <v>0</v>
      </c>
    </row>
    <row r="20" spans="1:4" x14ac:dyDescent="0.25">
      <c r="A20" s="31" t="s">
        <v>152</v>
      </c>
      <c r="B20" s="32">
        <v>43828</v>
      </c>
      <c r="C20" s="32">
        <v>43829</v>
      </c>
      <c r="D20" s="33">
        <v>0</v>
      </c>
    </row>
    <row r="21" spans="1:4" x14ac:dyDescent="0.25">
      <c r="A21" s="31" t="s">
        <v>153</v>
      </c>
      <c r="B21" s="32">
        <v>43829</v>
      </c>
      <c r="C21" s="32">
        <v>43830</v>
      </c>
      <c r="D21" s="33">
        <v>0</v>
      </c>
    </row>
    <row r="22" spans="1:4" x14ac:dyDescent="0.25">
      <c r="A22" s="31" t="s">
        <v>154</v>
      </c>
      <c r="B22" s="32">
        <v>43830</v>
      </c>
      <c r="C22" s="32">
        <v>43831</v>
      </c>
      <c r="D22" s="33">
        <v>0</v>
      </c>
    </row>
    <row r="23" spans="1:4" x14ac:dyDescent="0.25">
      <c r="A23" s="31" t="s">
        <v>155</v>
      </c>
      <c r="B23" s="32">
        <v>43831</v>
      </c>
      <c r="C23" s="32">
        <v>43832</v>
      </c>
      <c r="D23" s="33">
        <v>0</v>
      </c>
    </row>
    <row r="24" spans="1:4" x14ac:dyDescent="0.25">
      <c r="A24" s="31" t="s">
        <v>156</v>
      </c>
      <c r="B24" s="32">
        <v>43832</v>
      </c>
      <c r="C24" s="32">
        <v>43833</v>
      </c>
      <c r="D24" s="33">
        <v>0</v>
      </c>
    </row>
    <row r="25" spans="1:4" x14ac:dyDescent="0.25">
      <c r="A25" s="31" t="s">
        <v>157</v>
      </c>
      <c r="B25" s="32">
        <v>43833</v>
      </c>
      <c r="C25" s="32">
        <v>43834</v>
      </c>
      <c r="D25" s="33">
        <v>0</v>
      </c>
    </row>
    <row r="26" spans="1:4" x14ac:dyDescent="0.25">
      <c r="A26" s="31" t="s">
        <v>158</v>
      </c>
      <c r="B26" s="32">
        <v>43834</v>
      </c>
      <c r="C26" s="32">
        <v>43835</v>
      </c>
      <c r="D26" s="33">
        <v>0</v>
      </c>
    </row>
    <row r="27" spans="1:4" x14ac:dyDescent="0.25">
      <c r="A27" s="31" t="s">
        <v>159</v>
      </c>
      <c r="B27" s="32">
        <v>43835</v>
      </c>
      <c r="C27" s="32">
        <v>43836</v>
      </c>
      <c r="D27" s="33">
        <v>0</v>
      </c>
    </row>
    <row r="28" spans="1:4" x14ac:dyDescent="0.25">
      <c r="A28" s="31" t="s">
        <v>160</v>
      </c>
      <c r="B28" s="32">
        <v>43836</v>
      </c>
      <c r="C28" s="32">
        <v>43837</v>
      </c>
      <c r="D28" s="33">
        <v>0</v>
      </c>
    </row>
    <row r="29" spans="1:4" x14ac:dyDescent="0.25">
      <c r="A29" s="31" t="s">
        <v>161</v>
      </c>
      <c r="B29" s="32">
        <v>43837</v>
      </c>
      <c r="C29" s="32">
        <v>43838</v>
      </c>
      <c r="D29" s="33">
        <v>0</v>
      </c>
    </row>
    <row r="30" spans="1:4" x14ac:dyDescent="0.25">
      <c r="A30" s="31" t="s">
        <v>162</v>
      </c>
      <c r="B30" s="32">
        <v>43838</v>
      </c>
      <c r="C30" s="32">
        <v>43839</v>
      </c>
      <c r="D30" s="33">
        <v>0</v>
      </c>
    </row>
    <row r="31" spans="1:4" x14ac:dyDescent="0.25">
      <c r="A31" s="31" t="s">
        <v>163</v>
      </c>
      <c r="B31" s="32">
        <v>43839</v>
      </c>
      <c r="C31" s="32">
        <v>43840</v>
      </c>
      <c r="D31" s="33">
        <v>0</v>
      </c>
    </row>
    <row r="32" spans="1:4" x14ac:dyDescent="0.25">
      <c r="A32" s="31" t="s">
        <v>164</v>
      </c>
      <c r="B32" s="32">
        <v>43840</v>
      </c>
      <c r="C32" s="32">
        <v>43841</v>
      </c>
      <c r="D32" s="33">
        <v>0</v>
      </c>
    </row>
    <row r="33" spans="1:4" x14ac:dyDescent="0.25">
      <c r="A33" s="31" t="s">
        <v>165</v>
      </c>
      <c r="B33" s="32">
        <v>43841</v>
      </c>
      <c r="C33" s="32">
        <v>43842</v>
      </c>
      <c r="D33" s="33">
        <v>0</v>
      </c>
    </row>
    <row r="34" spans="1:4" x14ac:dyDescent="0.25">
      <c r="A34" s="31" t="s">
        <v>166</v>
      </c>
      <c r="B34" s="32">
        <v>43842</v>
      </c>
      <c r="C34" s="32">
        <v>43843</v>
      </c>
      <c r="D34" s="33">
        <v>0</v>
      </c>
    </row>
    <row r="35" spans="1:4" x14ac:dyDescent="0.25">
      <c r="A35" s="31" t="s">
        <v>167</v>
      </c>
      <c r="B35" s="32">
        <v>43843</v>
      </c>
      <c r="C35" s="32">
        <v>43844</v>
      </c>
      <c r="D35" s="33">
        <v>0</v>
      </c>
    </row>
    <row r="36" spans="1:4" x14ac:dyDescent="0.25">
      <c r="A36" s="31" t="s">
        <v>168</v>
      </c>
      <c r="B36" s="32">
        <v>43844</v>
      </c>
      <c r="C36" s="32">
        <v>43845</v>
      </c>
      <c r="D36" s="33">
        <v>0</v>
      </c>
    </row>
    <row r="37" spans="1:4" x14ac:dyDescent="0.25">
      <c r="A37" s="31" t="s">
        <v>169</v>
      </c>
      <c r="B37" s="32">
        <v>43845</v>
      </c>
      <c r="C37" s="32">
        <v>43846</v>
      </c>
      <c r="D37" s="33">
        <v>0</v>
      </c>
    </row>
    <row r="38" spans="1:4" x14ac:dyDescent="0.25">
      <c r="A38" s="31" t="s">
        <v>170</v>
      </c>
      <c r="B38" s="32">
        <v>43846</v>
      </c>
      <c r="C38" s="32">
        <v>43847</v>
      </c>
      <c r="D38" s="33">
        <v>0</v>
      </c>
    </row>
    <row r="39" spans="1:4" x14ac:dyDescent="0.25">
      <c r="A39" s="31" t="s">
        <v>171</v>
      </c>
      <c r="B39" s="32">
        <v>43847</v>
      </c>
      <c r="C39" s="32">
        <v>43848</v>
      </c>
      <c r="D39" s="33">
        <v>0</v>
      </c>
    </row>
    <row r="40" spans="1:4" x14ac:dyDescent="0.25">
      <c r="A40" s="31" t="s">
        <v>172</v>
      </c>
      <c r="B40" s="32">
        <v>43848</v>
      </c>
      <c r="C40" s="32">
        <v>43849</v>
      </c>
      <c r="D40" s="33">
        <v>0</v>
      </c>
    </row>
    <row r="41" spans="1:4" x14ac:dyDescent="0.25">
      <c r="A41" s="31" t="s">
        <v>173</v>
      </c>
      <c r="B41" s="32">
        <v>43849</v>
      </c>
      <c r="C41" s="32">
        <v>43850</v>
      </c>
      <c r="D41" s="33">
        <v>0</v>
      </c>
    </row>
    <row r="42" spans="1:4" x14ac:dyDescent="0.25">
      <c r="A42" s="31" t="s">
        <v>174</v>
      </c>
      <c r="B42" s="32">
        <v>43850</v>
      </c>
      <c r="C42" s="32">
        <v>43851</v>
      </c>
      <c r="D42" s="33">
        <v>0</v>
      </c>
    </row>
    <row r="43" spans="1:4" x14ac:dyDescent="0.25">
      <c r="A43" s="31" t="s">
        <v>175</v>
      </c>
      <c r="B43" s="32">
        <v>43851</v>
      </c>
      <c r="C43" s="32">
        <v>43852</v>
      </c>
      <c r="D43" s="33">
        <v>0</v>
      </c>
    </row>
    <row r="44" spans="1:4" x14ac:dyDescent="0.25">
      <c r="A44" s="31" t="s">
        <v>176</v>
      </c>
      <c r="B44" s="32">
        <v>43852</v>
      </c>
      <c r="C44" s="32">
        <v>43853</v>
      </c>
      <c r="D44" s="33">
        <v>0</v>
      </c>
    </row>
    <row r="45" spans="1:4" x14ac:dyDescent="0.25">
      <c r="A45" s="31" t="s">
        <v>177</v>
      </c>
      <c r="B45" s="32">
        <v>43853</v>
      </c>
      <c r="C45" s="32">
        <v>43854</v>
      </c>
      <c r="D45" s="33">
        <v>0</v>
      </c>
    </row>
    <row r="46" spans="1:4" x14ac:dyDescent="0.25">
      <c r="A46" s="31" t="s">
        <v>178</v>
      </c>
      <c r="B46" s="32">
        <v>43854</v>
      </c>
      <c r="C46" s="32">
        <v>43855</v>
      </c>
      <c r="D46" s="33">
        <v>0</v>
      </c>
    </row>
    <row r="47" spans="1:4" x14ac:dyDescent="0.25">
      <c r="A47" s="31" t="s">
        <v>179</v>
      </c>
      <c r="B47" s="32">
        <v>43855</v>
      </c>
      <c r="C47" s="32">
        <v>43856</v>
      </c>
      <c r="D47" s="33">
        <v>0</v>
      </c>
    </row>
    <row r="48" spans="1:4" x14ac:dyDescent="0.25">
      <c r="A48" s="31" t="s">
        <v>180</v>
      </c>
      <c r="B48" s="32">
        <v>43856</v>
      </c>
      <c r="C48" s="32">
        <v>43857</v>
      </c>
      <c r="D48" s="33">
        <v>0</v>
      </c>
    </row>
    <row r="49" spans="1:4" x14ac:dyDescent="0.25">
      <c r="A49" s="31" t="s">
        <v>181</v>
      </c>
      <c r="B49" s="32">
        <v>43857</v>
      </c>
      <c r="C49" s="32">
        <v>43858</v>
      </c>
      <c r="D49" s="33">
        <v>0</v>
      </c>
    </row>
    <row r="50" spans="1:4" x14ac:dyDescent="0.25">
      <c r="A50" s="31" t="s">
        <v>182</v>
      </c>
      <c r="B50" s="32">
        <v>43858</v>
      </c>
      <c r="C50" s="32">
        <v>43859</v>
      </c>
      <c r="D50" s="33">
        <v>0</v>
      </c>
    </row>
    <row r="51" spans="1:4" x14ac:dyDescent="0.25">
      <c r="A51" s="31" t="s">
        <v>183</v>
      </c>
      <c r="B51" s="32">
        <v>43859</v>
      </c>
      <c r="C51" s="32">
        <v>43860</v>
      </c>
      <c r="D51" s="33">
        <v>0</v>
      </c>
    </row>
    <row r="52" spans="1:4" x14ac:dyDescent="0.25">
      <c r="A52" s="31" t="s">
        <v>184</v>
      </c>
      <c r="B52" s="32">
        <v>43860</v>
      </c>
      <c r="C52" s="32">
        <v>43861</v>
      </c>
      <c r="D52" s="33">
        <v>0</v>
      </c>
    </row>
    <row r="53" spans="1:4" x14ac:dyDescent="0.25">
      <c r="A53" s="31" t="s">
        <v>185</v>
      </c>
      <c r="B53" s="32">
        <v>43861</v>
      </c>
      <c r="C53" s="32">
        <v>43862</v>
      </c>
      <c r="D53" s="33">
        <v>0</v>
      </c>
    </row>
    <row r="54" spans="1:4" x14ac:dyDescent="0.25">
      <c r="A54" s="31" t="s">
        <v>186</v>
      </c>
      <c r="B54" s="32">
        <v>43862</v>
      </c>
      <c r="C54" s="32">
        <v>43862</v>
      </c>
      <c r="D54" s="33">
        <v>0</v>
      </c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28575</xdr:colOff>
                    <xdr:row>5</xdr:row>
                    <xdr:rowOff>57150</xdr:rowOff>
                  </from>
                  <to>
                    <xdr:col>1</xdr:col>
                    <xdr:colOff>314325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4"/>
  <sheetViews>
    <sheetView workbookViewId="0">
      <selection activeCell="C18" sqref="C18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4" t="s">
        <v>25</v>
      </c>
    </row>
    <row r="2" spans="1:10" x14ac:dyDescent="0.25">
      <c r="H2" s="26" t="s">
        <v>103</v>
      </c>
    </row>
    <row r="3" spans="1:10" x14ac:dyDescent="0.25">
      <c r="A3" t="s">
        <v>15</v>
      </c>
      <c r="B3" s="2" t="s">
        <v>61</v>
      </c>
      <c r="C3" s="2" t="s">
        <v>89</v>
      </c>
      <c r="D3" s="2" t="s">
        <v>90</v>
      </c>
      <c r="E3" s="2" t="s">
        <v>66</v>
      </c>
      <c r="F3" t="s">
        <v>63</v>
      </c>
      <c r="G3" t="s">
        <v>64</v>
      </c>
      <c r="H3" t="s">
        <v>62</v>
      </c>
      <c r="I3" t="s">
        <v>68</v>
      </c>
      <c r="J3" t="s">
        <v>67</v>
      </c>
    </row>
    <row r="4" spans="1:10" x14ac:dyDescent="0.25">
      <c r="A4" t="s">
        <v>19</v>
      </c>
      <c r="B4" s="12" t="s">
        <v>131</v>
      </c>
      <c r="C4" t="s">
        <v>129</v>
      </c>
      <c r="D4" t="s">
        <v>130</v>
      </c>
      <c r="E4" s="13" t="s">
        <v>84</v>
      </c>
      <c r="F4" s="13">
        <v>0.33333333333333331</v>
      </c>
      <c r="G4" s="13">
        <v>0.77083333333333337</v>
      </c>
      <c r="H4" t="s">
        <v>65</v>
      </c>
      <c r="I4" s="2">
        <v>0.25</v>
      </c>
      <c r="J4" s="2">
        <f>5/60</f>
        <v>8.3333333333333329E-2</v>
      </c>
    </row>
    <row r="5" spans="1:10" x14ac:dyDescent="0.25">
      <c r="B5" s="12"/>
      <c r="E5" s="13"/>
      <c r="F5" s="13"/>
      <c r="G5" s="13"/>
      <c r="I5" s="2"/>
      <c r="J5" s="2"/>
    </row>
    <row r="6" spans="1:10" x14ac:dyDescent="0.25">
      <c r="A6" t="s">
        <v>113</v>
      </c>
      <c r="B6" s="20" t="s">
        <v>112</v>
      </c>
      <c r="E6" s="13"/>
      <c r="F6" s="13"/>
      <c r="G6" s="13"/>
      <c r="I6" s="2"/>
      <c r="J6" s="2"/>
    </row>
    <row r="7" spans="1:10" x14ac:dyDescent="0.25">
      <c r="B7" s="5"/>
      <c r="C7" s="5"/>
      <c r="D7" s="5"/>
      <c r="E7" s="5"/>
    </row>
    <row r="8" spans="1:10" x14ac:dyDescent="0.25">
      <c r="A8" t="s">
        <v>80</v>
      </c>
      <c r="B8" s="20"/>
      <c r="C8" s="5"/>
      <c r="D8" s="5"/>
      <c r="E8" s="5"/>
    </row>
    <row r="9" spans="1:10" x14ac:dyDescent="0.25">
      <c r="A9" t="s">
        <v>81</v>
      </c>
      <c r="B9" s="22"/>
      <c r="C9" s="5"/>
      <c r="D9" s="5"/>
    </row>
    <row r="10" spans="1:10" x14ac:dyDescent="0.25">
      <c r="A10" t="s">
        <v>82</v>
      </c>
      <c r="B10" s="21"/>
      <c r="C10" s="5"/>
      <c r="D10" s="5"/>
      <c r="E10" s="5"/>
    </row>
    <row r="12" spans="1:10" x14ac:dyDescent="0.25">
      <c r="B12" t="s">
        <v>92</v>
      </c>
      <c r="C12" t="s">
        <v>129</v>
      </c>
    </row>
    <row r="13" spans="1:10" x14ac:dyDescent="0.25">
      <c r="B13" t="s">
        <v>91</v>
      </c>
      <c r="C13" t="s">
        <v>130</v>
      </c>
      <c r="D13" s="2"/>
      <c r="E13" s="2"/>
    </row>
    <row r="14" spans="1:10" x14ac:dyDescent="0.25">
      <c r="B14" s="2" t="s">
        <v>93</v>
      </c>
      <c r="C14" s="12" t="s">
        <v>131</v>
      </c>
    </row>
    <row r="17" spans="1:2" x14ac:dyDescent="0.25">
      <c r="A17" t="s">
        <v>85</v>
      </c>
    </row>
    <row r="24" spans="1:2" x14ac:dyDescent="0.25">
      <c r="A24" t="s">
        <v>115</v>
      </c>
      <c r="B24" s="20" t="s">
        <v>121</v>
      </c>
    </row>
  </sheetData>
  <hyperlinks>
    <hyperlink ref="A1" location="Planning!A1" display="Go back to 'Planning' sheet" xr:uid="{D2DA156D-5AF1-4194-A684-BD3896B6772A}"/>
    <hyperlink ref="B4" r:id="rId1" xr:uid="{58247CD5-8FD4-4866-8749-0EEFFDE9E7EA}"/>
  </hyperlinks>
  <pageMargins left="0.7" right="0.7" top="0.78740157499999996" bottom="0.78740157499999996" header="0.3" footer="0.3"/>
  <pageSetup paperSize="9" orientation="portrait" horizontalDpi="300" verticalDpi="0" copies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5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6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9</xdr:row>
                    <xdr:rowOff>171450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7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18</xdr:row>
                    <xdr:rowOff>171450</xdr:rowOff>
                  </from>
                  <to>
                    <xdr:col>0</xdr:col>
                    <xdr:colOff>1638300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8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20</xdr:row>
                    <xdr:rowOff>180975</xdr:rowOff>
                  </from>
                  <to>
                    <xdr:col>0</xdr:col>
                    <xdr:colOff>1638300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C13" sqref="C13"/>
    </sheetView>
  </sheetViews>
  <sheetFormatPr baseColWidth="10" defaultRowHeight="15" x14ac:dyDescent="0.25"/>
  <cols>
    <col min="1" max="1" width="14.42578125" bestFit="1" customWidth="1"/>
    <col min="2" max="2" width="15.7109375" bestFit="1" customWidth="1"/>
    <col min="3" max="3" width="46.140625" bestFit="1" customWidth="1"/>
    <col min="4" max="4" width="28.7109375" customWidth="1"/>
    <col min="5" max="5" width="10.5703125" bestFit="1" customWidth="1"/>
  </cols>
  <sheetData>
    <row r="3" spans="1:5" x14ac:dyDescent="0.25">
      <c r="A3" t="s">
        <v>116</v>
      </c>
      <c r="B3" t="s">
        <v>119</v>
      </c>
      <c r="C3" t="s">
        <v>117</v>
      </c>
      <c r="D3" t="s">
        <v>120</v>
      </c>
      <c r="E3" t="s">
        <v>118</v>
      </c>
    </row>
    <row r="4" spans="1:5" x14ac:dyDescent="0.25">
      <c r="B4" s="1"/>
    </row>
  </sheetData>
  <conditionalFormatting sqref="E4">
    <cfRule type="containsText" dxfId="23" priority="1" operator="containsText" text="Verbose">
      <formula>NOT(ISERROR(SEARCH("Verbose",E4)))</formula>
    </cfRule>
    <cfRule type="containsText" dxfId="22" priority="2" operator="containsText" text="Info">
      <formula>NOT(ISERROR(SEARCH("Info",E4)))</formula>
    </cfRule>
    <cfRule type="containsText" dxfId="21" priority="3" operator="containsText" text="Warning">
      <formula>NOT(ISERROR(SEARCH("Warning",E4)))</formula>
    </cfRule>
    <cfRule type="containsText" dxfId="20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7"/>
  <sheetViews>
    <sheetView workbookViewId="0">
      <selection activeCell="B14" sqref="B14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95</v>
      </c>
    </row>
    <row r="3" spans="1:13" x14ac:dyDescent="0.25">
      <c r="A3" t="s">
        <v>79</v>
      </c>
      <c r="B3" s="2" t="s">
        <v>95</v>
      </c>
      <c r="C3" t="s">
        <v>4</v>
      </c>
    </row>
    <row r="4" spans="1:13" x14ac:dyDescent="0.25">
      <c r="A4" t="s">
        <v>0</v>
      </c>
      <c r="B4" s="2">
        <f>SUM(TimeEntries[Time delta in h])</f>
        <v>0</v>
      </c>
      <c r="C4" t="s">
        <v>4</v>
      </c>
    </row>
    <row r="5" spans="1:13" x14ac:dyDescent="0.25">
      <c r="A5" t="s">
        <v>14</v>
      </c>
      <c r="B5" s="5" t="s">
        <v>95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94</v>
      </c>
    </row>
    <row r="8" spans="1:13" x14ac:dyDescent="0.25">
      <c r="A8" t="s">
        <v>16</v>
      </c>
      <c r="B8" s="5" t="s">
        <v>95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95</v>
      </c>
    </row>
    <row r="11" spans="1:13" x14ac:dyDescent="0.25">
      <c r="A11" t="s">
        <v>5</v>
      </c>
      <c r="B11" s="2" t="e">
        <f>B3/SUM(TimeEntries[Time delta in h])</f>
        <v>#VALUE!</v>
      </c>
      <c r="C11" t="s">
        <v>6</v>
      </c>
    </row>
    <row r="12" spans="1:13" x14ac:dyDescent="0.25">
      <c r="A12" t="s">
        <v>96</v>
      </c>
    </row>
    <row r="13" spans="1:13" x14ac:dyDescent="0.25">
      <c r="A13" t="s">
        <v>97</v>
      </c>
    </row>
    <row r="14" spans="1:13" x14ac:dyDescent="0.25">
      <c r="A14" t="s">
        <v>206</v>
      </c>
      <c r="B14" t="s">
        <v>95</v>
      </c>
    </row>
    <row r="15" spans="1:13" x14ac:dyDescent="0.25">
      <c r="A15" t="s">
        <v>11</v>
      </c>
      <c r="B15" t="s">
        <v>7</v>
      </c>
      <c r="C15" t="s">
        <v>8</v>
      </c>
      <c r="D15" t="s">
        <v>9</v>
      </c>
      <c r="E15" t="s">
        <v>10</v>
      </c>
      <c r="F15" t="s">
        <v>86</v>
      </c>
      <c r="G15" t="s">
        <v>87</v>
      </c>
      <c r="I15" t="s">
        <v>71</v>
      </c>
      <c r="J15" s="15" t="s">
        <v>69</v>
      </c>
      <c r="K15" s="2" t="s">
        <v>70</v>
      </c>
      <c r="L15" t="s">
        <v>72</v>
      </c>
      <c r="M15" t="s">
        <v>73</v>
      </c>
    </row>
    <row r="16" spans="1:13" x14ac:dyDescent="0.25">
      <c r="B16" s="1"/>
      <c r="C16" s="1"/>
      <c r="D16" s="2">
        <f>MAX((TimeEntries[[#This Row],[End time]]-TimeEntries[[#This Row],[Start time]])*24,0)</f>
        <v>0</v>
      </c>
      <c r="J16" s="15"/>
      <c r="K16" s="2"/>
      <c r="L16" s="2">
        <f>SUM(TimeEntries[Time delta in h])</f>
        <v>0</v>
      </c>
      <c r="M16" s="16" t="e">
        <f>Tabelle7367[[#This Row],[EBS self time]]/Tabelle7367[[#This Row],[Total time]]</f>
        <v>#DIV/0!</v>
      </c>
    </row>
    <row r="17" spans="2:4" x14ac:dyDescent="0.25">
      <c r="B17" s="1"/>
      <c r="C17" s="1"/>
      <c r="D17" s="2"/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39"/>
  <sheetViews>
    <sheetView topLeftCell="A8" workbookViewId="0">
      <selection activeCell="B14" sqref="B14"/>
    </sheetView>
  </sheetViews>
  <sheetFormatPr baseColWidth="10" defaultColWidth="11.42578125" defaultRowHeight="15" x14ac:dyDescent="0.25"/>
  <sheetData>
    <row r="1" spans="1:2" x14ac:dyDescent="0.25">
      <c r="A1" s="10" t="s">
        <v>34</v>
      </c>
    </row>
    <row r="2" spans="1:2" x14ac:dyDescent="0.25">
      <c r="A2" t="s">
        <v>20</v>
      </c>
    </row>
    <row r="3" spans="1:2" x14ac:dyDescent="0.25">
      <c r="A3" t="s">
        <v>21</v>
      </c>
    </row>
    <row r="8" spans="1:2" x14ac:dyDescent="0.25">
      <c r="A8" s="10" t="s">
        <v>122</v>
      </c>
    </row>
    <row r="9" spans="1:2" x14ac:dyDescent="0.25">
      <c r="A9" s="6" t="s">
        <v>29</v>
      </c>
    </row>
    <row r="10" spans="1:2" x14ac:dyDescent="0.25">
      <c r="B10" t="s">
        <v>123</v>
      </c>
    </row>
    <row r="11" spans="1:2" x14ac:dyDescent="0.25">
      <c r="B11" t="s">
        <v>124</v>
      </c>
    </row>
    <row r="12" spans="1:2" x14ac:dyDescent="0.25">
      <c r="B12" t="s">
        <v>127</v>
      </c>
    </row>
    <row r="13" spans="1:2" x14ac:dyDescent="0.25">
      <c r="B13" t="s">
        <v>132</v>
      </c>
    </row>
    <row r="14" spans="1:2" x14ac:dyDescent="0.25">
      <c r="A14" t="s">
        <v>32</v>
      </c>
    </row>
    <row r="15" spans="1:2" x14ac:dyDescent="0.25">
      <c r="B15" t="s">
        <v>128</v>
      </c>
    </row>
    <row r="16" spans="1:2" x14ac:dyDescent="0.25">
      <c r="A16" s="10" t="s">
        <v>125</v>
      </c>
    </row>
    <row r="17" spans="1:3" x14ac:dyDescent="0.25">
      <c r="B17" t="s">
        <v>126</v>
      </c>
    </row>
    <row r="18" spans="1:3" x14ac:dyDescent="0.25">
      <c r="A18" s="10" t="s">
        <v>98</v>
      </c>
      <c r="B18" s="10"/>
    </row>
    <row r="19" spans="1:3" x14ac:dyDescent="0.25">
      <c r="B19" t="s">
        <v>102</v>
      </c>
    </row>
    <row r="20" spans="1:3" x14ac:dyDescent="0.25">
      <c r="B20" t="s">
        <v>99</v>
      </c>
    </row>
    <row r="21" spans="1:3" x14ac:dyDescent="0.25">
      <c r="B21" t="s">
        <v>100</v>
      </c>
    </row>
    <row r="22" spans="1:3" x14ac:dyDescent="0.25">
      <c r="B22" t="s">
        <v>101</v>
      </c>
    </row>
    <row r="23" spans="1:3" x14ac:dyDescent="0.25">
      <c r="A23" s="10" t="s">
        <v>57</v>
      </c>
    </row>
    <row r="24" spans="1:3" x14ac:dyDescent="0.25">
      <c r="B24" t="s">
        <v>58</v>
      </c>
    </row>
    <row r="25" spans="1:3" x14ac:dyDescent="0.25">
      <c r="A25" s="10" t="s">
        <v>51</v>
      </c>
    </row>
    <row r="26" spans="1:3" x14ac:dyDescent="0.25">
      <c r="B26" t="s">
        <v>52</v>
      </c>
    </row>
    <row r="27" spans="1:3" x14ac:dyDescent="0.25">
      <c r="C27" t="s">
        <v>53</v>
      </c>
    </row>
    <row r="28" spans="1:3" x14ac:dyDescent="0.25">
      <c r="C28" t="s">
        <v>55</v>
      </c>
    </row>
    <row r="29" spans="1:3" x14ac:dyDescent="0.25">
      <c r="B29" t="s">
        <v>56</v>
      </c>
    </row>
    <row r="30" spans="1:3" x14ac:dyDescent="0.25">
      <c r="B30" t="s">
        <v>54</v>
      </c>
    </row>
    <row r="31" spans="1:3" x14ac:dyDescent="0.25">
      <c r="A31" s="10" t="s">
        <v>46</v>
      </c>
    </row>
    <row r="32" spans="1:3" x14ac:dyDescent="0.25">
      <c r="A32" t="s">
        <v>29</v>
      </c>
    </row>
    <row r="33" spans="1:2" x14ac:dyDescent="0.25">
      <c r="B33" t="s">
        <v>45</v>
      </c>
    </row>
    <row r="34" spans="1:2" x14ac:dyDescent="0.25">
      <c r="A34" s="10" t="s">
        <v>28</v>
      </c>
    </row>
    <row r="35" spans="1:2" x14ac:dyDescent="0.25">
      <c r="A35" t="s">
        <v>29</v>
      </c>
    </row>
    <row r="36" spans="1:2" x14ac:dyDescent="0.25">
      <c r="B36" t="s">
        <v>30</v>
      </c>
    </row>
    <row r="37" spans="1:2" x14ac:dyDescent="0.25">
      <c r="B37" t="s">
        <v>31</v>
      </c>
    </row>
    <row r="38" spans="1:2" x14ac:dyDescent="0.25">
      <c r="A38" t="s">
        <v>32</v>
      </c>
    </row>
    <row r="39" spans="1:2" x14ac:dyDescent="0.25">
      <c r="B39" t="s">
        <v>33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75</v>
      </c>
      <c r="F15" s="53" t="s">
        <v>76</v>
      </c>
      <c r="G15" s="54"/>
      <c r="H15" s="54"/>
    </row>
    <row r="16" spans="5:8" x14ac:dyDescent="0.25">
      <c r="E16" s="14" t="s">
        <v>74</v>
      </c>
      <c r="F16" s="53" t="s">
        <v>37</v>
      </c>
      <c r="G16" s="54"/>
      <c r="H16" s="54"/>
    </row>
    <row r="17" spans="1:20" x14ac:dyDescent="0.25">
      <c r="J17" s="10" t="s">
        <v>44</v>
      </c>
      <c r="K17" s="10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B19" s="17"/>
      <c r="D19" t="s">
        <v>27</v>
      </c>
      <c r="M19" s="2"/>
      <c r="N19" s="2"/>
    </row>
    <row r="20" spans="1:20" x14ac:dyDescent="0.25">
      <c r="B20" s="17"/>
      <c r="M20" s="2"/>
      <c r="N20" s="2"/>
    </row>
    <row r="21" spans="1:20" x14ac:dyDescent="0.25">
      <c r="B21" s="17"/>
      <c r="M21" s="2"/>
      <c r="N21" s="2"/>
    </row>
    <row r="22" spans="1:20" x14ac:dyDescent="0.25">
      <c r="B22" s="17"/>
      <c r="M22" s="2"/>
      <c r="N22" s="2"/>
    </row>
    <row r="23" spans="1:20" x14ac:dyDescent="0.25">
      <c r="B23" s="17"/>
      <c r="M23" s="2"/>
      <c r="N23" s="2"/>
    </row>
    <row r="24" spans="1:20" x14ac:dyDescent="0.25">
      <c r="B24" s="17"/>
    </row>
    <row r="25" spans="1:20" x14ac:dyDescent="0.25">
      <c r="B25" s="17"/>
    </row>
    <row r="26" spans="1:20" x14ac:dyDescent="0.25">
      <c r="B26" s="17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</sheetData>
  <mergeCells count="2">
    <mergeCell ref="F15:H15"/>
    <mergeCell ref="F16:H16"/>
  </mergeCells>
  <conditionalFormatting sqref="D1:D1048576">
    <cfRule type="containsText" dxfId="19" priority="1" operator="containsText" text="No">
      <formula>NOT(ISERROR(SEARCH("No",D1)))</formula>
    </cfRule>
    <cfRule type="containsText" dxfId="18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11</vt:i4>
      </vt:variant>
    </vt:vector>
  </HeadingPairs>
  <TitlesOfParts>
    <vt:vector size="11" baseType="lpstr">
      <vt:lpstr>Planning</vt:lpstr>
      <vt:lpstr>tEBFCD13A644F1CD96</vt:lpstr>
      <vt:lpstr>Tabelle1</vt:lpstr>
      <vt:lpstr>t4358A3ABA60DD936B</vt:lpstr>
      <vt:lpstr>EbsSheet (Me)</vt:lpstr>
      <vt:lpstr>Analysis</vt:lpstr>
      <vt:lpstr>Settings</vt:lpstr>
      <vt:lpstr>Messages</vt:lpstr>
      <vt:lpstr>Task sheet template</vt:lpstr>
      <vt:lpstr>Version info</vt:lpstr>
      <vt:lpstr>EbsSheet template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2020-08-14T10:51:14Z</dcterms:modified>
  <cp:category/>
  <cp:contentStatus/>
</cp:coreProperties>
</file>