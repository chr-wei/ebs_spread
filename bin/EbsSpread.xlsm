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9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8915285B-C5E7-46FF-B744-A7AC2E467D37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EbsSheet (Me)" sheetId="1744" r:id="rId2"/>
    <sheet name="Analysis" sheetId="1004" r:id="rId3"/>
    <sheet name="Settings" sheetId="418" r:id="rId4"/>
    <sheet name="Messages" sheetId="1390" r:id="rId5"/>
    <sheet name="Task sheet template" sheetId="5" state="hidden" r:id="rId6"/>
    <sheet name="Version info" sheetId="3" r:id="rId7"/>
    <sheet name="List validation data" sheetId="1425" state="hidden" r:id="rId8"/>
    <sheet name="EbsSheet template" sheetId="440" state="hidden" r:id="rId9"/>
  </sheets>
  <functionGroups builtInGroupCount="19"/>
  <definedNames>
    <definedName name="_Tag_1Vdata">'List validation data'!$D$3:$D$44</definedName>
    <definedName name="_Tag_2Vdata">'List validation data'!$C$3:$C$14</definedName>
    <definedName name="_Tag_3Vdata">'List validation data'!$A$3:$A$23</definedName>
    <definedName name="ContributorVdata">'List validation data'!$B$3</definedName>
    <definedName name="Kanban_listVdata">'List validation data'!$E$3:$E$44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5" l="1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tc={E7783564-147A-40E4-A7CD-101C4DAA60BD}</author>
  </authors>
  <commentList>
    <comment ref="P18" authorId="0" shapeId="0" xr:uid="{E7783564-147A-40E4-A7CD-101C4DAA60B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<sst xmlns="http://schemas.openxmlformats.org/spreadsheetml/2006/main" count="471" uniqueCount="366">
  <si>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</si>
  <si>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</si>
  <si>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</si>
  <si>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</si>
  <si>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</si>
  <si>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</si>
  <si>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</si>
  <si>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</si>
  <si>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</si>
  <si>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</si>
  <si>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</si>
  <si>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</si>
  <si>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</si>
  <si>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</si>
  <si>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</si>
  <si>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</si>
  <si>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</si>
  <si>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</si>
  <si>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</si>
  <si>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</si>
  <si>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</si>
  <si>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</si>
  <si>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</si>
  <si>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</si>
  <si>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</si>
  <si>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</si>
  <si>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</si>
  <si>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</si>
  <si>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</si>
  <si>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</si>
  <si>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</si>
  <si>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</si>
  <si>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</si>
  <si>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</si>
  <si>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</si>
  <si>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</si>
  <si>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</si>
  <si>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</si>
  <si>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</si>
  <si>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</si>
  <si>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</si>
  <si>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</si>
  <si>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</si>
  <si>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</si>
  <si>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</si>
  <si>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</si>
  <si>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</si>
  <si>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</si>
  <si>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</si>
  <si>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</si>
  <si>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</si>
  <si>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</si>
  <si>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</si>
  <si>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</si>
  <si>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</si>
  <si>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</si>
  <si>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</si>
  <si>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</si>
  <si>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</si>
  <si>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</si>
  <si>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</si>
  <si>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</si>
  <si>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</si>
  <si>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</si>
  <si>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</si>
  <si>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</si>
  <si>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</si>
  <si>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</si>
  <si>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</si>
  <si>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</si>
  <si>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</si>
  <si>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</si>
  <si>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</si>
  <si>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</si>
  <si>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</si>
  <si>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</si>
  <si>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</si>
  <si>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</si>
  <si>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</si>
  <si>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</si>
  <si>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</si>
  <si>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</si>
  <si>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</si>
  <si>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</si>
  <si>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</si>
  <si>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</si>
  <si>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</si>
  <si>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</si>
  <si>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</si>
  <si>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</si>
  <si>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</si>
  <si>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</si>
  <si>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</si>
  <si>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</si>
  <si>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</si>
  <si>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</si>
  <si>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</si>
  <si>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</si>
  <si>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</si>
  <si>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</si>
  <si>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</si>
  <si>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</si>
  <si>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</si>
  <si>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</si>
  <si>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</si>
  <si>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</si>
  <si>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</si>
  <si>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</si>
  <si>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</si>
  <si>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</si>
  <si>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</si>
  <si>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</si>
  <si>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</si>
  <si>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</si>
  <si>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</si>
  <si>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</si>
  <si>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</si>
  <si>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</si>
  <si>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</si>
  <si>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</si>
  <si>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</si>
  <si>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</si>
  <si>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</si>
  <si>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</si>
  <si>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</si>
  <si>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</si>
  <si>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</si>
  <si>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</si>
  <si>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</si>
  <si>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</si>
  <si>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</si>
  <si>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</si>
  <si>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</si>
  <si>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</si>
  <si>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</si>
  <si>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</si>
  <si>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</si>
  <si>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</si>
  <si>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</si>
  <si>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</si>
  <si>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</si>
  <si>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</si>
  <si>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</si>
  <si>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</si>
  <si>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</si>
  <si>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</si>
  <si>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</si>
  <si>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</si>
  <si>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</si>
  <si>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>Einarbeitung</t>
  </si>
  <si>
    <t>Lagerbestände</t>
  </si>
  <si>
    <t>Diverse Fragen</t>
  </si>
  <si>
    <t>DV</t>
  </si>
  <si>
    <t>Eigengewicht</t>
  </si>
  <si>
    <t>Elektrische Prüfungen</t>
  </si>
  <si>
    <t>Erwärmungsprüfung</t>
  </si>
  <si>
    <t>Expertenbasierte Prüfung</t>
  </si>
  <si>
    <t>US-Anlage</t>
  </si>
  <si>
    <t>Formstabilität</t>
  </si>
  <si>
    <t>Überschüttprüfung</t>
  </si>
  <si>
    <t>Satrotec</t>
  </si>
  <si>
    <t>Medienbeständigkeit</t>
  </si>
  <si>
    <t>VV</t>
  </si>
  <si>
    <t>Lastenhefte</t>
  </si>
  <si>
    <t>Instrumentenerkennung</t>
  </si>
  <si>
    <t>Maulteilrückentemperatur</t>
  </si>
  <si>
    <t>Instrumentenaufbau</t>
  </si>
  <si>
    <t>Muster</t>
  </si>
  <si>
    <t>Parmaco</t>
  </si>
  <si>
    <t>Messerschnittkraft</t>
  </si>
  <si>
    <t>K-FMEA</t>
  </si>
  <si>
    <t>Weiterbildung</t>
  </si>
  <si>
    <t>Schaftrotation</t>
  </si>
  <si>
    <t>Stresstest</t>
  </si>
  <si>
    <t>Schweißnahtfestigkeit</t>
  </si>
  <si>
    <t>Elektroden</t>
  </si>
  <si>
    <t>Spannungsfestigkeit</t>
  </si>
  <si>
    <t>Widerstandsprüfung</t>
  </si>
  <si>
    <t>Umf. Funktionsprüfungen</t>
  </si>
  <si>
    <t>Risikoanalyse</t>
  </si>
  <si>
    <t>A-Matrix</t>
  </si>
  <si>
    <t>Familienbildung</t>
  </si>
  <si>
    <t>50er</t>
  </si>
  <si>
    <t>Artikel</t>
  </si>
  <si>
    <t>OKR</t>
  </si>
  <si>
    <t>60er</t>
  </si>
  <si>
    <t>Fallprüfung</t>
  </si>
  <si>
    <t>LeanDoc</t>
  </si>
  <si>
    <t>VBA</t>
  </si>
  <si>
    <t>80er</t>
  </si>
  <si>
    <t>Biegewechselprüfung</t>
  </si>
  <si>
    <t>mv;Sprint6</t>
  </si>
  <si>
    <t>40er</t>
  </si>
  <si>
    <t>Sprint6</t>
  </si>
  <si>
    <t>DocMigration</t>
  </si>
  <si>
    <t>Lernen</t>
  </si>
  <si>
    <t>Sprint8</t>
  </si>
  <si>
    <t>Sprint7</t>
  </si>
  <si>
    <t>Nacharbeit</t>
  </si>
  <si>
    <t>Planung</t>
  </si>
  <si>
    <t>Kiefer</t>
  </si>
  <si>
    <t>PPO</t>
  </si>
  <si>
    <t>Sprint 9</t>
  </si>
  <si>
    <t>Sprint 10</t>
  </si>
  <si>
    <t>Reihenfolge</t>
  </si>
  <si>
    <t>Tiso</t>
  </si>
  <si>
    <t>Sprint 11</t>
  </si>
  <si>
    <t>Sprint 12</t>
  </si>
  <si>
    <t>Sprint 14</t>
  </si>
  <si>
    <t>Sprint 17</t>
  </si>
  <si>
    <t>Sprint 13</t>
  </si>
  <si>
    <t>Produktion</t>
  </si>
  <si>
    <t>Sprint 18</t>
  </si>
  <si>
    <t>Sprint 19</t>
  </si>
  <si>
    <t>Carmen</t>
  </si>
  <si>
    <t>Label</t>
  </si>
  <si>
    <t>Prozess;Sprint 19</t>
  </si>
  <si>
    <t>Griffschalen</t>
  </si>
  <si>
    <t>Meta;Sprint 19</t>
  </si>
  <si>
    <t>#000022</t>
  </si>
  <si>
    <t>#000021</t>
  </si>
  <si>
    <t>#000020</t>
  </si>
  <si>
    <t>#000019</t>
  </si>
  <si>
    <t>#000018</t>
  </si>
  <si>
    <t>#000017</t>
  </si>
  <si>
    <t>#000016</t>
  </si>
  <si>
    <t>#000015</t>
  </si>
  <si>
    <t>#000014</t>
  </si>
  <si>
    <t>#000013</t>
  </si>
  <si>
    <t>#000012</t>
  </si>
  <si>
    <t>#000011</t>
  </si>
  <si>
    <t>#000010</t>
  </si>
  <si>
    <t>#000009</t>
  </si>
  <si>
    <t>#000008</t>
  </si>
  <si>
    <t>#000007</t>
  </si>
  <si>
    <t>#000006</t>
  </si>
  <si>
    <t>#000005</t>
  </si>
  <si>
    <t>#000004</t>
  </si>
  <si>
    <t>#000003</t>
  </si>
  <si>
    <t>t2059A56ED44E82A24</t>
  </si>
  <si>
    <t>t267218276819F6C9C</t>
  </si>
  <si>
    <t>t9D9F3EB9869A6CB60</t>
  </si>
  <si>
    <t>t6ACC87E5810A26F00</t>
  </si>
  <si>
    <t>tF0F72618C2355E2BF</t>
  </si>
  <si>
    <t>tA0609AFBFE041B33A</t>
  </si>
  <si>
    <t>t07F16BFBB3C0447D9</t>
  </si>
  <si>
    <t>t6853F3F2581837C13</t>
  </si>
  <si>
    <t>t628F16E31F482E77A</t>
  </si>
  <si>
    <t>t21EF3E36629BBC4E5</t>
  </si>
  <si>
    <t>tDECEDB8602140E708</t>
  </si>
  <si>
    <t>tC1EA44A7A24A051DB</t>
  </si>
  <si>
    <t>tFD5FD21E0521F3115</t>
  </si>
  <si>
    <t>tEA65AC00C0E640F6D</t>
  </si>
  <si>
    <t>tDD2380F50F0127B56</t>
  </si>
  <si>
    <t>t6A43E1DBB2248448B</t>
  </si>
  <si>
    <t>tE6F2F0B2EF4413929</t>
  </si>
  <si>
    <t>tAFEB881A855769A86</t>
  </si>
  <si>
    <t>t3C036B6DAB923E444</t>
  </si>
  <si>
    <t>t9584CDED092AE3871</t>
  </si>
  <si>
    <t>t012A04A045B9AA8FB</t>
  </si>
  <si>
    <t>t244E80CA6A2726250</t>
  </si>
  <si>
    <t>{0,050;0,200;0,350;0,500;0,650;0,800;0,950}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</si>
  <si>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</si>
  <si>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{0,915;1,000;4,000;0,518;0,423;2,212;4,000;0,818;0,553;4,000;1,333;2,500;0,889;2,000;3,333;2,000;1,333;1,200;0,312;0,516;1,786;1,107;1,055;0,581;1,952;1,000;2,502;5,980;0,890;1,445;1,428;0,998;4,000;1,339}</t>
  </si>
  <si>
    <t>e55503F17BCE172C5B</t>
  </si>
  <si>
    <t>EBS 80% date</t>
  </si>
  <si>
    <t>{0,250;2,364;0,250;1,000;0,833;0,250;0,948;1,125;0,250;1,000;0,500;0,250;0,250;1,125;3,205;1,222;1,222;0,250;0,512;1,222;0,948;0,700;0,250;0,167;0,452;0,700;0,250;0,500;1,222;0,250;0,250;0,300;1,125;0,167;1,222;1,721;0,167;0,512;0,250;1,093;0,750;0,512;1,000;1,002;1,931;1,093;1,938;0,692;1,808;0,903}</t>
  </si>
  <si>
    <t>{0,241;2,355;0,241;0,991;0,824;0,241;0,939;1,116;0,241;0,991;0,491;0,241;0,241;1,116;3,196;1,214;1,214;0,241;0,503;1,214;0,939;0,691;0,241;0,158;0,443;0,691;0,241;0,491;1,214;0,241;0,241;0,291;1,116;0,158;1,214;1,712;0,158;0,503;0,241;1,084;0,741;0,503;0,991;0,993;1,922;1,084;1,929;0,683;1,799;0,894}</t>
  </si>
  <si>
    <t>{0,177;0,241;0,492;0,725;0,992;1,214;2,041}</t>
  </si>
  <si>
    <t>{01/09/2020 08:10:37;01/09/2020 08:14:28;01/09/2020 08:29:31;01/09/2020 08:43:29;01/09/2020 08:59:31;01/09/2020 09:12:49;01/09/2020 10:02:27}</t>
  </si>
  <si>
    <t>{4,728;2,000;2,247;0,600;1,120;1,807;1,120;3,442;1,000;3,617;1,000;1,494;2,445;2,445;1,667;1,120;1,896;1,500;1,494;0,500;4,728;0,334;1,000;1,667;1,401;1,000;6,410;0,334;2,186;0,600;1,896;0,600;0,904;3,442;4,728;3,861;1,807;0,500;1,120;0,800;0,600;2,004;0,600;1,807;1,667;1,384;0,334;3,617;3,442;0,904}</t>
  </si>
  <si>
    <t>{3,228;0,500;0,747;0,000;0,000;0,307;0,000;1,942;0,000;2,117;0,000;0,000;0,945;0,945;0,167;0,000;0,396;0,000;0,000;0,000;3,228;0,000;0,000;0,167;0,000;0,000;4,910;0,000;0,686;0,000;0,396;0,000;0,000;1,942;3,228;2,361;0,307;0,000;0,000;0,000;0,000;0,504;0,000;0,307;0,167;0,000;0,000;2,117;1,942;0,000}</t>
  </si>
  <si>
    <t>{3,469;2,855;0,988;0,991;0,824;0,548;0,939;3,058;0,241;3,108;0,491;0,241;1,186;2,061;3,363;1,214;1,609;0,241;0,503;1,214;4,167;0,691;0,241;0,325;0,443;0,691;5,151;0,491;1,899;0,241;0,637;0,291;1,116;2,101;4,442;4,073;0,465;0,503;0,241;1,084;0,741;1,007;0,991;1,300;2,088;1,084;1,929;2,800;3,742;0,894}</t>
  </si>
  <si>
    <t>{0,241;0,475;0,701;1,014;1,382;2,826;4,175}</t>
  </si>
  <si>
    <t>{01/09/2020 08:14:28;01/09/2020 08:28:32;01/09/2020 08:42:05;01/09/2020 09:00:52;01/09/2020 09:22:54;01/09/2020 10:49:32;01/09/2020 12:10:29}</t>
  </si>
  <si>
    <t>{1,500;3,617;1,000;0,799;0,500;1,500;3,617;0,600;1,401;0,799;0,800;1,000;2,186;1,000;1,667;1,896;1,000;0,500;3,617;3,617;2,445;1,500;2,000;1,401;2,000;1,120;1,384;2,247;0,904;2,445;0,500;4,728;1,120;1,401;2,000;1,000;3,861;4,728;6,410;3,861;0,500;1,000;2,250;2,000;1,500;0,799;0,334;1,500;1,500;1,025}</t>
  </si>
  <si>
    <t>{21,700;6,719;14,670;20,654;13,115;10,000;12,000;21,700;28,369;9,002;5,425;6,719;3,000;9,002;6,719;10,000;12,000;3,000;13,498;10,000;38,462;6,148;5,425;3,000;10,840;20,654;9,002;3,600;2,007;11,374;6,000;3,000;8,962;8,962;3,000;12,000;4,796;8,403;12,000;13,498;8,304;8,304;5,425;8,962;13,115;8,304;4,800;8,403;9,002;6,000}</t>
  </si>
  <si>
    <t>{2,743;0,000;0,000;1,697;0,000;0,000;0,000;2,743;9,412;0,000;0,000;0,000;0,000;0,000;0,000;0,000;0,000;0,000;0,000;0,000;19,504;0,000;0,000;0,000;0,000;1,697;0,000;0,000;0,000;0,000;0,000;0,000;0,000;0,000;0,000;0,000;0,000;0,000;0,000;0,000;0,000;0,000;0,000;0,000;0,000;0,000;0,000;0,000;0,000;0,000}</t>
  </si>
  <si>
    <t>{6,212;2,855;0,988;2,688;0,824;0,548;0,939;5,801;9,653;3,108;0,491;0,241;1,186;2,061;3,363;1,214;1,609;0,241;0,503;1,214;23,671;0,691;0,241;0,325;0,443;2,388;5,151;0,491;1,899;0,241;0,637;0,291;1,116;2,101;4,442;4,073;0,465;0,503;0,241;1,084;0,741;1,007;0,991;1,300;2,088;1,084;1,929;2,800;3,742;0,894}</t>
  </si>
  <si>
    <t>{0,241;0,496;0,833;1,110;1,968;2,906;6,860}</t>
  </si>
  <si>
    <t>{01/09/2020 08:14:28;01/09/2020 08:29:46;01/09/2020 08:49:59;01/09/2020 09:06:34;01/09/2020 09:58:05;01/09/2020 10:54:21;01/09/2020 14:51:37}</t>
  </si>
  <si>
    <t>{2,251;5,792;2,251;2,251;7,092;1,500;1,680;5,425;5,425;3,279;3,279;9,615;5,164;0,750;2,251;2,076;1,500;3,006;0,750;2,500;0,750;3,667;5,792;1,500;1,500;3,371;2,500;1,537;3,371;1,199;2,240;2,251;1,200;3,000;1,199;0,750;0,900;3,000;2,710;3,006;9,615;2,844;3,000;0,750;2,240;1,680;2,500;2,500;2,251;5,814}</t>
  </si>
  <si>
    <t>{0,500;4,041;0,500;0,500;5,341;0,000;0,000;3,674;3,674;1,528;1,528;7,865;3,413;0,000;0,500;0,325;0,000;1,255;0,000;0,749;0,000;1,917;4,041;0,000;0,000;1,620;0,749;0,000;1,620;0,000;0,490;0,500;0,000;1,249;0,000;0,000;0,000;1,249;0,959;1,255;7,865;1,093;1,249;0,000;0,490;0,000;0,749;0,749;0,500;4,063}</t>
  </si>
  <si>
    <t>{6,712;6,896;1,488;3,188;6,166;0,548;0,939;9,475;13,327;4,636;2,019;8,106;4,599;2,061;3,863;1,539;1,609;1,497;0,503;1,963;23,671;2,608;4,282;0,325;0,443;4,008;5,901;0,491;3,519;0,241;1,126;0,791;1,116;3,350;4,442;4,073;0,465;1,753;1,200;2,339;8,606;2,100;2,240;1,300;2,578;1,084;2,678;3,549;4,241;4,958}</t>
  </si>
  <si>
    <t>{0,454;1,101;1,636;2,406;3,744;4,762;9,904}</t>
  </si>
  <si>
    <t>{01/09/2020 08:27:14;01/09/2020 09:06:04;01/09/2020 09:38:09;01/09/2020 10:24:23;01/09/2020 11:44:39;01/09/2020 12:45:44;01/09/2020 17:54:15}</t>
  </si>
  <si>
    <t>{9,615;0,900;5,814;7,092;2,844;3,375;5,164;3,000;0,502;2,844;7,092;5,164;0,750;2,240;2,101;2,844;0,750;2,101;1,537;2,240;1,356;3,371;3,371;1,680;1,200;3,371;0,750;2,500;0,502;0,900;1,199;2,500;5,814;0,750;3,371;0,502;5,164;3,000;2,240;0,900;3,371;2,251;0,900;1,200;5,814;2,710;3,006;1,200;3,375;9,615}</t>
  </si>
  <si>
    <t>{0,620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0,620}</t>
  </si>
  <si>
    <t>{7,331;6,896;1,488;3,188;6,166;0,548;0,939;9,475;13,327;4,636;2,019;8,106;4,599;2,061;3,863;1,539;1,609;1,497;0,503;1,963;23,671;2,608;4,282;0,325;0,443;4,008;5,901;0,491;3,519;0,241;1,126;0,791;1,116;3,350;4,442;4,073;0,465;1,753;1,200;2,339;8,606;2,100;2,240;1,300;2,578;1,084;2,678;3,549;4,241;5,577}</t>
  </si>
  <si>
    <t>{10,000;3,600;8,962;3,000;10,840;12,000;6,000;3,000;23,166;20,654;8,304;8,403;13,483;3,000;11,374;10,000;11,374;21,700;9,002;9,002;4,796;8,304;12,024;12,000;21,700;10,000;6,000;3,000;6,148;4,796;5,425;6,148;2,007;3,000;3,000;20,654;12,024;20,654;3,600;3,000;13,498;13,498;8,403;38,462;8,304;6,719;20,654;3,000;20,654;8,403}</t>
  </si>
  <si>
    <t>{0,000;0,000;0,000;0,000;0,000;0,000;0,000;0,000;4,209;1,697;0,000;0,000;0,000;0,000;0,000;0,000;0,000;2,743;0,000;0,000;0,000;0,000;0,000;0,000;2,743;0,000;0,000;0,000;0,000;0,000;0,000;0,000;0,000;0,000;0,000;1,697;0,000;1,697;0,000;0,000;0,000;0,000;0,000;19,504;0,000;0,000;1,697;0,000;1,697;0,000}</t>
  </si>
  <si>
    <t>{7,331;6,896;1,488;3,188;6,166;0,548;0,939;9,475;17,536;6,332;2,019;8,106;4,599;2,061;3,863;1,539;1,609;4,239;0,503;1,963;23,671;2,608;4,282;0,325;3,186;4,008;5,901;0,491;3,519;0,241;1,126;0,791;1,116;3,350;4,442;5,770;0,465;3,449;1,200;2,339;8,606;2,100;2,240;20,804;2,578;1,084;4,375;3,549;5,938;5,577}</t>
  </si>
  <si>
    <t>{0,474;1,150;2,074;3,253;4,297;5,978;12,591}</t>
  </si>
  <si>
    <t>{01/09/2020 08:28:25;01/09/2020 09:08:59;01/09/2020 10:04:28;01/09/2020 11:15:11;01/09/2020 12:17:49;01/09/2020 13:58:40;02/09/2020 10:05:26}</t>
  </si>
  <si>
    <t>{0,417;0,346;0,084;0,904;0,474;0,226;0,250;0,250;0,280;0,125;0,611;0,452;0,250;0,969;0,500;0,501;0,417;1,603;0,226;1,603;0,474;0,084;0,280;0,611;0,250;0,250;0,562;0,250;0,501;0,500;0,125;0,200;0,546;0,546;0,375;0,250;0,150;0,125;0,500;0,500;0,350;0,280;0,904;0,375;0,861;0,904;0,200;0,280;1,603;0,125}</t>
  </si>
  <si>
    <t>{7,748;7,242;1,572;4,092;6,640;0,774;1,189;9,725;17,816;6,457;2,630;8,557;4,849;3,030;4,363;2,040;2,026;5,842;0,729;3,565;24,145;2,692;4,562;0,936;3,436;4,258;6,463;0,741;4,020;0,741;1,251;0,991;1,662;3,896;4,817;6,020;0,615;3,574;1,700;2,839;8,956;2,380;3,144;21,179;3,439;1,988;4,575;3,829;7,541;5,702}</t>
  </si>
  <si>
    <t>{0,748;1,623;2,717;3,655;4,670;6,541;12,875}</t>
  </si>
  <si>
    <t>{01/09/2020 08:44:55;01/09/2020 09:37:23;01/09/2020 10:43:01;01/09/2020 11:39:18;01/09/2020 12:40:13;01/09/2020 14:32:27;02/09/2020 10:22:30}</t>
  </si>
  <si>
    <t>{3,750;7,500;15,030;7,500;8,399;16,854;7,500;5,995;16,873;16,854;3,750;14,218;3,750;7,500;3,750;13,550;11,253;15,000;4,500;13,550;15,000;25,818;10,504;18,337;12,500;14,218;25,818;10,381;6,000;18,337;5,995;16,854;7,500;29,070;3,750;28,958;10,504;12,500;4,500;4,500;7,500;11,253;3,750;6,000;11,253;5,995;11,253;3,750;8,399;7,500}</t>
  </si>
  <si>
    <t>{11,498;14,742;16,602;11,592;15,038;17,628;8,689;15,720;34,688;23,311;6,380;22,775;8,599;10,530;8,113;15,590;13,279;20,842;5,230;17,115;39,145;28,509;15,066;19,274;15,936;18,476;32,281;11,122;10,020;19,079;7,247;17,845;9,162;32,966;8,567;34,978;11,119;16,074;6,201;7,340;16,456;13,633;6,894;27,179;14,691;7,983;15,828;7,579;15,940;13,202}</t>
  </si>
  <si>
    <t>{6,575;8,616;11,626;15,176;16,299;19,624;33,519}</t>
  </si>
  <si>
    <t>{01/09/2020 14:34:31;01/09/2020 16:36:56;02/09/2020 09:07:33;02/09/2020 12:40:35;02/09/2020 13:47:55;02/09/2020 17:07:26;04/09/2020 10:01:09}</t>
  </si>
  <si>
    <t>{7,092;2,240;1,500;3,279;1,680;5,814;3,667;2,240;1,500;0,750;3,279;2,251;2,251;1,356;1,356;2,101;3,006;0,900;1,680;3,371;1,500;3,000;3,375;3,371;1,356;1,500;1,356;7,092;3,279;3,375;2,251;3,000;0,900;2,710;3,000;2,844;2,101;3,667;5,425;2,844;5,164;2,076;2,251;0,750;2,500;0,502;1,500;5,814;3,006;5,792}</t>
  </si>
  <si>
    <t>{18,590;16,982;18,102;14,871;16,718;23,442;12,356;17,961;36,188;24,061;9,659;25,026;10,849;11,886;9,469;17,691;16,285;21,742;6,910;20,486;40,645;31,509;18,441;22,644;17,292;19,976;33,637;18,214;13,299;22,453;9,497;20,845;10,063;35,676;11,567;37,821;13,220;19,742;11,626;10,183;21,620;15,709;9,145;27,929;17,191;8,485;17,328;13,393;18,946;18,994}</t>
  </si>
  <si>
    <t>{9,224;11,695;15,785;17,794;19,411;22,786;36,266}</t>
  </si>
  <si>
    <t>{01/09/2020 17:13:27;02/09/2020 09:11:40;02/09/2020 13:17:05;02/09/2020 15:17:37;02/09/2020 16:54:41;03/09/2020 09:47:10;04/09/2020 12:45:58}</t>
  </si>
  <si>
    <t>{1,500;2,004;2,247;2,247;0,334;1,401;1,120;1,500;0,800;2,004;0,600;0,904;1,000;6,410;3,876;0,600;1,401;1,000;2,000;2,000;1,896;1,000;2,247;1,896;1,500;2,000;0,500;1,120;1,120;2,250;3,861;1,807;2,000;0,500;3,876;2,445;6,410;0,500;2,250;2,247;1,807;3,876;1,000;0,334;2,000;0,500;1,120;0,500;0,500;4,728}</t>
  </si>
  <si>
    <t>{20,091;18,986;20,349;17,118;17,053;24,842;13,476;19,461;36,988;26,065;10,259;25,930;11,849;18,296;13,345;18,291;17,685;22,742;8,910;22,486;42,541;32,509;20,688;24,540;18,792;21,976;34,137;19,334;14,419;24,703;13,358;22,651;12,063;36,176;15,443;40,266;19,630;20,242;13,875;12,430;23,426;19,585;10,145;28,264;19,191;8,985;18,448;13,893;19,446;23,722}</t>
  </si>
  <si>
    <t>{10,528;13,643;18,303;19,480;21,452;24,826;37,301}</t>
  </si>
  <si>
    <t>{02/09/2020 08:01:43;02/09/2020 11:08:34;02/09/2020 15:48:10;02/09/2020 16:58:50;03/09/2020 08:27:08;03/09/2020 11:49:32;04/09/2020 13:48:03}</t>
  </si>
  <si>
    <t>{1,500;6,410;2,247;3,617;0,500;1,000;1,896;6,410;4,728;0,600;0,799;0,904;6,410;0,600;2,445;2,247;2,186;2,186;1,494;0,500;0,334;1,896;0,334;2,250;1,807;1,120;2,004;1,494;2,000;1,401;2,250;1,896;1,667;2,445;1,384;2,004;1,500;1,384;0,500;2,445;1,000;0,334;0,500;2,247;3,876;0,500;1,667;1,500;2,000;4,728}</t>
  </si>
  <si>
    <t>{0,964;5,874;1,711;3,080;0,000;0,463;1,359;5,874;4,191;0,063;0,263;0,367;5,874;0,063;1,908;1,711;1,649;1,649;0,957;0,000;0,000;1,359;0,000;1,713;1,270;0,583;1,467;0,957;1,463;0,864;1,713;1,359;1,130;1,908;0,847;1,467;0,964;0,847;0,000;1,908;0,463;0,000;0,000;1,711;3,339;0,000;1,130;0,964;1,463;4,191}</t>
  </si>
  <si>
    <t>{21,054;24,860;22,059;20,198;17,053;25,306;14,835;25,335;41,180;26,129;10,522;26,298;17,723;18,360;15,253;20,001;19,335;24,391;9,867;22,486;42,541;33,868;20,688;26,253;20,062;22,559;35,604;20,291;15,882;25,567;15,071;24,010;13,193;38,084;16,290;41,734;20,594;21,089;13,875;14,339;23,890;19,585;10,145;29,974;22,531;8,985;19,578;14,857;20,909;27,914}</t>
  </si>
  <si>
    <t>{10,831;15,396;19,609;20,779;23,176;26,146;39,088}</t>
  </si>
  <si>
    <t>{02/09/2020 08:19:50;02/09/2020 12:53:44;02/09/2020 17:06:34;02/09/2020 18:16:46;03/09/2020 10:10:34;03/09/2020 13:08:44;04/09/2020 15:35:17}</t>
  </si>
  <si>
    <t>{2,250;0,500;0,904;1,896;0,904;1,000;0,500;1,807;3,876;2,186;0,600;1,401;2,000;1,896;1,401;2,445;1,667;2,004;3,442;1,384;1,500;2,445;0,799;0,334;1,000;2,247;2,004;3,861;1,401;1,500;1,896;3,442;1,896;2,000;0,500;1,500;1,000;2,000;0,500;0,500;1,120;1,896;1,025;6,410;2,000;2,000;1,401;1,120;3,617;0,500}</t>
  </si>
  <si>
    <t>{1,500;0,000;0,154;1,146;0,154;0,250;0,000;1,057;3,126;1,436;0,000;0,651;1,250;1,146;0,651;1,695;0,917;1,254;2,692;0,634;0,750;1,695;0,049;0,000;0,250;1,497;1,254;3,111;0,651;0,750;1,146;2,692;1,146;1,250;0,000;0,750;0,250;1,250;0,000;0,000;0,370;1,146;0,275;5,660;1,250;1,250;0,651;0,370;2,867;0,000}</t>
  </si>
  <si>
    <t>{22,554;24,860;22,214;21,343;17,207;25,556;14,835;26,391;44,306;27,565;10,522;26,948;18,973;19,506;15,904;21,696;20,251;25,645;12,559;23,120;43,291;35,563;20,737;26,253;20,312;24,057;36,858;23,402;16,533;26,317;16,217;26,703;14,338;39,334;16,290;42,484;20,844;22,339;13,875;14,339;24,259;20,731;10,420;35,634;23,781;10,235;20,228;15,226;23,776;27,914}</t>
  </si>
  <si>
    <t>{11,276;16,058;20,287;22,299;24,398;26,789;40,423}</t>
  </si>
  <si>
    <t>{02/09/2020 08:46:35;02/09/2020 13:33:30;02/09/2020 17:47:14;03/09/2020 09:17:55;03/09/2020 11:23:53;03/09/2020 13:47:20;04/09/2020 16:55:21}</t>
  </si>
  <si>
    <t>{1,750;5,833;3,919;4,844;1,171;5,251;3,586;8,557;8,557;7,000;4,902;3,165;12,048;1,750;6,635;16,548;5,251;5,228;5,251;12,048;13,566;7,014;3,919;7,000;7,000;1,750;7,000;3,500;6,635;7,650;1,750;2,100;3,500;6,323;13,514;5,228;13,566;3,919;8,557;2,800;3,586;4,844;6,635;1,750;1,750;1,750;3,165;12,658;5,228;13,514}</t>
  </si>
  <si>
    <t>{0,974;5,057;3,143;4,068;0,394;4,475;2,810;7,781;7,781;6,224;4,126;2,388;11,272;0,974;5,859;15,772;4,475;4,452;4,475;11,272;12,790;6,238;3,143;6,224;6,224;0,974;6,224;2,724;5,859;6,874;0,974;1,324;2,724;5,547;12,737;4,452;12,790;3,143;7,781;2,024;2,810;4,068;5,859;0,974;0,974;0,974;2,388;11,882;4,452;12,737}</t>
  </si>
  <si>
    <t>{23,528;29,917;25,357;25,412;17,601;30,031;17,645;34,173;52,087;33,788;14,648;29,337;30,245;20,479;21,763;37,469;24,726;30,097;17,034;34,392;56,081;41,801;23,880;32,477;26,536;25,030;43,082;26,126;22,392;33,191;17,191;28,027;17,062;44,882;29,028;46,936;33,634;25,483;21,657;16,363;27,069;24,799;16,279;36,608;24,755;11,209;22,617;27,109;28,227;40,651}</t>
  </si>
  <si>
    <t>{16,449;20,993;24,775;26,679;29,993;34,416;46,863}</t>
  </si>
  <si>
    <t>{02/09/2020 13:56:55;02/09/2020 18:29:34;03/09/2020 11:46:31;03/09/2020 13:40:46;03/09/2020 16:59:37;04/09/2020 10:54:59;07/09/2020 12:51:48}</t>
  </si>
  <si>
    <t>{0,750;0,903;0,452;2,364;0,500;1,808;0,750;2,364;0,903;0,250;0,400;1,000;0,500;0,452;1,938;1,125;0,250;0,500;0,948;0,400;0,400;0,250;0,250;0,560;0,400;1,093;3,205;1,002;3,205;0,747;0,400;1,938;0,400;0,750;0,250;3,205;0,750;1,002;0,560;0,167;1,002;1,124;0,250;0,500;0,300;1,124;0,692;1,000;0,750;2,364}</t>
  </si>
  <si>
    <t>{24,278;30,821;25,809;27,776;18,101;31,839;18,395;36,537;52,991;34,038;15,047;30,337;30,745;20,932;23,701;38,594;24,976;30,597;17,982;34,792;56,481;42,051;24,130;33,037;26,936;26,123;46,287;27,128;25,597;33,938;17,591;29,965;17,462;45,632;29,278;50,141;34,384;26,485;22,217;16,530;28,071;25,923;16,529;37,108;25,055;12,333;23,309;28,109;28,977;43,015}</t>
  </si>
  <si>
    <t>{16,739;21,882;25,621;27,859;30,692;35,024;48,131}</t>
  </si>
  <si>
    <t>{02/09/2020 14:14:19;03/09/2020 08:52:57;03/09/2020 12:37:17;03/09/2020 14:51:32;03/09/2020 17:41:31;04/09/2020 11:31:26;07/09/2020 14:07:50}</t>
  </si>
  <si>
    <t>{5,624;4,739;1,250;2,500;1,998;5,010;2,561;2,000;9,042;9,042;6,112;3,751;5,000;3,501;5,000;4,517;11,820;3,460;2,260;6,112;1,250;11,820;2,800;2,260;5,000;2,500;5,624;2,260;16,026;5,624;1,250;2,500;4,739;3,751;3,751;1,250;0,836;2,000;5,000;3,734;1,250;5,010;9,042;3,734;5,000;1,250;3,460;0,836;8,606;5,000}</t>
  </si>
  <si>
    <t>{3,124;2,239;0,000;0,000;0,000;2,510;0,061;0,000;6,542;6,542;3,612;1,251;2,500;1,001;2,500;2,017;9,320;0,960;0,000;3,612;0,000;9,320;0,300;0,000;2,500;0,000;3,124;0,000;13,526;3,124;0,000;0,000;2,239;1,251;1,251;0,000;0,000;0,000;2,500;1,234;0,000;2,510;6,542;1,234;2,500;0,000;0,960;0,000;6,106;2,500}</t>
  </si>
  <si>
    <t>{27,402;33,060;25,809;27,776;18,101;34,349;18,457;36,537;59,532;40,580;18,660;31,588;33,245;21,933;26,201;40,610;34,297;31,557;17,982;38,405;56,481;51,372;24,430;33,037;29,436;26,123;49,411;27,128;39,122;37,062;17,591;29,965;19,701;46,883;30,529;50,141;34,384;26,485;24,717;17,764;28,071;28,433;23,070;38,342;27,555;12,333;24,269;28,109;35,083;45,515}</t>
  </si>
  <si>
    <t>{17,840;23,614;27,160;29,709;33,714;38,622;51,884}</t>
  </si>
  <si>
    <t>{02/09/2020 15:20:24;03/09/2020 10:36:51;03/09/2020 14:09:35;03/09/2020 16:42:33;04/09/2020 10:12:51;04/09/2020 15:07:21;07/09/2020 17:53:04}</t>
  </si>
  <si>
    <t>{17,375;28,846;2,250;2,700;28,846;6,752;15,491;9,000;9,000;4,500;6,752;8,531;6,228;9,000;6,752;8,130;6,721;10,124;9,000;8,130;2,700;9,000;11,002;11,002;2,250;2,250;6,721;4,500;28,846;17,375;10,124;3,600;8,531;4,611;3,597;8,130;17,375;4,500;16,275;2,250;5,039;8,531;9,000;5,039;15,491;2,250;21,277;28,846;1,505;17,442}</t>
  </si>
  <si>
    <t>{12,346;23,818;0,000;0,000;23,818;1,723;10,462;3,971;3,971;0,000;1,723;3,502;1,200;3,971;1,723;3,101;1,693;5,095;3,971;3,101;0,000;3,971;5,974;5,974;0,000;0,000;1,693;0,000;23,818;12,346;5,095;0,000;3,502;0,000;0,000;3,101;12,346;0,000;11,246;0,000;0,011;3,502;3,971;0,011;10,462;0,000;16,248;23,818;0,000;12,413}</t>
  </si>
  <si>
    <t>{39,748;56,877;25,809;27,776;41,919;36,072;28,919;40,508;63,504;40,580;20,383;35,090;34,445;25,904;27,924;43,712;35,990;36,652;21,953;41,506;56,481;55,343;30,404;39,011;29,436;26,123;51,104;27,128;62,940;49,408;22,686;29,965;23,204;46,883;30,529;53,242;46,730;26,485;35,963;17,764;28,082;31,935;27,042;38,353;38,016;12,333;40,517;51,926;35,083;57,928}</t>
  </si>
  <si>
    <t>{20,901;26,742;30,007;35,990;40,075;47,305;58,545}</t>
  </si>
  <si>
    <t>{02/09/2020 18:24:04;03/09/2020 13:44:30;03/09/2020 17:00:26;04/09/2020 12:29:25;04/09/2020 16:34:30;07/09/2020 13:18:18;08/09/2020 14:02:41}</t>
  </si>
  <si>
    <t>{1,000;7,752;4,372;2,987;12,821;1,808;3,333;7,233;3,001;0,669;3,001;12,821;1,200;1,599;2,049;1,808;7,752;4,000;2,801;0,669;4,000;4,499;3,791;1,000;4,494;4,372;2,000;4,499;4,008;1,000;2,240;2,987;2,240;1,599;7,752;1,000;1,600;4,499;1,600;1,200;2,768;4,372;9,456;2,049;2,987;1,000;1,000;1,600;2,000;4,890}</t>
  </si>
  <si>
    <t>{0,000;6,660;3,279;1,895;11,728;0,716;2,241;6,141;1,909;0,000;1,909;11,728;0,108;0,506;0,957;0,716;6,660;2,908;1,709;0,000;2,908;3,407;2,699;0,000;3,402;3,279;0,908;3,407;2,916;0,000;1,147;1,895;1,147;0,506;6,660;0,000;0,508;3,407;0,508;0,108;1,676;3,279;8,364;0,957;1,895;0,000;0,000;0,508;0,908;3,798}</t>
  </si>
  <si>
    <t>{39,748;63,537;29,088;29,671;53,647;36,788;31,160;46,649;65,412;40,580;22,291;46,818;34,553;26,411;28,881;44,428;42,649;39,560;23,662;41,506;59,389;58,750;33,103;39,011;32,838;29,403;52,012;30,535;65,856;49,408;23,833;31,860;24,351;47,389;37,188;53,242;47,238;29,892;36,471;17,872;29,758;35,214;35,406;39,310;39,912;12,333;40,517;52,434;35,991;61,726}</t>
  </si>
  <si>
    <t>{22,638;29,545;33,261;37,719;41,459;49,711;62,740}</t>
  </si>
  <si>
    <t>{03/09/2020 09:38:18;03/09/2020 16:32:41;04/09/2020 09:45:41;04/09/2020 14:13:07;04/09/2020 17:57:34;07/09/2020 15:42:39;08/09/2020 18:14:23}</t>
  </si>
  <si>
    <t>{1,222;0,833;1,125;0,250;0,512;1,000;0,452;1,721;0,400;0,250;0,747;0,948;1,002;0,500;0,500;1,002;1,931;0,400;0,692;1,808;0,692;0,750;0,948;0,452;0,250;0,300;0,750;0,948;0,400;0,400;0,500;0,948;0,400;1,721;1,002;1,808;3,205;1,721;0,512;0,700;0,400;1,808;0,167;1,124;0,750;0,560;0,250;2,364;1,002;3,205}</t>
  </si>
  <si>
    <t>{0,972;0,583;0,875;0,000;0,262;0,750;0,202;1,471;0,149;0,000;0,497;0,698;0,752;0,250;0,250;0,752;1,680;0,150;0,442;1,558;0,442;0,500;0,698;0,202;0,000;0,050;0,500;0,698;0,150;0,149;0,250;0,698;0,149;1,471;0,752;1,558;2,955;1,471;0,262;0,450;0,150;1,558;0,000;0,873;0,500;0,310;0,000;2,114;0,752;2,955}</t>
  </si>
  <si>
    <t>{40,721;64,120;29,963;29,671;53,909;37,538;31,362;48,120;65,561;40,580;22,788;47,516;35,304;26,661;29,130;45,180;44,329;39,710;24,104;43,064;59,831;59,250;33,801;39,213;32,838;29,452;52,512;31,232;66,006;49,558;24,083;32,557;24,500;48,860;37,940;54,800;50,193;31,363;36,733;18,322;29,908;36,772;35,406;40,183;40,411;12,642;40,517;54,548;36,743;64,681}</t>
  </si>
  <si>
    <t>{23,084;29,788;33,921;38,382;42,254;50,564;64,517}</t>
  </si>
  <si>
    <t>{03/09/2020 10:05:02;03/09/2020 16:47:15;04/09/2020 10:25:15;04/09/2020 14:52:57;07/09/2020 08:15:16;07/09/2020 16:33:51;09/09/2020 09:30:59}</t>
  </si>
  <si>
    <t>{0,375;1,120;0,375;1,500;1,500;1,050;1,639;0,600;1,038;1,685;0,678;0,375;1,639;1,685;0,600;1,050;1,125;0,450;2,896;1,038;0,375;0,375;1,050;0,678;1,687;1,500;1,500;0,600;0,600;1,125;1,125;0,768;2,712;1,355;2,712;2,582;1,500;0,375;1,500;1,639;1,050;2,712;0,768;0,678;1,685;1,500;0,678;0,375;1,125;1,355}</t>
  </si>
  <si>
    <t>{0,000;0,620;0,000;1,000;1,000;0,550;1,139;0,100;0,538;1,185;0,178;0,000;1,139;1,185;0,100;0,550;0,625;0,000;2,395;0,538;0,000;0,000;0,550;0,178;1,187;1,000;1,000;0,099;0,099;0,625;0,625;0,268;2,212;0,855;2,212;2,081;1,000;0,000;1,000;1,139;0,550;2,212;0,268;0,178;1,185;1,000;0,178;0,000;0,625;0,855}</t>
  </si>
  <si>
    <t>{40,721;64,740;29,963;30,670;54,909;38,088;32,501;48,220;66,099;41,765;22,966;47,516;36,443;27,846;29,230;45,730;44,954;39,710;26,500;43,602;59,831;59,250;34,351;39,391;34,025;30,452;53,512;31,332;66,105;50,183;24,708;32,826;26,713;49,715;40,152;56,882;51,192;31,363;37,732;19,461;30,458;38,984;35,674;40,361;41,597;13,642;40,695;54,548;37,368;65,536}</t>
  </si>
  <si>
    <t>{23,761;30,539;34,508;39,581;43,121;51,528;65,114}</t>
  </si>
  <si>
    <t>{03/09/2020 10:45:39;03/09/2020 17:32:22;04/09/2020 11:00:28;04/09/2020 16:04:51;07/09/2020 09:07:14;07/09/2020 17:31:40;09/09/2020 10:06:50}</t>
  </si>
  <si>
    <t>{0,452;1,938;0,560;0,400;1,222;0,692;0,300;0,512;1,125;0,750;1,124;1,093;0,167;0,300;0,750;0,400;0,750;0,500;1,931;0,747;1,931;1,721;1,222;1,002;1,808;0,750;1,125;0,250;1,721;1,808;1,124;0,833;0,500;1,222;0,300;1,222;1,000;0,750;0,833;0,250;0,250;1,002;0,948;0,250;0,903;0,692;2,364;0,400;2,364;1,124}</t>
  </si>
  <si>
    <t>{41,173;66,678;30,523;31,070;56,131;38,780;32,801;48,732;67,224;42,515;24,089;48,608;36,611;28,146;29,980;46,130;45,705;40,210;28,430;44,349;61,761;60,971;35,573;40,393;35,833;31,202;54,637;31,582;67,826;51,991;25,832;33,659;27,213;50,937;40,452;58,104;52,192;32,113;38,566;19,711;30,708;39,986;36,622;40,611;42,500;14,334;43,059;54,947;39,732;66,659}</t>
  </si>
  <si>
    <t>{24,792;30,906;35,893;40,270;44,183;52,468;66,815}</t>
  </si>
  <si>
    <t>{03/09/2020 11:47:31;03/09/2020 17:54:20;04/09/2020 12:23:33;04/09/2020 16:46:13;07/09/2020 10:11:00;07/09/2020 18:28:04;09/09/2020 11:48:52}</t>
  </si>
  <si>
    <t>{0,904;1,896;1,000;1,000;0,500;1,807;3,861;6,410;0,500;0,600;6,410;1,500;3,442;2,000;2,000;1,000;1,500;1,896;1,384;2,000;1,500;1,807;1,494;2,250;2,000;1,807;0,600;2,000;2,445;2,445;0,500;0,500;1,494;1,384;2,186;3,876;2,247;0,334;4,728;0,500;3,617;3,861;3,876;1,384;1,025;0,600;0,500;3,861;1,667;0,500}</t>
  </si>
  <si>
    <t>{0,000;0,000;0,000;0,000;0,000;0,000;0,000;2,503;0,000;0,000;2,503;0,000;0,000;0,000;0,000;0,000;0,000;0,000;0,000;0,000;0,000;0,000;0,000;0,000;0,000;0,000;0,000;0,000;0,000;0,000;0,000;0,000;0,000;0,000;0,000;0,000;0,000;0,000;0,821;0,000;0,000;0,000;0,000;0,000;0,000;0,000;0,000;0,000;0,000;0,000}</t>
  </si>
  <si>
    <t>{41,173;66,678;30,523;31,070;56,131;38,780;32,801;51,235;67,224;42,515;26,592;48,608;36,611;28,146;29,980;46,130;45,705;40,210;28,430;44,349;61,761;60,971;35,573;40,393;35,833;31,202;54,637;31,582;67,826;51,991;25,832;33,659;27,213;50,937;40,452;58,104;52,192;32,113;39,387;19,711;30,708;39,986;36,622;40,611;42,500;14,334;43,059;54,947;39,732;66,659}</t>
  </si>
  <si>
    <t>{26,142;30,906;35,893;40,270;44,183;52,468;66,815}</t>
  </si>
  <si>
    <t>{03/09/2020 13:08:33;03/09/2020 17:54:20;04/09/2020 12:23:33;04/09/2020 16:46:13;07/09/2020 10:11:00;07/09/2020 18:28:04;09/09/2020 11:48:52}</t>
  </si>
  <si>
    <t>#3</t>
  </si>
  <si>
    <t>#4</t>
  </si>
  <si>
    <t>#5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</si>
</sst>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8">
    <xf numFmtId="0" fontId="0" fillId="0" borderId="0" xfId="0"/>
    <xf numFmtId="0" fontId="4" fillId="4" borderId="2" xfId="3" applyFont="1" applyFill="1" applyBorder="1" applyAlignment="1">
      <alignment horizontal="left"/>
    </xf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13" fillId="0" borderId="0" xfId="0" applyFo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0" fontId="7" fillId="0" borderId="0" xfId="2" applyFont="1" applyFill="1" applyAlignment="1">
      <alignment horizontal="left" vertical="center" indent="1"/>
    </xf>
    <xf numFmtId="0" fontId="7" fillId="0" borderId="0" xfId="0" applyFont="1" applyFill="1" applyAlignment="1">
      <alignment horizontal="left" vertical="center" indent="1"/>
    </xf>
    <xf numFmtId="0" fontId="6" fillId="0" borderId="0" xfId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14" fillId="0" borderId="0" xfId="1" applyFont="1" applyFill="1" applyAlignment="1">
      <alignment horizontal="left" vertical="center" indent="1"/>
    </xf>
    <xf numFmtId="2" fontId="7" fillId="0" borderId="0" xfId="0" applyNumberFormat="1" applyFont="1" applyFill="1" applyAlignment="1">
      <alignment horizontal="left" vertical="center" indent="1"/>
    </xf>
    <xf numFmtId="14" fontId="14" fillId="0" borderId="0" xfId="1" applyNumberFormat="1" applyFont="1" applyFill="1" applyAlignment="1">
      <alignment horizontal="left" vertical="center" indent="1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64"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00B0F0"/>
      </font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01/09/2020 00:41:20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0.1</c:v>
              </c:pt>
              <c:pt idx="2">
                <c:v>0.3</c:v>
              </c:pt>
              <c:pt idx="3">
                <c:v>0.2</c:v>
              </c:pt>
              <c:pt idx="4">
                <c:v>1</c:v>
              </c:pt>
              <c:pt idx="5">
                <c:v>0.6</c:v>
              </c:pt>
              <c:pt idx="6">
                <c:v>0.6</c:v>
              </c:pt>
              <c:pt idx="7">
                <c:v>0.5</c:v>
              </c:pt>
              <c:pt idx="8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CCDF-4D3A-A587-2F4B8C750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44075.028703703705</c:v>
              </c:pt>
            </c:numLit>
          </c:xVal>
          <c:yVal>
            <c:numLit>
              <c:formatCode>General</c:formatCode>
              <c:ptCount val="1"/>
              <c:pt idx="0">
                <c:v>31.017500000000002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DCD7-490F-8671-30DADA7EE6EF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44075.028703703705</c:v>
              </c:pt>
            </c:numLit>
          </c:xVal>
          <c:yVal>
            <c:numLit>
              <c:formatCode>General</c:formatCode>
              <c:ptCount val="1"/>
              <c:pt idx="0">
                <c:v>40.037999999999997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DCD7-490F-8671-30DADA7EE6EF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44075.028703703705</c:v>
              </c:pt>
            </c:numLit>
          </c:xVal>
          <c:yVal>
            <c:numLit>
              <c:formatCode>General</c:formatCode>
              <c:ptCount val="1"/>
              <c:pt idx="0">
                <c:v>55.499000000000002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DCD7-490F-8671-30DADA7EE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3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342900</xdr:colOff>
      <xdr:row>3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342900</xdr:colOff>
      <xdr:row>3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12</xdr:col>
      <xdr:colOff>0</xdr:colOff>
      <xdr:row>2</xdr:row>
      <xdr:rowOff>0</xdr:rowOff>
    </xdr:from>
    <xdr:to>
      <xdr:col>13</xdr:col>
      <xdr:colOff>752475</xdr:colOff>
      <xdr:row>3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20</xdr:col>
      <xdr:colOff>0</xdr:colOff>
      <xdr:row>2</xdr:row>
      <xdr:rowOff>0</xdr:rowOff>
    </xdr:from>
    <xdr:to>
      <xdr:col>23</xdr:col>
      <xdr:colOff>571500</xdr:colOff>
      <xdr:row>3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2</xdr:col>
          <xdr:colOff>257175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85725</xdr:rowOff>
        </xdr:from>
        <xdr:to>
          <xdr:col>7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352425</xdr:rowOff>
        </xdr:from>
        <xdr:to>
          <xdr:col>4</xdr:col>
          <xdr:colOff>1152525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85725</xdr:rowOff>
        </xdr:from>
        <xdr:to>
          <xdr:col>4</xdr:col>
          <xdr:colOff>1152525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0</xdr:row>
          <xdr:rowOff>561975</xdr:rowOff>
        </xdr:from>
        <xdr:to>
          <xdr:col>2</xdr:col>
          <xdr:colOff>1781175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0</xdr:row>
          <xdr:rowOff>85725</xdr:rowOff>
        </xdr:from>
        <xdr:to>
          <xdr:col>2</xdr:col>
          <xdr:colOff>1790700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0</xdr:row>
          <xdr:rowOff>76200</xdr:rowOff>
        </xdr:from>
        <xdr:to>
          <xdr:col>10</xdr:col>
          <xdr:colOff>352425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0</xdr:row>
          <xdr:rowOff>333375</xdr:rowOff>
        </xdr:from>
        <xdr:to>
          <xdr:col>10</xdr:col>
          <xdr:colOff>352425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409575</xdr:colOff>
          <xdr:row>0</xdr:row>
          <xdr:rowOff>66675</xdr:rowOff>
        </xdr:from>
        <xdr:to>
          <xdr:col>13</xdr:col>
          <xdr:colOff>628650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409575</xdr:colOff>
          <xdr:row>0</xdr:row>
          <xdr:rowOff>333375</xdr:rowOff>
        </xdr:from>
        <xdr:to>
          <xdr:col>13</xdr:col>
          <xdr:colOff>628650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352425</xdr:rowOff>
        </xdr:from>
        <xdr:to>
          <xdr:col>7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0</xdr:row>
          <xdr:rowOff>590550</xdr:rowOff>
        </xdr:from>
        <xdr:to>
          <xdr:col>10</xdr:col>
          <xdr:colOff>352425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419100</xdr:colOff>
          <xdr:row>0</xdr:row>
          <xdr:rowOff>590550</xdr:rowOff>
        </xdr:from>
        <xdr:to>
          <xdr:col>13</xdr:col>
          <xdr:colOff>638175</xdr:colOff>
          <xdr:row>0</xdr:row>
          <xdr:rowOff>809625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0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2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3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3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0</xdr:rowOff>
        </xdr:from>
        <xdr:to>
          <xdr:col>0</xdr:col>
          <xdr:colOff>1638300</xdr:colOff>
          <xdr:row>21</xdr:row>
          <xdr:rowOff>19050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3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21</xdr:row>
          <xdr:rowOff>190500</xdr:rowOff>
        </xdr:from>
        <xdr:to>
          <xdr:col>0</xdr:col>
          <xdr:colOff>1638300</xdr:colOff>
          <xdr:row>23</xdr:row>
          <xdr:rowOff>19050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3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4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8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V4" insertRow="1" totalsRowShown="0" dataDxfId="54">
  <autoFilter ref="A3:V4" xr:uid="{520F3973-795E-47E6-97CD-1C1265CA838A}"/>
  <sortState xmlns:xlrd2="http://schemas.microsoft.com/office/spreadsheetml/2017/richdata2" ref="A4:V4">
    <sortCondition ref="U3:U4"/>
  </sortState>
  <tableColumns count="22">
    <tableColumn id="1" xr3:uid="{78BB2EF9-C626-4B0D-94B3-1781BE57C67F}" name="Task no." dataDxfId="53" dataCellStyle="Standard"/>
    <tableColumn id="3" xr3:uid="{3AD21368-826B-4507-A159-BE8BE5B02C1F}" name="Now?" dataDxfId="52" dataCellStyle="Spaltenebene_1"/>
    <tableColumn id="2" xr3:uid="{C139B307-7150-4838-B1FD-482AAB7B1208}" name="Task name" dataDxfId="51" dataCellStyle="Link"/>
    <tableColumn id="13" xr3:uid="{500C3031-A1C8-4FCF-AE88-FB2DB0E81277}" name="#1" dataDxfId="50" dataCellStyle="Link"/>
    <tableColumn id="18" xr3:uid="{3B298737-E571-4F23-9C71-2BC3C2385355}" name="Comment" dataDxfId="49" dataCellStyle="Link"/>
    <tableColumn id="7" xr3:uid="{5DC94B1C-A20E-47F8-8963-B0674A9C27B4}" name="#2" dataDxfId="48" dataCellStyle="Link"/>
    <tableColumn id="4" xr3:uid="{E2EAEAF6-33EC-4D8C-B42E-C249C36E3D3C}" name="%Tag 1" dataDxfId="47" dataCellStyle="Standard"/>
    <tableColumn id="14" xr3:uid="{A6D882A1-C3C1-4F0C-8834-5B299F196767}" name="#3" dataDxfId="46"/>
    <tableColumn id="5" xr3:uid="{1E4EAD98-8B30-4F09-AA64-D7613D00651F}" name="%Tag 2" dataDxfId="45" dataCellStyle="Standard"/>
    <tableColumn id="21" xr3:uid="{91C37425-DDD8-4756-A39F-CDA868D3035B}" name="#4" dataDxfId="44"/>
    <tableColumn id="6" xr3:uid="{9E1E50BB-6DA2-47A1-BB20-8C9FAC4B0DB5}" name="%Tag 3" dataDxfId="43" dataCellStyle="Standard"/>
    <tableColumn id="22" xr3:uid="{F4250AF8-5AFE-4C03-B563-438A86E41810}" name="#5" dataDxfId="42"/>
    <tableColumn id="10" xr3:uid="{85CEF83B-6217-49AE-8974-E4D5953E2637}" name="Kanban list" dataDxfId="41" dataCellStyle="Standard"/>
    <tableColumn id="11" xr3:uid="{E542542F-D34F-488A-95AF-76A724785E5A}" name="User time estimate" dataDxfId="40" dataCellStyle="Standard"/>
    <tableColumn id="12" xr3:uid="{7DA005F8-D924-4031-B65E-6C6F60E3212D}" name="Total time" dataDxfId="39" dataCellStyle="Standard"/>
    <tableColumn id="16" xr3:uid="{209AEE68-BDAE-4E8C-BCF6-6EEA4F9A7FDE}" name="Finished on" dataDxfId="38" dataCellStyle="Standard"/>
    <tableColumn id="8" xr3:uid="{727785B7-29B9-493D-A20B-C319B38E1DF3}" name="EBS 50% time" dataDxfId="37" dataCellStyle="Standard"/>
    <tableColumn id="9" xr3:uid="{B12BA9B8-3C81-408C-AFE4-25993FD8491D}" name="EBS 80% date" dataDxfId="36" dataCellStyle="Standard"/>
    <tableColumn id="20" xr3:uid="{DAE27A09-2EB0-4A47-A9F0-48ED802D8570}" name="Due date" dataDxfId="35" dataCellStyle="Spaltenebene_1"/>
    <tableColumn id="19" xr3:uid="{7A8CB495-6AE9-4A1E-AC5B-8B6487C84135}" name="Contributor" dataDxfId="34" dataCellStyle="Standard"/>
    <tableColumn id="17" xr3:uid="{EF767A93-0B38-4A66-A27B-92321C0E655C}" name="Priority" dataDxfId="33" dataCellStyle="Standard"/>
    <tableColumn id="15" xr3:uid="{2ADBC76B-EB88-4BCD-8956-7B4B22C5A3D4}" name="tHASH" dataDxfId="32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2" xr:uid="{AB8A9E30-A018-42D7-B769-ADB8E85EEA6E}" name="EbsBaseData432627041883" displayName="EbsBaseData432627041883" ref="A18:H19" totalsRowShown="0">
  <autoFilter ref="A18:H19" xr:uid="{1948C160-1F52-48A7-8061-8AFF06D47134}"/>
  <tableColumns count="8">
    <tableColumn id="1" xr3:uid="{D9226103-A039-4AF3-A38B-B7C4CD16914A}" name="EBS entry no."/>
    <tableColumn id="4" xr3:uid="{92A40E2D-16F8-45DC-BBF4-D83824E41121}" name="EBS run date" dataDxfId="29"/>
    <tableColumn id="8" xr3:uid="{5249556E-5EE1-4966-8BF2-23FE83BFEB88}" name="[Velocity pool]"/>
    <tableColumn id="2" xr3:uid="{26D75B40-C860-4F88-883D-2AF0E5F4F4A4}" name="Show pool?"/>
    <tableColumn id="3" xr3:uid="{E17FD91C-50D2-4D0B-97B9-92FAD8809BF4}" name="[Propability support points]"/>
    <tableColumn id="5" xr3:uid="{CFE5DE8A-7A4B-416C-AB14-F3F5C9AB0E75}" name="[Project time estimates]"/>
    <tableColumn id="6" xr3:uid="{67F1F915-6D52-4B02-8856-822BA9B9E700}" name="[Project date estimates]"/>
    <tableColumn id="7" xr3:uid="{2990797E-9EC2-4464-8DEE-224490433276}" name="eHASH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3" xr:uid="{CB72DF82-A563-42AE-9D0D-B86D05F9BB38}" name="EbsTaskData959271121884" displayName="EbsTaskData959271121884" ref="J18:T40" totalsRowShown="0">
  <autoFilter ref="J18:T40" xr:uid="{2297DC20-55A3-4C75-B785-3C4ABEF5CB9C}"/>
  <tableColumns count="11">
    <tableColumn id="1" xr3:uid="{5D85BDB5-5EB5-43A6-AA1B-E41B977D6FD1}" name="Data entry no."/>
    <tableColumn id="10" xr3:uid="{1881366A-4100-43A9-9C25-88E7AD6B244E}" name="tHASH"/>
    <tableColumn id="5" xr3:uid="{C866E8AC-D2C5-4787-9476-94576DCDBAAC}" name="Logged Priority"/>
    <tableColumn id="7" xr3:uid="{9B49538D-80F2-49B6-8CA3-4DF2948CFF8C}" name="Time spent so far" dataDxfId="28"/>
    <tableColumn id="4" xr3:uid="{0CC6CE61-D75E-4E04-95B6-25C32F936B86}" name="User time estimate" dataDxfId="27"/>
    <tableColumn id="3" xr3:uid="{FF8DB112-E02E-4148-AB8D-48AFEFB2412A}" name="[Monte Carlo estimate pool]"/>
    <tableColumn id="2" xr3:uid="{A312FEF5-9B59-4DDB-BD9A-4233BC1D02C1}" name="[Remaining time pool]"/>
    <tableColumn id="6" xr3:uid="{62508937-5DD5-4636-A5F3-D6192752679B}" name="[Accumulated time pool]"/>
    <tableColumn id="8" xr3:uid="{1E226D41-0193-49B1-8237-663CB7F3925B}" name="[Propability support points]"/>
    <tableColumn id="9" xr3:uid="{7156A6BD-74BE-442B-90B8-C160134502B9}" name="[Interpolated time estimates]"/>
    <tableColumn id="11" xr3:uid="{DD7B3062-E247-40AA-A7F2-2D01F666B5D8}" name="[Interpolated date estimates]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26" dataDxfId="24" headerRowBorderDxfId="25">
  <autoFilter ref="A8:D10" xr:uid="{8E9EC0C1-7901-48B6-A59A-1CE6ABEE7A55}"/>
  <tableColumns count="4">
    <tableColumn id="1" xr3:uid="{58BB2187-C79D-4A1A-A9A3-DA2F074C476C}" name="Split entry no." dataDxfId="23"/>
    <tableColumn id="2" xr3:uid="{A755482D-FFF4-43D8-8021-1956CE3A7021}" name="Split start" dataDxfId="22"/>
    <tableColumn id="3" xr3:uid="{FE0A0B8D-1F8A-4CEC-9FB3-C945A45F99BF}" name="Split end" dataDxfId="21"/>
    <tableColumn id="4" xr3:uid="{5443222D-0CE3-4625-9EDB-D13B87B6C388}" name="Time spent" dataDxfId="20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19" dataCellStyle="Link"/>
    <tableColumn id="9" xr3:uid="{0037D127-E2BA-445A-BC63-1395BA3AC441}" name="Calendar ID" dataDxfId="18" dataCellStyle="Link"/>
    <tableColumn id="10" xr3:uid="{37CA3B7B-8FF0-4042-97C6-E23A79A74325}" name="Store ID"/>
    <tableColumn id="6" xr3:uid="{044D8005-25C5-4D31-940A-B6DE4C6B0EA5}" name="WorkingDays" dataDxfId="17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16"/>
    <tableColumn id="8" xr3:uid="{1177B0FB-46B2-406D-B988-C64E0ABA6972}" name="AppointmentOffsetHours" dataDxfId="15">
      <calculatedColumnFormula>5/60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10"/>
    <tableColumn id="3" xr3:uid="{78DABF02-3853-48FF-81AD-5801C74BED1B}" name="End time" dataDxfId="9"/>
    <tableColumn id="4" xr3:uid="{76C994F9-216A-4848-9FB6-16BAF8B0EEEA}" name="Time delta in h" dataDxfId="8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7"/>
    <tableColumn id="3" xr3:uid="{A62B365F-400F-45A4-B789-FE7B5FDBD312}" name="EBS self time" dataDxfId="6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5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44" totalsRowShown="0">
  <autoFilter ref="A2:E44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2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1"/>
    <tableColumn id="4" xr3:uid="{F9EDA55E-5206-49A7-A846-6A0B14C04CAF}" name="User time estimate" dataDxfId="0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E7783564-147A-40E4-A7CD-101C4DAA60BD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Z314"/>
  <sheetViews>
    <sheetView tabSelected="1" topLeftCell="B1" zoomScaleNormal="100" workbookViewId="0">
      <selection activeCell="W6" sqref="W6"/>
    </sheetView>
  </sheetViews>
  <sheetFormatPr baseColWidth="10" defaultColWidth="11.42578125" defaultRowHeight="15" outlineLevelCol="1" x14ac:dyDescent="0.25"/>
  <cols>
    <col min="1" max="1" width="10.42578125" style="7" customWidth="1" outlineLevel="1"/>
    <col min="2" max="2" width="8.42578125" style="38" bestFit="1" customWidth="1"/>
    <col min="3" max="3" width="32.140625" style="10" customWidth="1"/>
    <col min="4" max="4" width="4" style="10" customWidth="1"/>
    <col min="5" max="5" width="18.5703125" style="10" customWidth="1"/>
    <col min="6" max="6" width="4" style="10" customWidth="1"/>
    <col min="7" max="7" width="15.140625" customWidth="1"/>
    <col min="8" max="8" width="4" customWidth="1"/>
    <col min="9" max="9" width="10.7109375" style="8" customWidth="1"/>
    <col min="10" max="10" width="4" style="8" customWidth="1"/>
    <col min="11" max="11" width="10.85546875" style="8" customWidth="1"/>
    <col min="12" max="12" width="4" style="8" customWidth="1"/>
    <col min="13" max="13" width="13" style="8" bestFit="1" customWidth="1"/>
    <col min="14" max="14" width="20.42578125" style="11" bestFit="1" customWidth="1"/>
    <col min="15" max="15" width="12.28515625" style="11" bestFit="1" customWidth="1"/>
    <col min="16" max="16" width="15.7109375" style="7" hidden="1" customWidth="1" outlineLevel="1"/>
    <col min="17" max="17" width="15" style="11" hidden="1" customWidth="1" outlineLevel="1"/>
    <col min="18" max="18" width="15.7109375" style="11" hidden="1" customWidth="1" outlineLevel="1"/>
    <col min="19" max="19" width="15.7109375" style="38" customWidth="1" collapsed="1"/>
    <col min="20" max="20" width="13.5703125" hidden="1" customWidth="1" outlineLevel="1"/>
    <col min="21" max="21" width="11.42578125" hidden="1" customWidth="1" outlineLevel="1"/>
    <col min="22" max="22" width="20.28515625" style="7" hidden="1" customWidth="1" outlineLevel="1"/>
    <col min="23" max="23" width="15.7109375" style="38" customWidth="1" collapsed="1"/>
    <col min="24" max="24" width="9.85546875" customWidth="1"/>
    <col min="25" max="25" width="15.85546875" customWidth="1"/>
    <col min="26" max="26" width="3.7109375" style="4" customWidth="1"/>
  </cols>
  <sheetData>
    <row r="1" spans="1:26" ht="65.25" customHeight="1" x14ac:dyDescent="0.25">
      <c r="A1" s="4"/>
      <c r="C1" s="9"/>
      <c r="D1" s="9"/>
      <c r="E1" s="9"/>
      <c r="F1" s="9"/>
      <c r="G1" s="19"/>
      <c r="H1" s="19"/>
      <c r="I1" s="19"/>
      <c r="J1" s="19"/>
      <c r="K1" s="19"/>
      <c r="L1" s="19"/>
      <c r="M1" s="11"/>
      <c r="P1" s="4"/>
      <c r="T1" s="4"/>
      <c r="U1" s="4"/>
      <c r="V1"/>
      <c r="Z1"/>
    </row>
    <row r="2" spans="1:26" x14ac:dyDescent="0.25">
      <c r="A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37" t="s">
        <v>76</v>
      </c>
      <c r="R2" s="37" t="s">
        <v>76</v>
      </c>
      <c r="T2" s="9"/>
      <c r="U2" s="9"/>
      <c r="V2" s="9"/>
      <c r="Z2"/>
    </row>
    <row r="3" spans="1:26" s="43" customFormat="1" x14ac:dyDescent="0.25">
      <c r="A3" s="44" t="s">
        <v>11</v>
      </c>
      <c r="B3" s="42" t="s">
        <v>139</v>
      </c>
      <c r="C3" s="45" t="s">
        <v>3</v>
      </c>
      <c r="D3" s="45" t="s">
        <v>147</v>
      </c>
      <c r="E3" s="45" t="s">
        <v>2</v>
      </c>
      <c r="F3" s="45" t="s">
        <v>148</v>
      </c>
      <c r="G3" s="46" t="s">
        <v>21</v>
      </c>
      <c r="H3" s="46" t="s">
        <v>363</v>
      </c>
      <c r="I3" s="46" t="s">
        <v>22</v>
      </c>
      <c r="J3" s="46" t="s">
        <v>364</v>
      </c>
      <c r="K3" s="46" t="s">
        <v>23</v>
      </c>
      <c r="L3" s="46" t="s">
        <v>365</v>
      </c>
      <c r="M3" s="47" t="s">
        <v>1</v>
      </c>
      <c r="N3" s="47" t="s">
        <v>77</v>
      </c>
      <c r="O3" s="48" t="s">
        <v>71</v>
      </c>
      <c r="P3" t="s">
        <v>15</v>
      </c>
      <c r="Q3" s="8" t="s">
        <v>81</v>
      </c>
      <c r="R3" s="8" t="s">
        <v>265</v>
      </c>
      <c r="S3" s="42" t="s">
        <v>13</v>
      </c>
      <c r="T3" s="7" t="s">
        <v>14</v>
      </c>
      <c r="U3" t="s">
        <v>12</v>
      </c>
      <c r="V3" t="s">
        <v>46</v>
      </c>
      <c r="W3" s="42"/>
    </row>
    <row r="4" spans="1:26" s="52" customFormat="1" ht="21" customHeight="1" x14ac:dyDescent="0.25">
      <c r="A4" s="50"/>
      <c r="B4" s="54"/>
      <c r="C4" s="49"/>
      <c r="D4" s="49"/>
      <c r="E4" s="49"/>
      <c r="F4" s="49"/>
      <c r="G4" s="50"/>
      <c r="H4" s="50"/>
      <c r="I4" s="50"/>
      <c r="J4" s="50"/>
      <c r="K4" s="50"/>
      <c r="L4" s="50"/>
      <c r="M4" s="50"/>
      <c r="N4" s="55"/>
      <c r="O4" s="55"/>
      <c r="P4" s="50"/>
      <c r="Q4" s="50"/>
      <c r="R4" s="50"/>
      <c r="S4" s="56"/>
      <c r="T4" s="50"/>
      <c r="U4" s="50"/>
      <c r="V4" s="50"/>
      <c r="W4" s="51"/>
    </row>
    <row r="5" spans="1:26" s="52" customFormat="1" ht="21" customHeight="1" x14ac:dyDescent="0.25">
      <c r="A5" s="39"/>
      <c r="B5" s="35"/>
      <c r="C5" s="23"/>
      <c r="D5" s="23"/>
      <c r="E5" s="23"/>
      <c r="F5" s="23"/>
      <c r="G5" s="24"/>
      <c r="H5" s="24"/>
      <c r="I5" s="39"/>
      <c r="J5" s="39"/>
      <c r="K5" s="39"/>
      <c r="L5" s="39"/>
      <c r="M5" s="39"/>
      <c r="N5" s="40"/>
      <c r="O5" s="39"/>
      <c r="P5" s="39"/>
      <c r="Q5" s="39"/>
      <c r="R5" s="39"/>
      <c r="S5" s="36"/>
      <c r="T5" s="39"/>
      <c r="U5" s="39"/>
      <c r="V5" s="39"/>
      <c r="W5" s="51"/>
      <c r="Z5" s="53"/>
    </row>
    <row r="6" spans="1:26" ht="21" customHeight="1" x14ac:dyDescent="0.25">
      <c r="A6" s="24"/>
      <c r="B6" s="35"/>
      <c r="C6" s="23"/>
      <c r="D6" s="23"/>
      <c r="E6" s="23" t="s">
        <v>111</v>
      </c>
      <c r="F6" s="23"/>
      <c r="I6" s="24"/>
      <c r="J6" s="24"/>
      <c r="K6" s="24"/>
      <c r="L6" s="24"/>
      <c r="M6" s="24"/>
      <c r="N6" s="24"/>
      <c r="O6" s="25"/>
      <c r="P6" s="24"/>
      <c r="Q6" s="25"/>
      <c r="R6" s="25"/>
      <c r="S6" s="36"/>
      <c r="V6" s="24"/>
    </row>
    <row r="7" spans="1:26" ht="21" customHeight="1" x14ac:dyDescent="0.25"/>
    <row r="8" spans="1:26" ht="21" customHeight="1" x14ac:dyDescent="0.25"/>
    <row r="9" spans="1:26" ht="21" customHeight="1" x14ac:dyDescent="0.25"/>
    <row r="10" spans="1:26" ht="21" customHeight="1" x14ac:dyDescent="0.25"/>
    <row r="11" spans="1:26" ht="21" customHeight="1" x14ac:dyDescent="0.25">
      <c r="C11" s="12"/>
      <c r="D11" s="12"/>
    </row>
    <row r="12" spans="1:26" ht="21" customHeight="1" x14ac:dyDescent="0.25"/>
    <row r="13" spans="1:26" ht="21" customHeight="1" x14ac:dyDescent="0.25"/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  <row r="19" ht="21" customHeight="1" x14ac:dyDescent="0.25"/>
    <row r="20" ht="21" customHeight="1" x14ac:dyDescent="0.25"/>
    <row r="21" ht="21" customHeight="1" x14ac:dyDescent="0.25"/>
    <row r="22" ht="21" customHeight="1" x14ac:dyDescent="0.25"/>
    <row r="23" ht="21" customHeight="1" x14ac:dyDescent="0.25"/>
    <row r="24" ht="21" customHeight="1" x14ac:dyDescent="0.25"/>
    <row r="25" ht="21" customHeight="1" x14ac:dyDescent="0.25"/>
    <row r="26" ht="21" customHeight="1" x14ac:dyDescent="0.25"/>
    <row r="27" ht="21" customHeight="1" x14ac:dyDescent="0.25"/>
    <row r="28" ht="21" customHeight="1" x14ac:dyDescent="0.25"/>
    <row r="29" ht="21" customHeight="1" x14ac:dyDescent="0.25"/>
    <row r="30" ht="21" customHeight="1" x14ac:dyDescent="0.25"/>
    <row r="31" ht="21" customHeight="1" x14ac:dyDescent="0.25"/>
    <row r="32" ht="21" customHeight="1" x14ac:dyDescent="0.25"/>
    <row r="33" ht="21" customHeight="1" x14ac:dyDescent="0.25"/>
    <row r="34" ht="21" customHeight="1" x14ac:dyDescent="0.25"/>
    <row r="35" ht="21" customHeight="1" x14ac:dyDescent="0.25"/>
    <row r="36" ht="21" customHeight="1" x14ac:dyDescent="0.25"/>
    <row r="37" ht="21" customHeight="1" x14ac:dyDescent="0.25"/>
    <row r="38" ht="21" customHeight="1" x14ac:dyDescent="0.25"/>
    <row r="39" ht="21" customHeight="1" x14ac:dyDescent="0.25"/>
    <row r="40" ht="21" customHeight="1" x14ac:dyDescent="0.25"/>
    <row r="41" ht="21" customHeight="1" x14ac:dyDescent="0.25"/>
    <row r="42" ht="21" customHeight="1" x14ac:dyDescent="0.25"/>
    <row r="43" ht="21" customHeight="1" x14ac:dyDescent="0.25"/>
    <row r="44" ht="21" customHeight="1" x14ac:dyDescent="0.25"/>
    <row r="45" ht="21" customHeight="1" x14ac:dyDescent="0.25"/>
    <row r="46" ht="21" customHeight="1" x14ac:dyDescent="0.25"/>
    <row r="47" ht="21" customHeight="1" x14ac:dyDescent="0.25"/>
    <row r="48" ht="21" customHeight="1" x14ac:dyDescent="0.25"/>
    <row r="49" ht="21" customHeight="1" x14ac:dyDescent="0.25"/>
    <row r="50" ht="21" customHeight="1" x14ac:dyDescent="0.25"/>
    <row r="51" ht="21" customHeight="1" x14ac:dyDescent="0.25"/>
    <row r="52" ht="21" customHeight="1" x14ac:dyDescent="0.25"/>
    <row r="53" ht="21" customHeight="1" x14ac:dyDescent="0.25"/>
    <row r="54" ht="21" customHeight="1" x14ac:dyDescent="0.25"/>
    <row r="55" ht="21" customHeight="1" x14ac:dyDescent="0.25"/>
    <row r="56" ht="21" customHeight="1" x14ac:dyDescent="0.25"/>
    <row r="57" ht="21" customHeight="1" x14ac:dyDescent="0.25"/>
    <row r="58" ht="21" customHeight="1" x14ac:dyDescent="0.25"/>
    <row r="59" ht="21" customHeight="1" x14ac:dyDescent="0.25"/>
    <row r="60" ht="21" customHeight="1" x14ac:dyDescent="0.25"/>
    <row r="61" ht="21" customHeight="1" x14ac:dyDescent="0.25"/>
    <row r="62" ht="21" customHeight="1" x14ac:dyDescent="0.25"/>
    <row r="63" ht="21" customHeight="1" x14ac:dyDescent="0.25"/>
    <row r="64" ht="21" customHeight="1" x14ac:dyDescent="0.25"/>
    <row r="65" ht="21" customHeight="1" x14ac:dyDescent="0.25"/>
    <row r="66" ht="21" customHeight="1" x14ac:dyDescent="0.25"/>
    <row r="67" ht="21" customHeight="1" x14ac:dyDescent="0.25"/>
    <row r="68" ht="21" customHeight="1" x14ac:dyDescent="0.25"/>
    <row r="69" ht="21" customHeight="1" x14ac:dyDescent="0.25"/>
    <row r="70" ht="21" customHeight="1" x14ac:dyDescent="0.25"/>
    <row r="71" ht="21" customHeight="1" x14ac:dyDescent="0.25"/>
    <row r="72" ht="21" customHeight="1" x14ac:dyDescent="0.25"/>
    <row r="73" ht="21" customHeight="1" x14ac:dyDescent="0.25"/>
    <row r="74" ht="21" customHeight="1" x14ac:dyDescent="0.25"/>
    <row r="75" ht="21" customHeight="1" x14ac:dyDescent="0.25"/>
    <row r="76" ht="21" customHeight="1" x14ac:dyDescent="0.25"/>
    <row r="77" ht="21" customHeight="1" x14ac:dyDescent="0.25"/>
    <row r="78" ht="21" customHeight="1" x14ac:dyDescent="0.25"/>
    <row r="79" ht="21" customHeight="1" x14ac:dyDescent="0.25"/>
    <row r="80" ht="21" customHeight="1" x14ac:dyDescent="0.25"/>
    <row r="81" ht="21" customHeight="1" x14ac:dyDescent="0.25"/>
    <row r="82" ht="21" customHeight="1" x14ac:dyDescent="0.25"/>
    <row r="83" ht="21" customHeight="1" x14ac:dyDescent="0.25"/>
    <row r="84" ht="21" customHeight="1" x14ac:dyDescent="0.25"/>
    <row r="85" ht="21" customHeight="1" x14ac:dyDescent="0.25"/>
    <row r="86" ht="21" customHeight="1" x14ac:dyDescent="0.25"/>
    <row r="87" ht="21" customHeight="1" x14ac:dyDescent="0.25"/>
    <row r="88" ht="21" customHeight="1" x14ac:dyDescent="0.25"/>
    <row r="89" ht="21" customHeight="1" x14ac:dyDescent="0.25"/>
    <row r="90" ht="21" customHeight="1" x14ac:dyDescent="0.25"/>
    <row r="91" ht="21" customHeight="1" x14ac:dyDescent="0.25"/>
    <row r="92" ht="21" customHeight="1" x14ac:dyDescent="0.25"/>
    <row r="93" ht="21" customHeight="1" x14ac:dyDescent="0.25"/>
    <row r="94" ht="21" customHeight="1" x14ac:dyDescent="0.25"/>
    <row r="95" ht="21" customHeight="1" x14ac:dyDescent="0.25"/>
    <row r="96" ht="21" customHeight="1" x14ac:dyDescent="0.25"/>
    <row r="97" ht="21" customHeight="1" x14ac:dyDescent="0.25"/>
    <row r="98" ht="21" customHeight="1" x14ac:dyDescent="0.25"/>
    <row r="99" ht="21" customHeight="1" x14ac:dyDescent="0.25"/>
    <row r="100" ht="21" customHeight="1" x14ac:dyDescent="0.25"/>
    <row r="101" ht="21" customHeight="1" x14ac:dyDescent="0.25"/>
    <row r="102" ht="21" customHeight="1" x14ac:dyDescent="0.25"/>
    <row r="103" ht="21" customHeight="1" x14ac:dyDescent="0.25"/>
    <row r="104" ht="21" customHeight="1" x14ac:dyDescent="0.25"/>
    <row r="105" ht="21" customHeight="1" x14ac:dyDescent="0.25"/>
    <row r="106" ht="21" customHeight="1" x14ac:dyDescent="0.25"/>
    <row r="107" ht="21" customHeight="1" x14ac:dyDescent="0.25"/>
    <row r="108" ht="21" customHeight="1" x14ac:dyDescent="0.25"/>
    <row r="109" ht="21" customHeight="1" x14ac:dyDescent="0.25"/>
    <row r="110" ht="21" customHeight="1" x14ac:dyDescent="0.25"/>
    <row r="111" ht="21" customHeight="1" x14ac:dyDescent="0.25"/>
    <row r="112" ht="21" customHeight="1" x14ac:dyDescent="0.25"/>
    <row r="113" ht="21" customHeight="1" x14ac:dyDescent="0.25"/>
    <row r="114" ht="21" customHeight="1" x14ac:dyDescent="0.25"/>
    <row r="115" ht="21" customHeight="1" x14ac:dyDescent="0.25"/>
    <row r="116" ht="21" customHeight="1" x14ac:dyDescent="0.25"/>
    <row r="117" ht="21" customHeight="1" x14ac:dyDescent="0.25"/>
    <row r="118" ht="21" customHeight="1" x14ac:dyDescent="0.25"/>
    <row r="119" ht="21" customHeight="1" x14ac:dyDescent="0.25"/>
    <row r="120" ht="21" customHeight="1" x14ac:dyDescent="0.25"/>
    <row r="121" ht="21" customHeight="1" x14ac:dyDescent="0.25"/>
    <row r="122" ht="21" customHeight="1" x14ac:dyDescent="0.25"/>
    <row r="123" ht="21" customHeight="1" x14ac:dyDescent="0.25"/>
    <row r="124" ht="21" customHeight="1" x14ac:dyDescent="0.25"/>
    <row r="125" ht="21" customHeight="1" x14ac:dyDescent="0.25"/>
    <row r="126" ht="21" customHeight="1" x14ac:dyDescent="0.25"/>
    <row r="127" ht="21" customHeight="1" x14ac:dyDescent="0.25"/>
    <row r="128" ht="21" customHeight="1" x14ac:dyDescent="0.25"/>
    <row r="129" ht="21" customHeight="1" x14ac:dyDescent="0.25"/>
    <row r="130" ht="21" customHeight="1" x14ac:dyDescent="0.25"/>
    <row r="131" ht="21" customHeight="1" x14ac:dyDescent="0.25"/>
    <row r="132" ht="21" customHeight="1" x14ac:dyDescent="0.25"/>
    <row r="133" ht="21" customHeight="1" x14ac:dyDescent="0.25"/>
    <row r="134" ht="21" customHeight="1" x14ac:dyDescent="0.25"/>
    <row r="135" ht="21" customHeight="1" x14ac:dyDescent="0.25"/>
    <row r="136" ht="21" customHeight="1" x14ac:dyDescent="0.25"/>
    <row r="137" ht="21" customHeight="1" x14ac:dyDescent="0.25"/>
    <row r="138" ht="21" customHeight="1" x14ac:dyDescent="0.25"/>
    <row r="139" ht="21" customHeight="1" x14ac:dyDescent="0.25"/>
    <row r="140" ht="21" customHeight="1" x14ac:dyDescent="0.25"/>
    <row r="141" ht="21" customHeight="1" x14ac:dyDescent="0.25"/>
    <row r="142" ht="21" customHeight="1" x14ac:dyDescent="0.25"/>
    <row r="143" ht="21" customHeight="1" x14ac:dyDescent="0.25"/>
    <row r="144" ht="21" customHeight="1" x14ac:dyDescent="0.25"/>
    <row r="145" ht="21" customHeight="1" x14ac:dyDescent="0.25"/>
    <row r="146" ht="21" customHeight="1" x14ac:dyDescent="0.25"/>
    <row r="147" ht="21" customHeight="1" x14ac:dyDescent="0.25"/>
    <row r="148" ht="21" customHeight="1" x14ac:dyDescent="0.25"/>
    <row r="149" ht="21" customHeight="1" x14ac:dyDescent="0.25"/>
    <row r="150" ht="21" customHeight="1" x14ac:dyDescent="0.25"/>
    <row r="151" ht="21" customHeight="1" x14ac:dyDescent="0.25"/>
    <row r="152" ht="21" customHeight="1" x14ac:dyDescent="0.25"/>
    <row r="153" ht="21" customHeight="1" x14ac:dyDescent="0.25"/>
    <row r="154" ht="21" customHeight="1" x14ac:dyDescent="0.25"/>
    <row r="155" ht="21" customHeight="1" x14ac:dyDescent="0.25"/>
    <row r="156" ht="21" customHeight="1" x14ac:dyDescent="0.25"/>
    <row r="157" ht="21" customHeight="1" x14ac:dyDescent="0.25"/>
    <row r="158" ht="21" customHeight="1" x14ac:dyDescent="0.25"/>
    <row r="159" ht="21" customHeight="1" x14ac:dyDescent="0.25"/>
    <row r="160" ht="21" customHeight="1" x14ac:dyDescent="0.25"/>
    <row r="161" ht="21" customHeight="1" x14ac:dyDescent="0.25"/>
    <row r="162" ht="21" customHeight="1" x14ac:dyDescent="0.25"/>
    <row r="163" ht="21" customHeight="1" x14ac:dyDescent="0.25"/>
    <row r="164" ht="21" customHeight="1" x14ac:dyDescent="0.25"/>
    <row r="165" ht="21" customHeight="1" x14ac:dyDescent="0.25"/>
    <row r="166" ht="21" customHeight="1" x14ac:dyDescent="0.25"/>
    <row r="167" ht="21" customHeight="1" x14ac:dyDescent="0.25"/>
    <row r="168" ht="21" customHeight="1" x14ac:dyDescent="0.25"/>
    <row r="169" ht="21" customHeight="1" x14ac:dyDescent="0.25"/>
    <row r="170" ht="21" customHeight="1" x14ac:dyDescent="0.25"/>
    <row r="171" ht="21" customHeight="1" x14ac:dyDescent="0.25"/>
    <row r="172" ht="21" customHeight="1" x14ac:dyDescent="0.25"/>
    <row r="173" ht="21" customHeight="1" x14ac:dyDescent="0.25"/>
    <row r="174" ht="21" customHeight="1" x14ac:dyDescent="0.25"/>
    <row r="175" ht="21" customHeight="1" x14ac:dyDescent="0.25"/>
    <row r="176" ht="21" customHeight="1" x14ac:dyDescent="0.25"/>
    <row r="177" ht="21" customHeight="1" x14ac:dyDescent="0.25"/>
    <row r="178" ht="21" customHeight="1" x14ac:dyDescent="0.25"/>
    <row r="179" ht="21" customHeight="1" x14ac:dyDescent="0.25"/>
    <row r="180" ht="21" customHeight="1" x14ac:dyDescent="0.25"/>
    <row r="181" ht="21" customHeight="1" x14ac:dyDescent="0.25"/>
    <row r="182" ht="21" customHeight="1" x14ac:dyDescent="0.25"/>
    <row r="183" ht="21" customHeight="1" x14ac:dyDescent="0.25"/>
    <row r="184" ht="21" customHeight="1" x14ac:dyDescent="0.25"/>
    <row r="185" ht="21" customHeight="1" x14ac:dyDescent="0.25"/>
    <row r="186" ht="21" customHeight="1" x14ac:dyDescent="0.25"/>
    <row r="187" ht="21" customHeight="1" x14ac:dyDescent="0.25"/>
    <row r="188" ht="21" customHeight="1" x14ac:dyDescent="0.25"/>
    <row r="189" ht="21" customHeight="1" x14ac:dyDescent="0.25"/>
    <row r="190" ht="21" customHeight="1" x14ac:dyDescent="0.25"/>
    <row r="191" ht="21" customHeight="1" x14ac:dyDescent="0.25"/>
    <row r="192" ht="21" customHeight="1" x14ac:dyDescent="0.25"/>
    <row r="193" ht="21" customHeight="1" x14ac:dyDescent="0.25"/>
    <row r="194" ht="21" customHeight="1" x14ac:dyDescent="0.25"/>
    <row r="195" ht="21" customHeight="1" x14ac:dyDescent="0.25"/>
    <row r="196" ht="21" customHeight="1" x14ac:dyDescent="0.25"/>
    <row r="197" ht="21" customHeight="1" x14ac:dyDescent="0.25"/>
    <row r="198" ht="21" customHeight="1" x14ac:dyDescent="0.25"/>
    <row r="199" ht="21" customHeight="1" x14ac:dyDescent="0.25"/>
    <row r="200" ht="21" customHeight="1" x14ac:dyDescent="0.25"/>
    <row r="201" ht="21" customHeight="1" x14ac:dyDescent="0.25"/>
    <row r="202" ht="21" customHeight="1" x14ac:dyDescent="0.25"/>
    <row r="203" ht="21" customHeight="1" x14ac:dyDescent="0.25"/>
    <row r="204" ht="21" customHeight="1" x14ac:dyDescent="0.25"/>
    <row r="205" ht="21" customHeight="1" x14ac:dyDescent="0.25"/>
    <row r="206" ht="21" customHeight="1" x14ac:dyDescent="0.25"/>
    <row r="207" ht="21" customHeight="1" x14ac:dyDescent="0.25"/>
    <row r="208" ht="21" customHeight="1" x14ac:dyDescent="0.25"/>
    <row r="209" ht="21" customHeight="1" x14ac:dyDescent="0.25"/>
    <row r="210" ht="21" customHeight="1" x14ac:dyDescent="0.25"/>
    <row r="211" ht="21" customHeight="1" x14ac:dyDescent="0.25"/>
    <row r="212" ht="21" customHeight="1" x14ac:dyDescent="0.25"/>
    <row r="213" ht="21" customHeight="1" x14ac:dyDescent="0.25"/>
    <row r="214" ht="21" customHeight="1" x14ac:dyDescent="0.25"/>
    <row r="215" ht="21" customHeight="1" x14ac:dyDescent="0.25"/>
    <row r="216" ht="21" customHeight="1" x14ac:dyDescent="0.25"/>
    <row r="217" ht="21" customHeight="1" x14ac:dyDescent="0.25"/>
    <row r="218" ht="21" customHeight="1" x14ac:dyDescent="0.25"/>
    <row r="219" ht="21" customHeight="1" x14ac:dyDescent="0.25"/>
    <row r="220" ht="21" customHeight="1" x14ac:dyDescent="0.25"/>
    <row r="221" ht="21" customHeight="1" x14ac:dyDescent="0.25"/>
    <row r="222" ht="21" customHeight="1" x14ac:dyDescent="0.25"/>
    <row r="223" ht="21" customHeight="1" x14ac:dyDescent="0.25"/>
    <row r="224" ht="21" customHeight="1" x14ac:dyDescent="0.25"/>
    <row r="225" ht="21" customHeight="1" x14ac:dyDescent="0.25"/>
    <row r="226" ht="21" customHeight="1" x14ac:dyDescent="0.25"/>
    <row r="227" ht="21" customHeight="1" x14ac:dyDescent="0.25"/>
    <row r="228" ht="21" customHeight="1" x14ac:dyDescent="0.25"/>
    <row r="229" ht="21" customHeight="1" x14ac:dyDescent="0.25"/>
    <row r="230" ht="21" customHeight="1" x14ac:dyDescent="0.25"/>
    <row r="231" ht="21" customHeight="1" x14ac:dyDescent="0.25"/>
    <row r="232" ht="21" customHeight="1" x14ac:dyDescent="0.25"/>
    <row r="233" ht="21" customHeight="1" x14ac:dyDescent="0.25"/>
    <row r="234" ht="21" customHeight="1" x14ac:dyDescent="0.25"/>
    <row r="235" ht="21" customHeight="1" x14ac:dyDescent="0.25"/>
    <row r="236" ht="21" customHeight="1" x14ac:dyDescent="0.25"/>
    <row r="237" ht="21" customHeight="1" x14ac:dyDescent="0.25"/>
    <row r="238" ht="21" customHeight="1" x14ac:dyDescent="0.25"/>
    <row r="239" ht="21" customHeight="1" x14ac:dyDescent="0.25"/>
    <row r="240" ht="21" customHeight="1" x14ac:dyDescent="0.25"/>
    <row r="241" ht="21" customHeight="1" x14ac:dyDescent="0.25"/>
    <row r="242" ht="21" customHeight="1" x14ac:dyDescent="0.25"/>
    <row r="243" ht="21" customHeight="1" x14ac:dyDescent="0.25"/>
    <row r="244" ht="21" customHeight="1" x14ac:dyDescent="0.25"/>
    <row r="245" ht="21" customHeight="1" x14ac:dyDescent="0.25"/>
    <row r="246" ht="21" customHeight="1" x14ac:dyDescent="0.25"/>
    <row r="247" ht="21" customHeight="1" x14ac:dyDescent="0.25"/>
    <row r="248" ht="21" customHeight="1" x14ac:dyDescent="0.25"/>
    <row r="249" ht="21" customHeight="1" x14ac:dyDescent="0.25"/>
    <row r="250" ht="21" customHeight="1" x14ac:dyDescent="0.25"/>
    <row r="251" ht="21" customHeight="1" x14ac:dyDescent="0.25"/>
    <row r="252" ht="21" customHeight="1" x14ac:dyDescent="0.25"/>
    <row r="253" ht="21" customHeight="1" x14ac:dyDescent="0.25"/>
    <row r="254" ht="21" customHeight="1" x14ac:dyDescent="0.25"/>
    <row r="255" ht="21" customHeight="1" x14ac:dyDescent="0.25"/>
    <row r="256" ht="21" customHeight="1" x14ac:dyDescent="0.25"/>
    <row r="257" ht="21" customHeight="1" x14ac:dyDescent="0.25"/>
    <row r="258" ht="21" customHeight="1" x14ac:dyDescent="0.25"/>
    <row r="259" ht="21" customHeight="1" x14ac:dyDescent="0.25"/>
    <row r="260" ht="21" customHeight="1" x14ac:dyDescent="0.25"/>
    <row r="261" ht="21" customHeight="1" x14ac:dyDescent="0.25"/>
    <row r="262" ht="21" customHeight="1" x14ac:dyDescent="0.25"/>
    <row r="263" ht="21" customHeight="1" x14ac:dyDescent="0.25"/>
    <row r="264" ht="21" customHeight="1" x14ac:dyDescent="0.25"/>
    <row r="265" ht="21" customHeight="1" x14ac:dyDescent="0.25"/>
    <row r="266" ht="21" customHeight="1" x14ac:dyDescent="0.25"/>
    <row r="267" ht="21" customHeight="1" x14ac:dyDescent="0.25"/>
    <row r="268" ht="21" customHeight="1" x14ac:dyDescent="0.25"/>
    <row r="269" ht="21" customHeight="1" x14ac:dyDescent="0.25"/>
    <row r="270" ht="21" customHeight="1" x14ac:dyDescent="0.25"/>
    <row r="271" ht="21" customHeight="1" x14ac:dyDescent="0.25"/>
    <row r="272" ht="21" customHeight="1" x14ac:dyDescent="0.25"/>
    <row r="273" ht="21" customHeight="1" x14ac:dyDescent="0.25"/>
    <row r="274" ht="21" customHeight="1" x14ac:dyDescent="0.25"/>
    <row r="275" ht="21" customHeight="1" x14ac:dyDescent="0.25"/>
    <row r="276" ht="21" customHeight="1" x14ac:dyDescent="0.25"/>
    <row r="277" ht="21" customHeight="1" x14ac:dyDescent="0.25"/>
    <row r="278" ht="21" customHeight="1" x14ac:dyDescent="0.25"/>
    <row r="279" ht="21" customHeight="1" x14ac:dyDescent="0.25"/>
    <row r="280" ht="21" customHeight="1" x14ac:dyDescent="0.25"/>
    <row r="281" ht="21" customHeight="1" x14ac:dyDescent="0.25"/>
    <row r="282" ht="21" customHeight="1" x14ac:dyDescent="0.25"/>
    <row r="283" ht="21" customHeight="1" x14ac:dyDescent="0.25"/>
    <row r="284" ht="21" customHeight="1" x14ac:dyDescent="0.25"/>
    <row r="285" ht="21" customHeight="1" x14ac:dyDescent="0.25"/>
    <row r="286" ht="21" customHeight="1" x14ac:dyDescent="0.25"/>
    <row r="287" ht="21" customHeight="1" x14ac:dyDescent="0.25"/>
    <row r="288" ht="21" customHeight="1" x14ac:dyDescent="0.25"/>
    <row r="289" ht="21" customHeight="1" x14ac:dyDescent="0.25"/>
    <row r="290" ht="21" customHeight="1" x14ac:dyDescent="0.25"/>
    <row r="291" ht="21" customHeight="1" x14ac:dyDescent="0.25"/>
    <row r="292" ht="21" customHeight="1" x14ac:dyDescent="0.25"/>
    <row r="293" ht="21" customHeight="1" x14ac:dyDescent="0.25"/>
    <row r="294" ht="21" customHeight="1" x14ac:dyDescent="0.25"/>
    <row r="295" ht="21" customHeight="1" x14ac:dyDescent="0.25"/>
    <row r="296" ht="21" customHeight="1" x14ac:dyDescent="0.25"/>
    <row r="297" ht="21" customHeight="1" x14ac:dyDescent="0.25"/>
    <row r="298" ht="21" customHeight="1" x14ac:dyDescent="0.25"/>
    <row r="299" ht="21" customHeight="1" x14ac:dyDescent="0.25"/>
    <row r="300" ht="21" customHeight="1" x14ac:dyDescent="0.25"/>
    <row r="301" ht="21" customHeight="1" x14ac:dyDescent="0.25"/>
    <row r="302" ht="21" customHeight="1" x14ac:dyDescent="0.25"/>
    <row r="303" ht="21" customHeight="1" x14ac:dyDescent="0.25"/>
    <row r="304" ht="21" customHeight="1" x14ac:dyDescent="0.25"/>
    <row r="305" ht="21" customHeight="1" x14ac:dyDescent="0.25"/>
    <row r="306" ht="21" customHeight="1" x14ac:dyDescent="0.25"/>
    <row r="307" ht="21" customHeight="1" x14ac:dyDescent="0.25"/>
    <row r="308" ht="21" customHeight="1" x14ac:dyDescent="0.25"/>
    <row r="309" ht="21" customHeight="1" x14ac:dyDescent="0.25"/>
    <row r="310" ht="21" customHeight="1" x14ac:dyDescent="0.25"/>
    <row r="311" ht="21" customHeight="1" x14ac:dyDescent="0.25"/>
    <row r="312" ht="21" customHeight="1" x14ac:dyDescent="0.25"/>
    <row r="313" ht="21" customHeight="1" x14ac:dyDescent="0.25"/>
    <row r="314" ht="21" customHeight="1" x14ac:dyDescent="0.25"/>
  </sheetData>
  <dataConsolidate/>
  <phoneticPr fontId="15" type="noConversion"/>
  <conditionalFormatting sqref="B4">
    <cfRule type="containsText" dxfId="63" priority="10" operator="containsText" text="&lt;now&gt;">
      <formula>NOT(ISERROR(SEARCH("&lt;now&gt;",B4)))</formula>
    </cfRule>
  </conditionalFormatting>
  <conditionalFormatting sqref="M4">
    <cfRule type="containsText" dxfId="62" priority="1" operator="containsText" text="Continuous">
      <formula>NOT(ISERROR(SEARCH("Continuous",M4)))</formula>
    </cfRule>
    <cfRule type="containsText" dxfId="61" priority="2" operator="containsText" text="Meta">
      <formula>NOT(ISERROR(SEARCH("Meta",M4)))</formula>
    </cfRule>
    <cfRule type="containsText" dxfId="60" priority="3" operator="containsText" text="Testing/Review">
      <formula>NOT(ISERROR(SEARCH("Testing/Review",M4)))</formula>
    </cfRule>
    <cfRule type="containsText" dxfId="59" priority="5" operator="containsText" text="Note">
      <formula>NOT(ISERROR(SEARCH("Note",M4)))</formula>
    </cfRule>
    <cfRule type="containsText" dxfId="58" priority="11" operator="containsText" text="Done">
      <formula>NOT(ISERROR(SEARCH("Done",M4)))</formula>
    </cfRule>
    <cfRule type="containsText" dxfId="57" priority="12" operator="containsText" text="In progress">
      <formula>NOT(ISERROR(SEARCH("In progress",M4)))</formula>
    </cfRule>
    <cfRule type="containsText" dxfId="56" priority="13" operator="containsText" text="To do">
      <formula>NOT(ISERROR(SEARCH("To do",M4)))</formula>
    </cfRule>
  </conditionalFormatting>
  <conditionalFormatting sqref="S4">
    <cfRule type="cellIs" dxfId="55" priority="4" operator="lessThan">
      <formula>TODAY()</formula>
    </cfRule>
  </conditionalFormatting>
  <conditionalFormatting sqref="U4">
    <cfRule type="colorScale" priority="4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Q2" xr:uid="{97887939-3BEB-4208-B392-81AF3EE745BF}">
      <formula1>"cumulative, single"</formula1>
    </dataValidation>
    <dataValidation type="list" allowBlank="1" showInputMessage="1" showErrorMessage="1" sqref="R2" xr:uid="{AE25932B-CEE6-4C5E-83FE-7FE3F6CE570D}">
      <formula1>"cumulative,single"</formula1>
    </dataValidation>
    <dataValidation type="list" allowBlank="1" showInputMessage="1" showErrorMessage="1" sqref="M4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T4" xr:uid="{EF0E1D2E-86B1-4293-9F35-7E68F3A9E7EB}">
      <formula1>ContributorVdata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46ED8468-99A0-43AE-9ED0-676177A8BB62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I4" xr:uid="{533891A5-B77F-4541-86D9-CC2258B9BB7B}">
      <formula1>_Tag_2Vdata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K4" xr:uid="{7935980D-69DB-49D5-878A-6F067971227F}">
      <formula1>_Tag_3Vdata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2</xdr:col>
                    <xdr:colOff>257175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1200150</xdr:colOff>
                    <xdr:row>0</xdr:row>
                    <xdr:rowOff>85725</xdr:rowOff>
                  </from>
                  <to>
                    <xdr:col>7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2124075</xdr:colOff>
                    <xdr:row>0</xdr:row>
                    <xdr:rowOff>352425</xdr:rowOff>
                  </from>
                  <to>
                    <xdr:col>4</xdr:col>
                    <xdr:colOff>1152525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2124075</xdr:colOff>
                    <xdr:row>0</xdr:row>
                    <xdr:rowOff>85725</xdr:rowOff>
                  </from>
                  <to>
                    <xdr:col>4</xdr:col>
                    <xdr:colOff>1152525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342900</xdr:colOff>
                    <xdr:row>0</xdr:row>
                    <xdr:rowOff>561975</xdr:rowOff>
                  </from>
                  <to>
                    <xdr:col>2</xdr:col>
                    <xdr:colOff>1781175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352425</xdr:colOff>
                    <xdr:row>0</xdr:row>
                    <xdr:rowOff>85725</xdr:rowOff>
                  </from>
                  <to>
                    <xdr:col>2</xdr:col>
                    <xdr:colOff>1790700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7</xdr:col>
                    <xdr:colOff>161925</xdr:colOff>
                    <xdr:row>0</xdr:row>
                    <xdr:rowOff>76200</xdr:rowOff>
                  </from>
                  <to>
                    <xdr:col>10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7</xdr:col>
                    <xdr:colOff>161925</xdr:colOff>
                    <xdr:row>0</xdr:row>
                    <xdr:rowOff>333375</xdr:rowOff>
                  </from>
                  <to>
                    <xdr:col>10</xdr:col>
                    <xdr:colOff>352425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10</xdr:col>
                    <xdr:colOff>409575</xdr:colOff>
                    <xdr:row>0</xdr:row>
                    <xdr:rowOff>66675</xdr:rowOff>
                  </from>
                  <to>
                    <xdr:col>13</xdr:col>
                    <xdr:colOff>628650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10</xdr:col>
                    <xdr:colOff>409575</xdr:colOff>
                    <xdr:row>0</xdr:row>
                    <xdr:rowOff>333375</xdr:rowOff>
                  </from>
                  <to>
                    <xdr:col>13</xdr:col>
                    <xdr:colOff>628650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1200150</xdr:colOff>
                    <xdr:row>0</xdr:row>
                    <xdr:rowOff>352425</xdr:rowOff>
                  </from>
                  <to>
                    <xdr:col>7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7</xdr:col>
                    <xdr:colOff>161925</xdr:colOff>
                    <xdr:row>0</xdr:row>
                    <xdr:rowOff>590550</xdr:rowOff>
                  </from>
                  <to>
                    <xdr:col>10</xdr:col>
                    <xdr:colOff>352425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ResetListFormat">
                <anchor>
                  <from>
                    <xdr:col>10</xdr:col>
                    <xdr:colOff>419100</xdr:colOff>
                    <xdr:row>0</xdr:row>
                    <xdr:rowOff>590550</xdr:rowOff>
                  </from>
                  <to>
                    <xdr:col>13</xdr:col>
                    <xdr:colOff>638175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E5673-3B9C-4BB9-AD9C-8055D16D80D9}">
  <sheetPr codeName="EbsSheetTemplate1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74</v>
      </c>
      <c r="F15" s="1" t="s">
        <v>75</v>
      </c>
      <c r="G15" s="57"/>
      <c r="H15" s="57"/>
    </row>
    <row r="16" spans="5:8" x14ac:dyDescent="0.25">
      <c r="E16" s="15" t="s">
        <v>73</v>
      </c>
      <c r="F16" s="1" t="s">
        <v>36</v>
      </c>
      <c r="G16" s="57"/>
      <c r="H16" s="57"/>
    </row>
    <row r="17" spans="1:20" x14ac:dyDescent="0.25">
      <c r="J17" s="11" t="s">
        <v>43</v>
      </c>
      <c r="K17" s="11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3" t="s">
        <v>38</v>
      </c>
      <c r="N18" s="3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A19" t="s">
        <v>129</v>
      </c>
      <c r="B19" s="18">
        <v>44075.028703703705</v>
      </c>
      <c r="C19" t="s">
        <v>263</v>
      </c>
      <c r="D19" t="s">
        <v>26</v>
      </c>
      <c r="E19" t="s">
        <v>261</v>
      </c>
      <c r="F19" t="s">
        <v>361</v>
      </c>
      <c r="G19" t="s">
        <v>362</v>
      </c>
      <c r="H19" t="s">
        <v>264</v>
      </c>
      <c r="J19" t="s">
        <v>129</v>
      </c>
      <c r="K19" t="s">
        <v>259</v>
      </c>
      <c r="L19">
        <v>5</v>
      </c>
      <c r="M19" s="3">
        <v>8.8888888712972403E-3</v>
      </c>
      <c r="N19" s="3">
        <v>1</v>
      </c>
      <c r="O19" t="s">
        <v>266</v>
      </c>
      <c r="P19" t="s">
        <v>267</v>
      </c>
      <c r="Q19" t="s">
        <v>267</v>
      </c>
      <c r="R19" t="s">
        <v>261</v>
      </c>
      <c r="S19" t="s">
        <v>268</v>
      </c>
      <c r="T19" t="s">
        <v>269</v>
      </c>
    </row>
    <row r="20" spans="1:20" x14ac:dyDescent="0.25">
      <c r="B20" s="18"/>
      <c r="J20" t="s">
        <v>130</v>
      </c>
      <c r="K20" t="s">
        <v>258</v>
      </c>
      <c r="L20">
        <v>6</v>
      </c>
      <c r="M20" s="3">
        <v>1.5</v>
      </c>
      <c r="N20" s="3">
        <v>2</v>
      </c>
      <c r="O20" t="s">
        <v>270</v>
      </c>
      <c r="P20" t="s">
        <v>271</v>
      </c>
      <c r="Q20" t="s">
        <v>272</v>
      </c>
      <c r="R20" t="s">
        <v>261</v>
      </c>
      <c r="S20" t="s">
        <v>273</v>
      </c>
      <c r="T20" t="s">
        <v>274</v>
      </c>
    </row>
    <row r="21" spans="1:20" x14ac:dyDescent="0.25">
      <c r="B21" s="18"/>
      <c r="J21" t="s">
        <v>238</v>
      </c>
      <c r="K21" t="s">
        <v>257</v>
      </c>
      <c r="L21">
        <v>7</v>
      </c>
      <c r="M21" s="3">
        <v>7.7519444446661501</v>
      </c>
      <c r="N21" s="3">
        <v>2</v>
      </c>
      <c r="O21" t="s">
        <v>275</v>
      </c>
      <c r="P21" t="s">
        <v>262</v>
      </c>
      <c r="Q21" t="s">
        <v>272</v>
      </c>
      <c r="R21" t="s">
        <v>261</v>
      </c>
      <c r="S21" t="s">
        <v>273</v>
      </c>
      <c r="T21" t="s">
        <v>274</v>
      </c>
    </row>
    <row r="22" spans="1:20" x14ac:dyDescent="0.25">
      <c r="B22" s="18"/>
      <c r="J22" t="s">
        <v>237</v>
      </c>
      <c r="K22" t="s">
        <v>256</v>
      </c>
      <c r="L22">
        <v>9</v>
      </c>
      <c r="M22" s="3">
        <v>18.9572222228744</v>
      </c>
      <c r="N22" s="3">
        <v>12</v>
      </c>
      <c r="O22" t="s">
        <v>276</v>
      </c>
      <c r="P22" t="s">
        <v>277</v>
      </c>
      <c r="Q22" t="s">
        <v>278</v>
      </c>
      <c r="R22" t="s">
        <v>261</v>
      </c>
      <c r="S22" t="s">
        <v>279</v>
      </c>
      <c r="T22" t="s">
        <v>280</v>
      </c>
    </row>
    <row r="23" spans="1:20" x14ac:dyDescent="0.25">
      <c r="B23" s="18"/>
      <c r="J23" t="s">
        <v>236</v>
      </c>
      <c r="K23" t="s">
        <v>255</v>
      </c>
      <c r="L23">
        <v>10</v>
      </c>
      <c r="M23" s="3">
        <v>1.7508333332953001</v>
      </c>
      <c r="N23" s="3">
        <v>3</v>
      </c>
      <c r="O23" t="s">
        <v>281</v>
      </c>
      <c r="P23" t="s">
        <v>282</v>
      </c>
      <c r="Q23" t="s">
        <v>283</v>
      </c>
      <c r="R23" t="s">
        <v>261</v>
      </c>
      <c r="S23" t="s">
        <v>284</v>
      </c>
      <c r="T23" t="s">
        <v>285</v>
      </c>
    </row>
    <row r="24" spans="1:20" x14ac:dyDescent="0.25">
      <c r="B24" s="18"/>
      <c r="J24" t="s">
        <v>235</v>
      </c>
      <c r="K24" t="s">
        <v>254</v>
      </c>
      <c r="L24">
        <v>12</v>
      </c>
      <c r="M24" s="3">
        <v>8.9955555555643496</v>
      </c>
      <c r="N24" s="3">
        <v>3</v>
      </c>
      <c r="O24" t="s">
        <v>286</v>
      </c>
      <c r="P24" t="s">
        <v>287</v>
      </c>
      <c r="Q24" t="s">
        <v>288</v>
      </c>
      <c r="R24" t="s">
        <v>261</v>
      </c>
      <c r="S24" t="s">
        <v>284</v>
      </c>
      <c r="T24" t="s">
        <v>285</v>
      </c>
    </row>
    <row r="25" spans="1:20" x14ac:dyDescent="0.25">
      <c r="B25" s="18"/>
      <c r="J25" t="s">
        <v>234</v>
      </c>
      <c r="K25" t="s">
        <v>253</v>
      </c>
      <c r="L25">
        <v>13</v>
      </c>
      <c r="M25" s="3">
        <v>18.9572222228744</v>
      </c>
      <c r="N25" s="3">
        <v>12</v>
      </c>
      <c r="O25" t="s">
        <v>289</v>
      </c>
      <c r="P25" t="s">
        <v>290</v>
      </c>
      <c r="Q25" t="s">
        <v>291</v>
      </c>
      <c r="R25" t="s">
        <v>261</v>
      </c>
      <c r="S25" t="s">
        <v>292</v>
      </c>
      <c r="T25" t="s">
        <v>293</v>
      </c>
    </row>
    <row r="26" spans="1:20" x14ac:dyDescent="0.25">
      <c r="B26" s="18"/>
      <c r="J26" t="s">
        <v>233</v>
      </c>
      <c r="K26" t="s">
        <v>246</v>
      </c>
      <c r="L26">
        <v>20</v>
      </c>
      <c r="M26" s="3">
        <v>0</v>
      </c>
      <c r="N26" s="3">
        <v>0.5</v>
      </c>
      <c r="O26" t="s">
        <v>294</v>
      </c>
      <c r="P26" t="s">
        <v>294</v>
      </c>
      <c r="Q26" t="s">
        <v>295</v>
      </c>
      <c r="R26" t="s">
        <v>261</v>
      </c>
      <c r="S26" t="s">
        <v>296</v>
      </c>
      <c r="T26" t="s">
        <v>297</v>
      </c>
    </row>
    <row r="27" spans="1:20" x14ac:dyDescent="0.25">
      <c r="B27" s="18"/>
      <c r="J27" t="s">
        <v>232</v>
      </c>
      <c r="K27" t="s">
        <v>251</v>
      </c>
      <c r="L27">
        <v>24</v>
      </c>
      <c r="M27" s="3">
        <v>0</v>
      </c>
      <c r="N27" s="3">
        <v>15</v>
      </c>
      <c r="O27" t="s">
        <v>298</v>
      </c>
      <c r="P27" t="s">
        <v>298</v>
      </c>
      <c r="Q27" t="s">
        <v>299</v>
      </c>
      <c r="R27" t="s">
        <v>261</v>
      </c>
      <c r="S27" t="s">
        <v>300</v>
      </c>
      <c r="T27" t="s">
        <v>301</v>
      </c>
    </row>
    <row r="28" spans="1:20" x14ac:dyDescent="0.25">
      <c r="B28" s="18"/>
      <c r="J28" t="s">
        <v>231</v>
      </c>
      <c r="K28" t="s">
        <v>252</v>
      </c>
      <c r="L28">
        <v>27</v>
      </c>
      <c r="M28" s="3">
        <v>0</v>
      </c>
      <c r="N28" s="3">
        <v>3</v>
      </c>
      <c r="O28" t="s">
        <v>302</v>
      </c>
      <c r="P28" t="s">
        <v>302</v>
      </c>
      <c r="Q28" t="s">
        <v>303</v>
      </c>
      <c r="R28" t="s">
        <v>261</v>
      </c>
      <c r="S28" t="s">
        <v>304</v>
      </c>
      <c r="T28" t="s">
        <v>305</v>
      </c>
    </row>
    <row r="29" spans="1:20" x14ac:dyDescent="0.25">
      <c r="B29" s="18"/>
      <c r="J29" t="s">
        <v>230</v>
      </c>
      <c r="K29" t="s">
        <v>260</v>
      </c>
      <c r="L29">
        <v>30</v>
      </c>
      <c r="M29" s="3">
        <v>0</v>
      </c>
      <c r="N29" s="3">
        <v>2</v>
      </c>
      <c r="O29" t="s">
        <v>306</v>
      </c>
      <c r="P29" t="s">
        <v>306</v>
      </c>
      <c r="Q29" t="s">
        <v>307</v>
      </c>
      <c r="R29" t="s">
        <v>261</v>
      </c>
      <c r="S29" t="s">
        <v>308</v>
      </c>
      <c r="T29" t="s">
        <v>309</v>
      </c>
    </row>
    <row r="30" spans="1:20" x14ac:dyDescent="0.25">
      <c r="B30" s="18"/>
      <c r="J30" t="s">
        <v>229</v>
      </c>
      <c r="K30" t="s">
        <v>250</v>
      </c>
      <c r="L30">
        <v>33</v>
      </c>
      <c r="M30" s="3">
        <v>0.53666666656499695</v>
      </c>
      <c r="N30" s="3">
        <v>2</v>
      </c>
      <c r="O30" t="s">
        <v>310</v>
      </c>
      <c r="P30" t="s">
        <v>311</v>
      </c>
      <c r="Q30" t="s">
        <v>312</v>
      </c>
      <c r="R30" t="s">
        <v>261</v>
      </c>
      <c r="S30" t="s">
        <v>313</v>
      </c>
      <c r="T30" t="s">
        <v>314</v>
      </c>
    </row>
    <row r="31" spans="1:20" x14ac:dyDescent="0.25">
      <c r="B31" s="18"/>
      <c r="J31" t="s">
        <v>228</v>
      </c>
      <c r="K31" t="s">
        <v>249</v>
      </c>
      <c r="L31">
        <v>35</v>
      </c>
      <c r="M31" s="3">
        <v>0.74999999982537702</v>
      </c>
      <c r="N31" s="3">
        <v>2</v>
      </c>
      <c r="O31" t="s">
        <v>315</v>
      </c>
      <c r="P31" t="s">
        <v>316</v>
      </c>
      <c r="Q31" t="s">
        <v>317</v>
      </c>
      <c r="R31" t="s">
        <v>261</v>
      </c>
      <c r="S31" t="s">
        <v>318</v>
      </c>
      <c r="T31" t="s">
        <v>319</v>
      </c>
    </row>
    <row r="32" spans="1:20" x14ac:dyDescent="0.25">
      <c r="B32" s="18"/>
      <c r="J32" t="s">
        <v>227</v>
      </c>
      <c r="K32" t="s">
        <v>248</v>
      </c>
      <c r="L32">
        <v>38</v>
      </c>
      <c r="M32" s="3">
        <v>0.77611111110309094</v>
      </c>
      <c r="N32" s="3">
        <v>7</v>
      </c>
      <c r="O32" t="s">
        <v>320</v>
      </c>
      <c r="P32" t="s">
        <v>321</v>
      </c>
      <c r="Q32" t="s">
        <v>322</v>
      </c>
      <c r="R32" t="s">
        <v>261</v>
      </c>
      <c r="S32" t="s">
        <v>323</v>
      </c>
      <c r="T32" t="s">
        <v>324</v>
      </c>
    </row>
    <row r="33" spans="2:20" x14ac:dyDescent="0.25">
      <c r="B33" s="18"/>
      <c r="J33" t="s">
        <v>226</v>
      </c>
      <c r="K33" t="s">
        <v>247</v>
      </c>
      <c r="L33">
        <v>39</v>
      </c>
      <c r="M33" s="3">
        <v>0</v>
      </c>
      <c r="N33" s="3">
        <v>1</v>
      </c>
      <c r="O33" t="s">
        <v>325</v>
      </c>
      <c r="P33" t="s">
        <v>325</v>
      </c>
      <c r="Q33" t="s">
        <v>326</v>
      </c>
      <c r="R33" t="s">
        <v>261</v>
      </c>
      <c r="S33" t="s">
        <v>327</v>
      </c>
      <c r="T33" t="s">
        <v>328</v>
      </c>
    </row>
    <row r="34" spans="2:20" x14ac:dyDescent="0.25">
      <c r="B34" s="18"/>
      <c r="J34" t="s">
        <v>225</v>
      </c>
      <c r="K34" t="s">
        <v>245</v>
      </c>
      <c r="L34">
        <v>40</v>
      </c>
      <c r="M34" s="3">
        <v>2.4999999997671698</v>
      </c>
      <c r="N34" s="3">
        <v>5</v>
      </c>
      <c r="O34" t="s">
        <v>329</v>
      </c>
      <c r="P34" t="s">
        <v>330</v>
      </c>
      <c r="Q34" t="s">
        <v>331</v>
      </c>
      <c r="R34" t="s">
        <v>261</v>
      </c>
      <c r="S34" t="s">
        <v>332</v>
      </c>
      <c r="T34" t="s">
        <v>333</v>
      </c>
    </row>
    <row r="35" spans="2:20" x14ac:dyDescent="0.25">
      <c r="B35" s="18"/>
      <c r="J35" t="s">
        <v>224</v>
      </c>
      <c r="K35" t="s">
        <v>244</v>
      </c>
      <c r="L35">
        <v>42</v>
      </c>
      <c r="M35" s="3">
        <v>5.0286111110472103</v>
      </c>
      <c r="N35" s="3">
        <v>9</v>
      </c>
      <c r="O35" t="s">
        <v>334</v>
      </c>
      <c r="P35" t="s">
        <v>335</v>
      </c>
      <c r="Q35" t="s">
        <v>336</v>
      </c>
      <c r="R35" t="s">
        <v>261</v>
      </c>
      <c r="S35" t="s">
        <v>337</v>
      </c>
      <c r="T35" t="s">
        <v>338</v>
      </c>
    </row>
    <row r="36" spans="2:20" x14ac:dyDescent="0.25">
      <c r="B36" s="18"/>
      <c r="J36" t="s">
        <v>223</v>
      </c>
      <c r="K36" t="s">
        <v>243</v>
      </c>
      <c r="L36">
        <v>43</v>
      </c>
      <c r="M36" s="3">
        <v>1.0922222222434399</v>
      </c>
      <c r="N36" s="3">
        <v>4</v>
      </c>
      <c r="O36" t="s">
        <v>339</v>
      </c>
      <c r="P36" t="s">
        <v>340</v>
      </c>
      <c r="Q36" t="s">
        <v>341</v>
      </c>
      <c r="R36" t="s">
        <v>261</v>
      </c>
      <c r="S36" t="s">
        <v>342</v>
      </c>
      <c r="T36" t="s">
        <v>343</v>
      </c>
    </row>
    <row r="37" spans="2:20" x14ac:dyDescent="0.25">
      <c r="B37" s="18"/>
      <c r="J37" t="s">
        <v>222</v>
      </c>
      <c r="K37" t="s">
        <v>242</v>
      </c>
      <c r="L37">
        <v>45</v>
      </c>
      <c r="M37" s="3">
        <v>0.250277777784504</v>
      </c>
      <c r="N37" s="3">
        <v>1</v>
      </c>
      <c r="O37" t="s">
        <v>344</v>
      </c>
      <c r="P37" t="s">
        <v>345</v>
      </c>
      <c r="Q37" t="s">
        <v>346</v>
      </c>
      <c r="R37" t="s">
        <v>261</v>
      </c>
      <c r="S37" t="s">
        <v>347</v>
      </c>
      <c r="T37" t="s">
        <v>348</v>
      </c>
    </row>
    <row r="38" spans="2:20" x14ac:dyDescent="0.25">
      <c r="B38" s="18"/>
      <c r="J38" t="s">
        <v>221</v>
      </c>
      <c r="K38" t="s">
        <v>241</v>
      </c>
      <c r="L38">
        <v>47</v>
      </c>
      <c r="M38" s="3">
        <v>0.50027777790091899</v>
      </c>
      <c r="N38" s="3">
        <v>1.5</v>
      </c>
      <c r="O38" t="s">
        <v>349</v>
      </c>
      <c r="P38" t="s">
        <v>350</v>
      </c>
      <c r="Q38" t="s">
        <v>351</v>
      </c>
      <c r="R38" t="s">
        <v>261</v>
      </c>
      <c r="S38" t="s">
        <v>352</v>
      </c>
      <c r="T38" t="s">
        <v>353</v>
      </c>
    </row>
    <row r="39" spans="2:20" x14ac:dyDescent="0.25">
      <c r="B39" s="18"/>
      <c r="J39" t="s">
        <v>220</v>
      </c>
      <c r="K39" t="s">
        <v>240</v>
      </c>
      <c r="L39">
        <v>48</v>
      </c>
      <c r="M39" s="3">
        <v>0</v>
      </c>
      <c r="N39" s="3">
        <v>1</v>
      </c>
      <c r="O39" t="s">
        <v>354</v>
      </c>
      <c r="P39" t="s">
        <v>354</v>
      </c>
      <c r="Q39" t="s">
        <v>355</v>
      </c>
      <c r="R39" t="s">
        <v>261</v>
      </c>
      <c r="S39" t="s">
        <v>356</v>
      </c>
      <c r="T39" t="s">
        <v>357</v>
      </c>
    </row>
    <row r="40" spans="2:20" x14ac:dyDescent="0.25">
      <c r="B40" s="18"/>
      <c r="J40" t="s">
        <v>219</v>
      </c>
      <c r="K40" t="s">
        <v>239</v>
      </c>
      <c r="L40">
        <v>49</v>
      </c>
      <c r="M40" s="3">
        <v>3.9072222224785902</v>
      </c>
      <c r="N40" s="3">
        <v>2</v>
      </c>
      <c r="O40" t="s">
        <v>358</v>
      </c>
      <c r="P40" t="s">
        <v>359</v>
      </c>
      <c r="Q40" t="s">
        <v>360</v>
      </c>
      <c r="R40" t="s">
        <v>261</v>
      </c>
      <c r="S40" t="s">
        <v>361</v>
      </c>
      <c r="T40" t="s">
        <v>362</v>
      </c>
    </row>
    <row r="41" spans="2:20" x14ac:dyDescent="0.25">
      <c r="B41" s="18"/>
      <c r="M41" s="3"/>
      <c r="N41" s="3"/>
    </row>
    <row r="42" spans="2:20" x14ac:dyDescent="0.25">
      <c r="B42" s="18"/>
      <c r="M42" s="3"/>
      <c r="N42" s="3"/>
    </row>
    <row r="43" spans="2:20" x14ac:dyDescent="0.25">
      <c r="B43" s="18"/>
      <c r="M43" s="3"/>
      <c r="N43" s="3"/>
    </row>
    <row r="44" spans="2:20" x14ac:dyDescent="0.25">
      <c r="M44" s="3"/>
      <c r="N44" s="3"/>
    </row>
    <row r="46" spans="2:20" x14ac:dyDescent="0.25">
      <c r="B46" s="18"/>
    </row>
    <row r="47" spans="2:20" x14ac:dyDescent="0.25">
      <c r="B47" s="18"/>
    </row>
    <row r="48" spans="2:20" x14ac:dyDescent="0.25">
      <c r="B48" s="18"/>
    </row>
  </sheetData>
  <mergeCells count="2">
    <mergeCell ref="F15:H15"/>
    <mergeCell ref="F16:H16"/>
  </mergeCells>
  <conditionalFormatting sqref="D1:D1048576">
    <cfRule type="containsText" dxfId="31" priority="1" operator="containsText" text="No">
      <formula>NOT(ISERROR(SEARCH("No",D1)))</formula>
    </cfRule>
    <cfRule type="containsText" dxfId="30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04BA2B8D-5B39-4708-A6E4-58EDAB0F07AE}">
      <formula1>"Yes,No"</formula1>
    </dataValidation>
    <dataValidation type="list" allowBlank="1" showInputMessage="1" showErrorMessage="1" sqref="F16" xr:uid="{E7404B78-0FE4-48D2-B193-F0B8405FBB7C}">
      <formula1>"Time,Date"</formula1>
    </dataValidation>
    <dataValidation type="list" allowBlank="1" showInputMessage="1" showErrorMessage="1" sqref="F15:H15" xr:uid="{CB167BCB-5256-48F7-B23F-03D0E6B468A6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G18" sqref="G18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1" t="s">
        <v>103</v>
      </c>
    </row>
    <row r="2" spans="1:4" x14ac:dyDescent="0.25">
      <c r="A2" s="11"/>
    </row>
    <row r="3" spans="1:4" x14ac:dyDescent="0.25">
      <c r="A3" t="s">
        <v>104</v>
      </c>
      <c r="B3" s="30">
        <v>44072</v>
      </c>
      <c r="C3" s="28"/>
      <c r="D3" s="28"/>
    </row>
    <row r="4" spans="1:4" x14ac:dyDescent="0.25">
      <c r="A4" t="s">
        <v>105</v>
      </c>
      <c r="B4" s="30">
        <v>44073</v>
      </c>
      <c r="C4" s="28"/>
      <c r="D4" s="28"/>
    </row>
    <row r="5" spans="1:4" x14ac:dyDescent="0.25">
      <c r="A5" t="s">
        <v>106</v>
      </c>
      <c r="B5" s="27" t="s">
        <v>131</v>
      </c>
      <c r="C5" s="28"/>
      <c r="D5" s="28"/>
    </row>
    <row r="6" spans="1:4" ht="27" customHeight="1" x14ac:dyDescent="0.25"/>
    <row r="8" spans="1:4" ht="15.75" thickBot="1" x14ac:dyDescent="0.3">
      <c r="A8" s="29" t="s">
        <v>108</v>
      </c>
      <c r="B8" s="29" t="s">
        <v>102</v>
      </c>
      <c r="C8" s="34" t="s">
        <v>101</v>
      </c>
      <c r="D8" s="29" t="s">
        <v>107</v>
      </c>
    </row>
    <row r="9" spans="1:4" x14ac:dyDescent="0.25">
      <c r="A9" s="31" t="s">
        <v>129</v>
      </c>
      <c r="B9" s="32">
        <v>44072</v>
      </c>
      <c r="C9" s="32">
        <v>44073</v>
      </c>
      <c r="D9" s="33">
        <v>5.5555568542331501E-4</v>
      </c>
    </row>
    <row r="10" spans="1:4" x14ac:dyDescent="0.25">
      <c r="A10" s="31" t="s">
        <v>130</v>
      </c>
      <c r="B10" s="32">
        <v>44073</v>
      </c>
      <c r="C10" s="32">
        <v>44073</v>
      </c>
      <c r="D10" s="33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topLeftCell="A2" workbookViewId="0">
      <selection activeCell="E7" sqref="E7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5" t="s">
        <v>24</v>
      </c>
    </row>
    <row r="2" spans="1:10" x14ac:dyDescent="0.25">
      <c r="H2" s="26" t="s">
        <v>100</v>
      </c>
    </row>
    <row r="3" spans="1:10" x14ac:dyDescent="0.25">
      <c r="A3" t="s">
        <v>14</v>
      </c>
      <c r="B3" s="3" t="s">
        <v>60</v>
      </c>
      <c r="C3" s="3" t="s">
        <v>86</v>
      </c>
      <c r="D3" s="3" t="s">
        <v>87</v>
      </c>
      <c r="E3" s="3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 x14ac:dyDescent="0.25">
      <c r="A4" t="s">
        <v>18</v>
      </c>
      <c r="B4" s="13" t="s">
        <v>127</v>
      </c>
      <c r="C4" t="s">
        <v>125</v>
      </c>
      <c r="D4" t="s">
        <v>126</v>
      </c>
      <c r="E4" s="14" t="s">
        <v>82</v>
      </c>
      <c r="F4" s="14">
        <v>0.33333333333333331</v>
      </c>
      <c r="G4" s="14">
        <v>0.77083333333333337</v>
      </c>
      <c r="H4" t="s">
        <v>64</v>
      </c>
      <c r="I4" s="3">
        <v>0.25</v>
      </c>
      <c r="J4" s="3">
        <f>5/60</f>
        <v>8.3333333333333329E-2</v>
      </c>
    </row>
    <row r="5" spans="1:10" x14ac:dyDescent="0.25">
      <c r="B5" s="13"/>
      <c r="E5" s="14"/>
      <c r="F5" s="14"/>
      <c r="G5" s="14"/>
      <c r="I5" s="3"/>
      <c r="J5" s="3"/>
    </row>
    <row r="6" spans="1:10" x14ac:dyDescent="0.25">
      <c r="A6" t="s">
        <v>110</v>
      </c>
      <c r="B6" s="20" t="s">
        <v>109</v>
      </c>
      <c r="E6" s="14"/>
      <c r="F6" s="14"/>
      <c r="G6" s="14"/>
      <c r="I6" s="3"/>
      <c r="J6" s="3"/>
    </row>
    <row r="7" spans="1:10" x14ac:dyDescent="0.25">
      <c r="B7" s="6"/>
      <c r="C7" s="6"/>
      <c r="D7" s="6"/>
      <c r="E7" s="6"/>
    </row>
    <row r="8" spans="1:10" x14ac:dyDescent="0.25">
      <c r="A8" t="s">
        <v>78</v>
      </c>
      <c r="B8" s="20"/>
      <c r="C8" s="6"/>
      <c r="D8" s="6"/>
      <c r="E8" s="6"/>
    </row>
    <row r="9" spans="1:10" x14ac:dyDescent="0.25">
      <c r="A9" t="s">
        <v>79</v>
      </c>
      <c r="B9" s="22"/>
      <c r="C9" s="6"/>
      <c r="D9" s="6"/>
    </row>
    <row r="10" spans="1:10" x14ac:dyDescent="0.25">
      <c r="A10" t="s">
        <v>80</v>
      </c>
      <c r="B10" s="21"/>
      <c r="C10" s="6"/>
      <c r="D10" s="6"/>
      <c r="E10" s="6"/>
    </row>
    <row r="12" spans="1:10" x14ac:dyDescent="0.25">
      <c r="B12" t="s">
        <v>89</v>
      </c>
      <c r="C12" t="s">
        <v>125</v>
      </c>
    </row>
    <row r="13" spans="1:10" x14ac:dyDescent="0.25">
      <c r="B13" t="s">
        <v>88</v>
      </c>
      <c r="C13" t="s">
        <v>126</v>
      </c>
      <c r="D13" s="3"/>
      <c r="E13" s="3"/>
    </row>
    <row r="14" spans="1:10" x14ac:dyDescent="0.25">
      <c r="B14" s="3" t="s">
        <v>90</v>
      </c>
      <c r="C14" s="13" t="s">
        <v>127</v>
      </c>
    </row>
    <row r="17" spans="1:2" x14ac:dyDescent="0.25">
      <c r="A17" t="s">
        <v>83</v>
      </c>
    </row>
    <row r="19" spans="1:2" x14ac:dyDescent="0.25">
      <c r="A19" s="11" t="s">
        <v>144</v>
      </c>
    </row>
    <row r="20" spans="1:2" x14ac:dyDescent="0.25">
      <c r="A20" s="11"/>
    </row>
    <row r="21" spans="1:2" x14ac:dyDescent="0.25">
      <c r="B21" t="s">
        <v>142</v>
      </c>
    </row>
    <row r="23" spans="1:2" x14ac:dyDescent="0.25">
      <c r="B23" t="s">
        <v>143</v>
      </c>
    </row>
    <row r="25" spans="1:2" x14ac:dyDescent="0.25">
      <c r="A25" t="s">
        <v>112</v>
      </c>
      <c r="B25" s="20" t="s">
        <v>145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B18" sqref="B18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113</v>
      </c>
      <c r="B3" t="s">
        <v>116</v>
      </c>
      <c r="C3" t="s">
        <v>114</v>
      </c>
      <c r="D3" t="s">
        <v>117</v>
      </c>
      <c r="E3" t="s">
        <v>115</v>
      </c>
    </row>
    <row r="4" spans="1:5" x14ac:dyDescent="0.25">
      <c r="B4" s="2"/>
    </row>
  </sheetData>
  <conditionalFormatting sqref="E4">
    <cfRule type="containsText" dxfId="14" priority="1" operator="containsText" text="Verbose">
      <formula>NOT(ISERROR(SEARCH("Verbose",E4)))</formula>
    </cfRule>
    <cfRule type="containsText" dxfId="13" priority="2" operator="containsText" text="Info">
      <formula>NOT(ISERROR(SEARCH("Info",E4)))</formula>
    </cfRule>
    <cfRule type="containsText" dxfId="12" priority="3" operator="containsText" text="Warning">
      <formula>NOT(ISERROR(SEARCH("Warning",E4)))</formula>
    </cfRule>
    <cfRule type="containsText" dxfId="11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A14" sqref="A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5" t="s">
        <v>24</v>
      </c>
      <c r="I1" t="s">
        <v>140</v>
      </c>
      <c r="J1" t="s">
        <v>141</v>
      </c>
    </row>
    <row r="2" spans="1:13" x14ac:dyDescent="0.25">
      <c r="A2" t="s">
        <v>3</v>
      </c>
      <c r="B2" t="s">
        <v>92</v>
      </c>
    </row>
    <row r="3" spans="1:13" x14ac:dyDescent="0.25">
      <c r="A3" t="s">
        <v>77</v>
      </c>
      <c r="B3" s="3" t="s">
        <v>92</v>
      </c>
      <c r="C3" t="s">
        <v>4</v>
      </c>
    </row>
    <row r="4" spans="1:13" x14ac:dyDescent="0.25">
      <c r="A4" t="s">
        <v>0</v>
      </c>
      <c r="B4" s="3">
        <f>SUM(TimeEntries[Time delta in h])</f>
        <v>0</v>
      </c>
      <c r="C4" t="s">
        <v>4</v>
      </c>
    </row>
    <row r="5" spans="1:13" x14ac:dyDescent="0.25">
      <c r="A5" t="s">
        <v>13</v>
      </c>
      <c r="B5" s="6" t="s">
        <v>92</v>
      </c>
    </row>
    <row r="6" spans="1:13" x14ac:dyDescent="0.25">
      <c r="A6" t="s">
        <v>14</v>
      </c>
      <c r="B6" s="6" t="s">
        <v>18</v>
      </c>
    </row>
    <row r="7" spans="1:13" x14ac:dyDescent="0.25">
      <c r="A7" t="s">
        <v>1</v>
      </c>
      <c r="B7" t="s">
        <v>91</v>
      </c>
    </row>
    <row r="8" spans="1:13" x14ac:dyDescent="0.25">
      <c r="A8" t="s">
        <v>15</v>
      </c>
      <c r="B8" s="6" t="s">
        <v>92</v>
      </c>
    </row>
    <row r="9" spans="1:13" x14ac:dyDescent="0.25">
      <c r="A9" t="s">
        <v>2</v>
      </c>
    </row>
    <row r="10" spans="1:13" x14ac:dyDescent="0.25">
      <c r="A10" t="s">
        <v>46</v>
      </c>
      <c r="B10" t="s">
        <v>92</v>
      </c>
    </row>
    <row r="11" spans="1:13" x14ac:dyDescent="0.25">
      <c r="A11" t="s">
        <v>5</v>
      </c>
      <c r="B11" s="3" t="e">
        <f>B3/SUM(TimeEntries[Time delta in h])</f>
        <v>#VALUE!</v>
      </c>
      <c r="C11" t="s">
        <v>6</v>
      </c>
    </row>
    <row r="12" spans="1:13" x14ac:dyDescent="0.25">
      <c r="A12" t="s">
        <v>93</v>
      </c>
    </row>
    <row r="13" spans="1:13" x14ac:dyDescent="0.25">
      <c r="A13" t="s">
        <v>94</v>
      </c>
    </row>
    <row r="14" spans="1:13" x14ac:dyDescent="0.25">
      <c r="A14" t="s">
        <v>132</v>
      </c>
      <c r="B14" t="s">
        <v>92</v>
      </c>
    </row>
    <row r="16" spans="1:13" x14ac:dyDescent="0.25">
      <c r="A16" t="s">
        <v>10</v>
      </c>
      <c r="B16" t="s">
        <v>7</v>
      </c>
      <c r="C16" t="s">
        <v>8</v>
      </c>
      <c r="D16" t="s">
        <v>9</v>
      </c>
      <c r="E16" t="s">
        <v>139</v>
      </c>
      <c r="F16" t="s">
        <v>84</v>
      </c>
      <c r="G16" t="s">
        <v>85</v>
      </c>
      <c r="I16" t="s">
        <v>70</v>
      </c>
      <c r="J16" s="16" t="s">
        <v>68</v>
      </c>
      <c r="K16" s="3" t="s">
        <v>69</v>
      </c>
      <c r="L16" t="s">
        <v>71</v>
      </c>
      <c r="M16" t="s">
        <v>72</v>
      </c>
    </row>
    <row r="17" spans="2:13" x14ac:dyDescent="0.25">
      <c r="B17" s="2"/>
      <c r="C17" s="2"/>
      <c r="D17" s="3">
        <f>MAX((TimeEntries[[#This Row],[End time]]-TimeEntries[[#This Row],[Start time]])*24,0)</f>
        <v>0</v>
      </c>
      <c r="J17" s="16"/>
      <c r="K17" s="3"/>
      <c r="L17" s="3">
        <f>SUM(TimeEntries[Time delta in h])</f>
        <v>0</v>
      </c>
      <c r="M17" s="17" t="e">
        <f>Tabelle7367[[#This Row],[EBS self time]]/Tabelle7367[[#This Row],[Total time]]</f>
        <v>#DIV/0!</v>
      </c>
    </row>
    <row r="18" spans="2:13" x14ac:dyDescent="0.25">
      <c r="B18" s="2"/>
      <c r="C18" s="2"/>
      <c r="D18" s="3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I33" sqref="I33"/>
    </sheetView>
  </sheetViews>
  <sheetFormatPr baseColWidth="10" defaultColWidth="11.42578125" defaultRowHeight="15" x14ac:dyDescent="0.25"/>
  <sheetData>
    <row r="1" spans="1:2" x14ac:dyDescent="0.25">
      <c r="A1" s="11" t="s">
        <v>33</v>
      </c>
    </row>
    <row r="2" spans="1:2" x14ac:dyDescent="0.25">
      <c r="A2" t="s">
        <v>19</v>
      </c>
    </row>
    <row r="3" spans="1:2" x14ac:dyDescent="0.25">
      <c r="A3" t="s">
        <v>20</v>
      </c>
    </row>
    <row r="8" spans="1:2" x14ac:dyDescent="0.25">
      <c r="A8" s="11" t="s">
        <v>118</v>
      </c>
    </row>
    <row r="9" spans="1:2" x14ac:dyDescent="0.25">
      <c r="A9" s="7" t="s">
        <v>28</v>
      </c>
    </row>
    <row r="10" spans="1:2" x14ac:dyDescent="0.25">
      <c r="B10" t="s">
        <v>119</v>
      </c>
    </row>
    <row r="11" spans="1:2" x14ac:dyDescent="0.25">
      <c r="B11" t="s">
        <v>120</v>
      </c>
    </row>
    <row r="12" spans="1:2" x14ac:dyDescent="0.25">
      <c r="B12" t="s">
        <v>123</v>
      </c>
    </row>
    <row r="13" spans="1:2" x14ac:dyDescent="0.25">
      <c r="B13" t="s">
        <v>128</v>
      </c>
    </row>
    <row r="14" spans="1:2" x14ac:dyDescent="0.25">
      <c r="A14" t="s">
        <v>31</v>
      </c>
    </row>
    <row r="15" spans="1:2" x14ac:dyDescent="0.25">
      <c r="B15" t="s">
        <v>124</v>
      </c>
    </row>
    <row r="16" spans="1:2" x14ac:dyDescent="0.25">
      <c r="A16" s="11" t="s">
        <v>121</v>
      </c>
    </row>
    <row r="17" spans="1:3" x14ac:dyDescent="0.25">
      <c r="B17" t="s">
        <v>122</v>
      </c>
    </row>
    <row r="18" spans="1:3" x14ac:dyDescent="0.25">
      <c r="A18" s="11" t="s">
        <v>95</v>
      </c>
      <c r="B18" s="11"/>
    </row>
    <row r="19" spans="1:3" x14ac:dyDescent="0.25">
      <c r="B19" t="s">
        <v>99</v>
      </c>
    </row>
    <row r="20" spans="1:3" x14ac:dyDescent="0.25">
      <c r="B20" t="s">
        <v>96</v>
      </c>
    </row>
    <row r="21" spans="1:3" x14ac:dyDescent="0.25">
      <c r="B21" t="s">
        <v>97</v>
      </c>
    </row>
    <row r="22" spans="1:3" x14ac:dyDescent="0.25">
      <c r="B22" t="s">
        <v>98</v>
      </c>
    </row>
    <row r="23" spans="1:3" x14ac:dyDescent="0.25">
      <c r="A23" s="11" t="s">
        <v>56</v>
      </c>
    </row>
    <row r="24" spans="1:3" x14ac:dyDescent="0.25">
      <c r="B24" t="s">
        <v>57</v>
      </c>
    </row>
    <row r="25" spans="1:3" x14ac:dyDescent="0.25">
      <c r="A25" s="11" t="s">
        <v>50</v>
      </c>
    </row>
    <row r="26" spans="1:3" x14ac:dyDescent="0.25">
      <c r="B26" t="s">
        <v>51</v>
      </c>
    </row>
    <row r="27" spans="1:3" x14ac:dyDescent="0.25">
      <c r="C27" t="s">
        <v>52</v>
      </c>
    </row>
    <row r="28" spans="1:3" x14ac:dyDescent="0.25">
      <c r="C28" t="s">
        <v>54</v>
      </c>
    </row>
    <row r="29" spans="1:3" x14ac:dyDescent="0.25">
      <c r="B29" t="s">
        <v>55</v>
      </c>
    </row>
    <row r="30" spans="1:3" x14ac:dyDescent="0.25">
      <c r="B30" t="s">
        <v>53</v>
      </c>
    </row>
    <row r="31" spans="1:3" x14ac:dyDescent="0.25">
      <c r="A31" s="11" t="s">
        <v>45</v>
      </c>
    </row>
    <row r="32" spans="1:3" x14ac:dyDescent="0.25">
      <c r="A32" t="s">
        <v>28</v>
      </c>
    </row>
    <row r="33" spans="1:2" x14ac:dyDescent="0.25">
      <c r="B33" t="s">
        <v>44</v>
      </c>
    </row>
    <row r="34" spans="1:2" x14ac:dyDescent="0.25">
      <c r="A34" s="11" t="s">
        <v>27</v>
      </c>
    </row>
    <row r="35" spans="1:2" x14ac:dyDescent="0.25">
      <c r="A35" t="s">
        <v>28</v>
      </c>
    </row>
    <row r="36" spans="1:2" x14ac:dyDescent="0.25">
      <c r="B36" t="s">
        <v>29</v>
      </c>
    </row>
    <row r="37" spans="1:2" x14ac:dyDescent="0.25">
      <c r="B37" t="s">
        <v>30</v>
      </c>
    </row>
    <row r="38" spans="1:2" x14ac:dyDescent="0.25">
      <c r="A38" t="s">
        <v>31</v>
      </c>
    </row>
    <row r="39" spans="1:2" x14ac:dyDescent="0.25">
      <c r="B39" t="s">
        <v>32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44"/>
  <sheetViews>
    <sheetView workbookViewId="0">
      <selection activeCell="B13" sqref="B13"/>
    </sheetView>
  </sheetViews>
  <sheetFormatPr baseColWidth="10" defaultRowHeight="15" x14ac:dyDescent="0.25"/>
  <sheetData>
    <row r="1" spans="1:5" x14ac:dyDescent="0.25">
      <c r="E1" s="41" t="s">
        <v>138</v>
      </c>
    </row>
    <row r="2" spans="1:5" x14ac:dyDescent="0.2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 x14ac:dyDescent="0.25">
      <c r="A3" t="s">
        <v>213</v>
      </c>
      <c r="B3" t="s">
        <v>18</v>
      </c>
      <c r="C3" t="s">
        <v>170</v>
      </c>
      <c r="D3" t="s">
        <v>190</v>
      </c>
      <c r="E3" t="s">
        <v>135</v>
      </c>
    </row>
    <row r="4" spans="1:5" x14ac:dyDescent="0.25">
      <c r="A4" t="s">
        <v>137</v>
      </c>
      <c r="C4" t="s">
        <v>152</v>
      </c>
      <c r="D4" t="s">
        <v>192</v>
      </c>
      <c r="E4" t="s">
        <v>91</v>
      </c>
    </row>
    <row r="5" spans="1:5" x14ac:dyDescent="0.25">
      <c r="A5" t="s">
        <v>171</v>
      </c>
      <c r="C5" t="s">
        <v>195</v>
      </c>
      <c r="D5" t="s">
        <v>189</v>
      </c>
      <c r="E5" t="s">
        <v>133</v>
      </c>
    </row>
    <row r="6" spans="1:5" x14ac:dyDescent="0.25">
      <c r="A6" t="s">
        <v>216</v>
      </c>
      <c r="C6" t="s">
        <v>183</v>
      </c>
      <c r="D6" t="s">
        <v>165</v>
      </c>
      <c r="E6" t="s">
        <v>146</v>
      </c>
    </row>
    <row r="7" spans="1:5" x14ac:dyDescent="0.25">
      <c r="A7" t="s">
        <v>218</v>
      </c>
      <c r="C7" t="s">
        <v>187</v>
      </c>
      <c r="D7" t="s">
        <v>211</v>
      </c>
      <c r="E7" t="s">
        <v>134</v>
      </c>
    </row>
    <row r="8" spans="1:5" x14ac:dyDescent="0.25">
      <c r="A8" t="s">
        <v>212</v>
      </c>
      <c r="C8" t="s">
        <v>215</v>
      </c>
      <c r="D8" t="s">
        <v>214</v>
      </c>
      <c r="E8" t="s">
        <v>137</v>
      </c>
    </row>
    <row r="9" spans="1:5" x14ac:dyDescent="0.25">
      <c r="A9" t="s">
        <v>209</v>
      </c>
      <c r="C9" t="s">
        <v>184</v>
      </c>
      <c r="D9" t="s">
        <v>198</v>
      </c>
      <c r="E9" t="s">
        <v>136</v>
      </c>
    </row>
    <row r="10" spans="1:5" x14ac:dyDescent="0.25">
      <c r="A10" t="s">
        <v>210</v>
      </c>
      <c r="C10" t="s">
        <v>162</v>
      </c>
      <c r="D10" t="s">
        <v>217</v>
      </c>
    </row>
    <row r="11" spans="1:5" x14ac:dyDescent="0.25">
      <c r="A11" t="s">
        <v>208</v>
      </c>
      <c r="C11" t="s">
        <v>180</v>
      </c>
      <c r="D11" t="s">
        <v>182</v>
      </c>
    </row>
    <row r="12" spans="1:5" x14ac:dyDescent="0.25">
      <c r="A12" t="s">
        <v>207</v>
      </c>
      <c r="C12" t="s">
        <v>160</v>
      </c>
      <c r="D12" t="s">
        <v>151</v>
      </c>
    </row>
    <row r="13" spans="1:5" x14ac:dyDescent="0.25">
      <c r="A13" t="s">
        <v>206</v>
      </c>
      <c r="C13" t="s">
        <v>168</v>
      </c>
      <c r="D13" t="s">
        <v>177</v>
      </c>
    </row>
    <row r="14" spans="1:5" x14ac:dyDescent="0.25">
      <c r="A14" t="s">
        <v>205</v>
      </c>
      <c r="C14" t="s">
        <v>167</v>
      </c>
      <c r="D14" t="s">
        <v>205</v>
      </c>
    </row>
    <row r="15" spans="1:5" x14ac:dyDescent="0.25">
      <c r="A15" t="s">
        <v>203</v>
      </c>
      <c r="D15" t="s">
        <v>204</v>
      </c>
    </row>
    <row r="16" spans="1:5" x14ac:dyDescent="0.25">
      <c r="A16" t="s">
        <v>202</v>
      </c>
      <c r="D16" t="s">
        <v>150</v>
      </c>
    </row>
    <row r="17" spans="1:4" x14ac:dyDescent="0.25">
      <c r="A17" t="s">
        <v>188</v>
      </c>
      <c r="D17" t="s">
        <v>201</v>
      </c>
    </row>
    <row r="18" spans="1:4" x14ac:dyDescent="0.25">
      <c r="A18" t="s">
        <v>196</v>
      </c>
      <c r="D18" t="s">
        <v>200</v>
      </c>
    </row>
    <row r="19" spans="1:4" x14ac:dyDescent="0.25">
      <c r="A19" t="s">
        <v>197</v>
      </c>
      <c r="D19" t="s">
        <v>199</v>
      </c>
    </row>
    <row r="20" spans="1:4" x14ac:dyDescent="0.25">
      <c r="A20" t="s">
        <v>193</v>
      </c>
      <c r="D20" t="s">
        <v>194</v>
      </c>
    </row>
    <row r="21" spans="1:4" x14ac:dyDescent="0.25">
      <c r="A21" t="s">
        <v>191</v>
      </c>
      <c r="D21" t="s">
        <v>161</v>
      </c>
    </row>
    <row r="22" spans="1:4" x14ac:dyDescent="0.25">
      <c r="A22" t="s">
        <v>149</v>
      </c>
      <c r="D22" t="s">
        <v>185</v>
      </c>
    </row>
    <row r="23" spans="1:4" x14ac:dyDescent="0.25">
      <c r="A23" t="s">
        <v>160</v>
      </c>
      <c r="D23" t="s">
        <v>186</v>
      </c>
    </row>
    <row r="24" spans="1:4" x14ac:dyDescent="0.25">
      <c r="D24" t="s">
        <v>184</v>
      </c>
    </row>
    <row r="25" spans="1:4" x14ac:dyDescent="0.25">
      <c r="D25" t="s">
        <v>181</v>
      </c>
    </row>
    <row r="26" spans="1:4" x14ac:dyDescent="0.25">
      <c r="D26" t="s">
        <v>179</v>
      </c>
    </row>
    <row r="27" spans="1:4" x14ac:dyDescent="0.25">
      <c r="D27" t="s">
        <v>178</v>
      </c>
    </row>
    <row r="28" spans="1:4" x14ac:dyDescent="0.25">
      <c r="D28" t="s">
        <v>159</v>
      </c>
    </row>
    <row r="29" spans="1:4" x14ac:dyDescent="0.25">
      <c r="D29" t="s">
        <v>176</v>
      </c>
    </row>
    <row r="30" spans="1:4" x14ac:dyDescent="0.25">
      <c r="D30" t="s">
        <v>174</v>
      </c>
    </row>
    <row r="31" spans="1:4" x14ac:dyDescent="0.25">
      <c r="D31" t="s">
        <v>175</v>
      </c>
    </row>
    <row r="32" spans="1:4" x14ac:dyDescent="0.25">
      <c r="D32" t="s">
        <v>155</v>
      </c>
    </row>
    <row r="33" spans="4:4" x14ac:dyDescent="0.25">
      <c r="D33" t="s">
        <v>173</v>
      </c>
    </row>
    <row r="34" spans="4:4" x14ac:dyDescent="0.25">
      <c r="D34" t="s">
        <v>172</v>
      </c>
    </row>
    <row r="35" spans="4:4" x14ac:dyDescent="0.25">
      <c r="D35" t="s">
        <v>169</v>
      </c>
    </row>
    <row r="36" spans="4:4" x14ac:dyDescent="0.25">
      <c r="D36" t="s">
        <v>163</v>
      </c>
    </row>
    <row r="37" spans="4:4" x14ac:dyDescent="0.25">
      <c r="D37" t="s">
        <v>166</v>
      </c>
    </row>
    <row r="38" spans="4:4" x14ac:dyDescent="0.25">
      <c r="D38" t="s">
        <v>164</v>
      </c>
    </row>
    <row r="39" spans="4:4" x14ac:dyDescent="0.25">
      <c r="D39" t="s">
        <v>158</v>
      </c>
    </row>
    <row r="40" spans="4:4" x14ac:dyDescent="0.25">
      <c r="D40" t="s">
        <v>157</v>
      </c>
    </row>
    <row r="41" spans="4:4" x14ac:dyDescent="0.25">
      <c r="D41" t="s">
        <v>156</v>
      </c>
    </row>
    <row r="42" spans="4:4" x14ac:dyDescent="0.25">
      <c r="D42" t="s">
        <v>154</v>
      </c>
    </row>
    <row r="43" spans="4:4" x14ac:dyDescent="0.25">
      <c r="D43" t="s">
        <v>153</v>
      </c>
    </row>
    <row r="44" spans="4:4" x14ac:dyDescent="0.25">
      <c r="D44" t="s">
        <v>149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74</v>
      </c>
      <c r="F15" s="1" t="s">
        <v>75</v>
      </c>
      <c r="G15" s="57"/>
      <c r="H15" s="57"/>
    </row>
    <row r="16" spans="5:8" x14ac:dyDescent="0.25">
      <c r="E16" s="15" t="s">
        <v>73</v>
      </c>
      <c r="F16" s="1" t="s">
        <v>36</v>
      </c>
      <c r="G16" s="57"/>
      <c r="H16" s="57"/>
    </row>
    <row r="17" spans="1:20" x14ac:dyDescent="0.25">
      <c r="J17" s="11" t="s">
        <v>43</v>
      </c>
      <c r="K17" s="11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3" t="s">
        <v>38</v>
      </c>
      <c r="N18" s="3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B19" s="18"/>
      <c r="D19" t="s">
        <v>26</v>
      </c>
      <c r="M19" s="3"/>
      <c r="N19" s="3"/>
    </row>
    <row r="20" spans="1:20" x14ac:dyDescent="0.25">
      <c r="B20" s="18"/>
      <c r="M20" s="3"/>
      <c r="N20" s="3"/>
    </row>
    <row r="21" spans="1:20" x14ac:dyDescent="0.25">
      <c r="B21" s="18"/>
      <c r="M21" s="3"/>
      <c r="N21" s="3"/>
    </row>
    <row r="22" spans="1:20" x14ac:dyDescent="0.25">
      <c r="B22" s="18"/>
      <c r="M22" s="3"/>
      <c r="N22" s="3"/>
    </row>
    <row r="23" spans="1:20" x14ac:dyDescent="0.25">
      <c r="B23" s="18"/>
      <c r="M23" s="3"/>
      <c r="N23" s="3"/>
    </row>
    <row r="24" spans="1:20" x14ac:dyDescent="0.25">
      <c r="B24" s="18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4" priority="1" operator="containsText" text="No">
      <formula>NOT(ISERROR(SEARCH("No",D1)))</formula>
    </cfRule>
    <cfRule type="containsText" dxfId="3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5</vt:i4>
      </vt:variant>
    </vt:vector>
  </HeadingPairs>
  <TitlesOfParts>
    <vt:vector size="14" baseType="lpstr">
      <vt:lpstr>Planning</vt:lpstr>
      <vt:lpstr>EbsSheet (Me)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2020-09-01T11:44:09Z</dcterms:modified>
  <cp:category/>
  <cp:contentStatus/>
</cp:coreProperties>
</file>