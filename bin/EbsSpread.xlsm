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8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CB91A9C6-11B0-4136-BE95-EAC204218FBA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C5F28114EEBEA0BC0" sheetId="1605" state="hidden" r:id="rId2"/>
    <sheet name="EbsSheet (Me)" sheetId="1405" r:id="rId3"/>
    <sheet name="Analysis" sheetId="1004" r:id="rId4"/>
    <sheet name="Settings" sheetId="418" r:id="rId5"/>
    <sheet name="Messages" sheetId="1390" r:id="rId6"/>
    <sheet name="Task sheet template" sheetId="5" state="hidden" r:id="rId7"/>
    <sheet name="VSHEET_STOR_E65DEF" sheetId="1397" state="hidden" r:id="rId8"/>
    <sheet name="Version info" sheetId="3" r:id="rId9"/>
    <sheet name="EbsSheet template" sheetId="440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1605" l="1"/>
  <c r="L21" i="1605"/>
  <c r="L20" i="1605"/>
  <c r="M20" i="1605" s="1"/>
  <c r="M19" i="1605"/>
  <c r="L19" i="1605"/>
  <c r="L18" i="1605"/>
  <c r="M18" i="1605" s="1"/>
  <c r="D18" i="1605"/>
  <c r="L17" i="1605"/>
  <c r="M17" i="1605" s="1"/>
  <c r="D17" i="1605"/>
  <c r="M16" i="1605"/>
  <c r="L16" i="1605"/>
  <c r="D16" i="1605"/>
  <c r="M15" i="1605"/>
  <c r="L15" i="1605"/>
  <c r="D15" i="1605"/>
  <c r="B4" i="1605"/>
  <c r="B11" i="1605" s="1"/>
  <c r="D158" i="1397"/>
  <c r="D157" i="1397"/>
  <c r="D156" i="1397"/>
  <c r="D155" i="1397"/>
  <c r="M154" i="1397"/>
  <c r="L154" i="1397"/>
  <c r="D154" i="1397"/>
  <c r="L153" i="1397"/>
  <c r="M153" i="1397" s="1"/>
  <c r="D153" i="1397"/>
  <c r="L152" i="1397"/>
  <c r="M152" i="1397" s="1"/>
  <c r="D152" i="1397"/>
  <c r="L151" i="1397"/>
  <c r="M151" i="1397" s="1"/>
  <c r="D151" i="1397"/>
  <c r="L150" i="1397"/>
  <c r="M150" i="1397" s="1"/>
  <c r="D150" i="1397"/>
  <c r="M149" i="1397"/>
  <c r="L149" i="1397"/>
  <c r="D149" i="1397"/>
  <c r="L148" i="1397"/>
  <c r="M148" i="1397" s="1"/>
  <c r="D148" i="1397"/>
  <c r="L131" i="1397"/>
  <c r="M131" i="1397" s="1"/>
  <c r="M130" i="1397"/>
  <c r="L130" i="1397"/>
  <c r="L129" i="1397"/>
  <c r="M129" i="1397" s="1"/>
  <c r="M128" i="1397"/>
  <c r="L128" i="1397"/>
  <c r="L127" i="1397"/>
  <c r="M127" i="1397" s="1"/>
  <c r="M126" i="1397"/>
  <c r="L126" i="1397"/>
  <c r="L125" i="1397"/>
  <c r="M125" i="1397" s="1"/>
  <c r="M108" i="1397"/>
  <c r="L108" i="1397"/>
  <c r="L107" i="1397"/>
  <c r="M107" i="1397" s="1"/>
  <c r="L106" i="1397"/>
  <c r="M106" i="1397" s="1"/>
  <c r="L105" i="1397"/>
  <c r="M105" i="1397" s="1"/>
  <c r="L104" i="1397"/>
  <c r="M104" i="1397" s="1"/>
  <c r="L103" i="1397"/>
  <c r="M103" i="1397" s="1"/>
  <c r="M102" i="1397"/>
  <c r="L102" i="1397"/>
  <c r="L85" i="1397"/>
  <c r="M85" i="1397" s="1"/>
  <c r="D85" i="1397"/>
  <c r="L68" i="1397"/>
  <c r="M68" i="1397" s="1"/>
  <c r="L67" i="1397"/>
  <c r="M67" i="1397" s="1"/>
  <c r="L66" i="1397"/>
  <c r="M66" i="1397" s="1"/>
  <c r="L65" i="1397"/>
  <c r="M65" i="1397" s="1"/>
  <c r="L64" i="1397"/>
  <c r="M64" i="1397" s="1"/>
  <c r="D64" i="1397"/>
  <c r="L63" i="1397"/>
  <c r="M63" i="1397" s="1"/>
  <c r="D63" i="1397"/>
  <c r="L62" i="1397"/>
  <c r="M62" i="1397" s="1"/>
  <c r="D62" i="1397"/>
  <c r="L45" i="1397"/>
  <c r="M45" i="1397" s="1"/>
  <c r="L44" i="1397"/>
  <c r="M44" i="1397" s="1"/>
  <c r="L43" i="1397"/>
  <c r="M43" i="1397" s="1"/>
  <c r="L42" i="1397"/>
  <c r="M42" i="1397" s="1"/>
  <c r="L41" i="1397"/>
  <c r="M41" i="1397" s="1"/>
  <c r="L40" i="1397"/>
  <c r="M40" i="1397" s="1"/>
  <c r="D40" i="1397"/>
  <c r="L39" i="1397"/>
  <c r="M39" i="1397" s="1"/>
  <c r="D39" i="1397"/>
  <c r="L22" i="1397"/>
  <c r="M22" i="1397" s="1"/>
  <c r="L21" i="1397"/>
  <c r="M21" i="1397" s="1"/>
  <c r="L20" i="1397"/>
  <c r="M20" i="1397" s="1"/>
  <c r="L19" i="1397"/>
  <c r="M19" i="1397" s="1"/>
  <c r="L18" i="1397"/>
  <c r="M18" i="1397" s="1"/>
  <c r="D18" i="1397"/>
  <c r="L17" i="1397"/>
  <c r="M17" i="1397" s="1"/>
  <c r="D17" i="1397"/>
  <c r="L16" i="1397"/>
  <c r="M16" i="1397" s="1"/>
  <c r="D16" i="1397"/>
  <c r="B51" i="1397" l="1"/>
  <c r="B58" i="1397" s="1"/>
  <c r="B114" i="1397"/>
  <c r="B121" i="1397" s="1"/>
  <c r="B137" i="1397"/>
  <c r="B144" i="1397" s="1"/>
  <c r="B91" i="1397"/>
  <c r="B98" i="1397" s="1"/>
  <c r="B74" i="1397"/>
  <c r="B81" i="1397" s="1"/>
  <c r="B28" i="1397"/>
  <c r="B35" i="1397" s="1"/>
  <c r="B5" i="1397"/>
  <c r="B12" i="1397" s="1"/>
  <c r="J4" i="418" l="1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<sst xmlns="http://schemas.openxmlformats.org/spreadsheetml/2006/main" count="792" uniqueCount="248">
  <si>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</si>
  <si>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</si>
  <si>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</si>
  <si>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</si>
  <si>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</si>
  <si>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</si>
  <si>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</si>
  <si>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</si>
  <si>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</si>
  <si>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</si>
  <si>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</si>
  <si>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</si>
  <si>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</si>
  <si>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</si>
  <si>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</si>
  <si>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</si>
  <si>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</si>
  <si>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</si>
  <si>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</si>
  <si>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</si>
  <si>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</si>
  <si>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</si>
  <si>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</si>
  <si>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</si>
  <si>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</si>
  <si>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</si>
  <si>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</si>
  <si>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</si>
  <si>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</si>
  <si>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</si>
  <si>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</si>
  <si>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</si>
  <si>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</si>
  <si>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</si>
  <si>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</si>
  <si>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</si>
  <si>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</si>
  <si>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</si>
  <si>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</si>
  <si>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</si>
  <si>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</si>
  <si>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</si>
  <si>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</si>
  <si>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</si>
  <si>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</si>
  <si>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</si>
  <si>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</si>
  <si>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</si>
  <si>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</si>
  <si>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</si>
  <si>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</si>
  <si>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</si>
  <si>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</si>
  <si>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</si>
  <si>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</si>
  <si>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</si>
  <si>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</si>
  <si>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</si>
  <si>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</si>
  <si>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</si>
  <si>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</si>
  <si>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</si>
  <si>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</si>
  <si>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</si>
  <si>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</si>
  <si>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</si>
  <si>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</si>
  <si>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</si>
  <si>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</si>
  <si>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</si>
  <si>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</si>
  <si>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</si>
  <si>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</si>
  <si>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</si>
  <si>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</si>
  <si>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</si>
  <si>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</si>
  <si>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</si>
  <si>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</si>
  <si>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</si>
  <si>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</si>
  <si>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</si>
  <si>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</si>
  <si>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</si>
  <si>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</si>
  <si>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</si>
  <si>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</si>
  <si>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</si>
  <si>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</si>
  <si>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</si>
  <si>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</si>
  <si>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</si>
  <si>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</si>
  <si>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</si>
  <si>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</si>
  <si>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</si>
  <si>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</si>
  <si>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</si>
  <si>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</si>
  <si>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</si>
  <si>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</si>
  <si>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</si>
  <si>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</si>
  <si>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</si>
  <si>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</si>
  <si>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</si>
  <si>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</si>
  <si>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</si>
  <si>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</si>
  <si>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</si>
  <si>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</si>
  <si>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</si>
  <si>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</si>
  <si>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</si>
  <si>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</si>
  <si>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</si>
  <si>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</si>
  <si>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</si>
  <si>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</si>
  <si>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</si>
  <si>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</si>
  <si>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</si>
  <si>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</si>
  <si>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</si>
  <si>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</si>
  <si>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</si>
  <si>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</si>
  <si>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</si>
  <si>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</si>
  <si>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</si>
  <si>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</si>
  <si>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</si>
  <si>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0000000038A1BB1005E5101AA1BB08002B2A56C20030454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</si>
  <si>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00000000F593AB5CD8A4614C8B1EC114C84EFB870100D67807C5E37E4B47A653892DF42F73BD00000000010D0000</t>
  </si>
  <si>
    <t>Add DoEvents for long-running operations</t>
  </si>
  <si>
    <t>VIRTUAL_SHEET_NAME</t>
  </si>
  <si>
    <t>VIRTUAL_SHEET_RANGE_ROWS</t>
  </si>
  <si>
    <t>VIRTUAL_SHEET_RANGE_COLS</t>
  </si>
  <si>
    <t>Take bags</t>
  </si>
  <si>
    <t>Done</t>
  </si>
  <si>
    <t>Take two</t>
  </si>
  <si>
    <t>{%Tag 1;%Tag 3}</t>
  </si>
  <si>
    <t>{important;preparation}</t>
  </si>
  <si>
    <t>#000001</t>
  </si>
  <si>
    <t>SetPlainDelta()</t>
  </si>
  <si>
    <t>SetCalendarDelta()</t>
  </si>
  <si>
    <t>#000002</t>
  </si>
  <si>
    <t>#000003</t>
  </si>
  <si>
    <t>#000004</t>
  </si>
  <si>
    <t>#000005</t>
  </si>
  <si>
    <t>#000006</t>
  </si>
  <si>
    <t>#000007</t>
  </si>
  <si>
    <t>Take umbrella</t>
  </si>
  <si>
    <t>{%Tag 3}</t>
  </si>
  <si>
    <t>{preparation}</t>
  </si>
  <si>
    <t>Buy soy sauce</t>
  </si>
  <si>
    <t>In progress</t>
  </si>
  <si>
    <t>Buy pineapples</t>
  </si>
  <si>
    <t>Pineapples are well hidden</t>
  </si>
  <si>
    <t>{%Tag 2;%Tag 3}</t>
  </si>
  <si>
    <t>{fruit;food}</t>
  </si>
  <si>
    <t>#000008</t>
  </si>
  <si>
    <t>#000009</t>
  </si>
  <si>
    <t>#000010</t>
  </si>
  <si>
    <t>#000011</t>
  </si>
  <si>
    <t>Buy strawberries</t>
  </si>
  <si>
    <t>Have a chat with the store owner</t>
  </si>
  <si>
    <t>{non food}</t>
  </si>
  <si>
    <t>t1B16087FBAFA8F2DD</t>
  </si>
  <si>
    <t>tC5F28114EEBEA0BC0</t>
  </si>
  <si>
    <t>tAAF8231FB67247C24</t>
  </si>
  <si>
    <t>t542BC5542C608ACDC</t>
  </si>
  <si>
    <t>t3EAAC5681780C3894</t>
  </si>
  <si>
    <t>t4397B9B5873422F48</t>
  </si>
  <si>
    <t>preparation</t>
  </si>
  <si>
    <t>food</t>
  </si>
  <si>
    <t>fruit</t>
  </si>
  <si>
    <t>non food</t>
  </si>
  <si>
    <t>important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</si>
  <si>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</si>
  <si>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</si>
  <si>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</si>
  <si>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</si>
  <si>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</si>
  <si>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</si>
  <si>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</si>
  <si>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</si>
  <si>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</si>
  <si>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</si>
  <si>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</si>
  <si>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</si>
  <si>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</si>
  <si>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</si>
  <si>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</si>
  <si>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</si>
  <si>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</si>
  <si>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</si>
  <si>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</si>
  <si>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</si>
  <si>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</si>
  <si>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</si>
  <si>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</si>
  <si>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</si>
  <si>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</si>
  <si>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</si>
  <si>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</si>
  <si>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</si>
  <si>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</si>
  <si>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</si>
  <si>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</si>
  <si>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</si>
  <si>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</si>
  <si>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</si>
  <si>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</si>
  <si>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</si>
  <si>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</si>
  <si>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</si>
  <si>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</si>
  <si>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</si>
  <si>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</si>
  <si>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tDBBB22AAC7E0AF9EB</t>
  </si>
  <si>
    <t>&lt;ENTER_NAME&gt;</t>
  </si>
  <si>
    <t>&lt;ENTER_ESTIMATE&gt;</t>
  </si>
  <si>
    <t>tD542D62BAFACEB254</t>
  </si>
  <si>
    <t>Erdnüsse kaufen</t>
  </si>
  <si>
    <t>{important;food}</t>
  </si>
  <si>
    <t>{%Tag 1;%Tag 2}</t>
  </si>
  <si>
    <t>{fruit;fruit}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</si>
  <si>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</si>
  <si>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</si>
  <si>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</si>
  <si>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</si>
  <si>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{0,937;2,704;3,501;3,556;5,923;8,496;9,770}</t>
  </si>
  <si>
    <t>{20/04/2020 08:56:14;20/04/2020 10:42:13;20/04/2020 11:30:02;20/04/2020 11:33:23;20/04/2020 13:55:23;20/04/2020 16:29:47;20/04/2020 17:46:13}</t>
  </si>
  <si>
    <t>eD6F01E2DD00B2A4D2</t>
  </si>
  <si>
    <t>{1,000;2,999;1,000;2,999;2,999;1,000;1,000;2,999;2,999;2,999;0,204;2,999;0,204;0,204;2,999;0,204;2,999;0,204;2,999;1,000;2,999;2,999;2,999;1,000;1,000;0,204;2,999;0,204;0,204;0,204;2,999;2,999;1,000;0,204;0,204;0,204;2,999;2,999;1,000;0,204;2,999;0,204;2,999;0,204;0,204;1,000;1,000;1,000;1,000;1,000}</t>
  </si>
  <si>
    <t>{0,204;0,204;1,000;1,000;2,999;2,999;2,999}</t>
  </si>
  <si>
    <t>{11/05/2020 08:12:13;11/05/2020 08:12:13;11/05/2020 09:00:00;11/05/2020 09:00:00;11/05/2020 10:59:55;11/05/2020 10:59:55;11/05/2020 10:59:55}</t>
  </si>
  <si>
    <t>{7,496;7,496;7,496;0,509;7,496;7,496;2,500;2,500;2,500;7,496;0,509;7,496;0,509;2,500;7,496;7,496;0,509;7,496;2,500;2,500;0,509;7,496;2,500;7,496;0,509;2,500;0,509;0,509;2,500;7,496;2,500;7,496;7,496;0,509;7,496;2,500;7,496;0,509;2,500;7,496;2,500;0,509;0,509;0,509;7,496;2,500;0,509;7,496;7,496;7,496}</t>
  </si>
  <si>
    <t>{8,496;10,495;8,496;3,507;10,495;8,496;3,500;5,499;5,499;10,495;0,712;10,495;0,712;2,704;10,495;7,700;3,507;7,700;5,499;3,500;3,507;10,495;5,499;8,496;1,509;2,704;3,507;0,712;2,704;7,700;5,499;10,495;8,496;0,712;7,700;2,704;10,495;3,507;3,500;7,700;5,499;0,712;3,507;0,712;7,700;3,500;1,509;8,496;8,496;8,496}</t>
  </si>
  <si>
    <t>{0,712;2,704;3,507;5,499;7,700;8,496;10,495}</t>
  </si>
  <si>
    <t>{11/05/2020 08:42:45;11/05/2020 10:42:13;11/05/2020 11:30:27;11/05/2020 13:29:55;11/05/2020 15:41:59;11/05/2020 16:29:47;11/05/2020 18:29:41}</t>
  </si>
  <si>
    <t>{0,375;0,375;0,025;0,025;0,125;0,025;0,025;0,375;0,025;0,125;0,125;0,125;0,125;0,025;0,375;0,375;0,125;0,025;0,375;0,375;0,125;0,125;0,125;0,125;0,025;0,375;0,375;0,025;0,125;0,125;0,025;0,125;0,125;0,025;0,025;0,125;0,125;0,375;0,375;0,025;0,025;0,125;0,025;0,375;0,025;0,125;0,025;0,375;0,025;0,025}</t>
  </si>
  <si>
    <t>{0,102;1,499;1,499;0,500;1,499;0,500;0,500;0,500;0,102;1,499;0,500;0,500;0,500;0,102;1,499;1,499;0,102;0,102;1,499;0,500;0,102;0,102;0,102;0,500;1,499;1,499;1,499;0,500;1,499;1,499;0,500;0,500;1,499;1,499;0,500;1,499;0,500;1,499;0,500;1,499;0,102;0,102;0,500;1,499;0,500;0,500;1,499;0,500;0,102;0,500}</t>
  </si>
  <si>
    <t>{0,000;0,999;0,999;0,000;0,999;0,000;0,000;0,000;0,000;0,999;0,000;0,000;0,000;0,000;0,999;0,999;0,000;0,000;0,999;0,000;0,000;0,000;0,000;0,000;0,999;0,999;0,999;0,000;0,999;0,999;0,000;0,000;0,999;0,999;0,000;0,999;0,000;0,999;0,000;0,999;0,000;0,000;0,000;0,999;0,000;0,000;0,999;0,000;0,000;0,000}</t>
  </si>
  <si>
    <t>{8,496;11,494;9,496;3,507;11,494;8,496;3,500;5,499;5,499;11,494;0,712;10,495;0,712;2,704;11,494;8,699;3,507;7,700;6,498;3,500;3,507;10,495;5,499;8,496;2,508;3,703;4,507;0,712;3,703;8,699;5,499;10,495;9,496;1,712;7,700;3,703;10,495;4,507;3,500;8,699;5,499;0,712;3,507;1,712;7,700;3,500;2,508;8,496;8,496;8,496}</t>
  </si>
  <si>
    <t>{0,937;3,500;3,703;5,499;8,496;8,779;11,494}</t>
  </si>
  <si>
    <t>{11/05/2020 08:56:14;11/05/2020 11:30:00;11/05/2020 11:42:10;11/05/2020 13:29:55;11/05/2020 16:29:47;11/05/2020 16:46:43;12/05/2020 08:59:38}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</si>
</sst>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6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22" fontId="3" fillId="0" borderId="0" xfId="0" applyNumberFormat="1" applyFont="1"/>
    <xf numFmtId="0" fontId="7" fillId="10" borderId="0" xfId="2" applyFont="1" applyFill="1"/>
    <xf numFmtId="0" fontId="7" fillId="0" borderId="0" xfId="0" applyFont="1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2" fontId="7" fillId="0" borderId="0" xfId="0" applyNumberFormat="1" applyFont="1" applyFill="1" applyAlignment="1">
      <alignment wrapText="1"/>
    </xf>
    <xf numFmtId="22" fontId="7" fillId="0" borderId="0" xfId="0" applyNumberFormat="1" applyFont="1" applyFill="1" applyAlignment="1">
      <alignment wrapText="1"/>
    </xf>
    <xf numFmtId="0" fontId="0" fillId="0" borderId="0" xfId="0" applyFill="1" applyAlignment="1">
      <alignment wrapText="1"/>
    </xf>
    <xf numFmtId="2" fontId="0" fillId="0" borderId="0" xfId="0" applyNumberFormat="1" applyFill="1" applyAlignment="1">
      <alignment wrapText="1"/>
    </xf>
    <xf numFmtId="2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0" fontId="7" fillId="0" borderId="0" xfId="0" applyFont="1" applyFill="1" applyAlignment="1"/>
    <xf numFmtId="2" fontId="0" fillId="0" borderId="0" xfId="0" applyNumberFormat="1" applyFill="1" applyAlignment="1"/>
    <xf numFmtId="22" fontId="0" fillId="0" borderId="0" xfId="0" applyNumberFormat="1" applyFill="1" applyAlignment="1"/>
    <xf numFmtId="14" fontId="6" fillId="0" borderId="0" xfId="1" applyNumberForma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118"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DCF-485E-BB6F-A3C8FCA3F1BE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DCF-485E-BB6F-A3C8FCA3F1BE}"/>
            </c:ext>
          </c:extLst>
        </c:ser>
        <c:ser>
          <c:idx val="2"/>
          <c:order val="2"/>
          <c:tx>
            <c:v>Velo pool on: 08/05/2020 23:04:58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DCF-485E-BB6F-A3C8FCA3F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3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</c:numLit>
          </c:xVal>
          <c:yVal>
            <c:numLit>
              <c:formatCode>General</c:formatCode>
              <c:ptCount val="3"/>
              <c:pt idx="0">
                <c:v>5.5</c:v>
              </c:pt>
              <c:pt idx="1">
                <c:v>2.2190000000000003</c:v>
              </c:pt>
              <c:pt idx="2">
                <c:v>2.3200000000000003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669-4C4A-8649-493D233B089D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3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</c:numLit>
          </c:xVal>
          <c:yVal>
            <c:numLit>
              <c:formatCode>General</c:formatCode>
              <c:ptCount val="3"/>
              <c:pt idx="0">
                <c:v>8</c:v>
              </c:pt>
              <c:pt idx="1">
                <c:v>4.7119999999999997</c:v>
              </c:pt>
              <c:pt idx="2">
                <c:v>6.0995000000000008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669-4C4A-8649-493D233B089D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3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</c:numLit>
          </c:xVal>
          <c:yVal>
            <c:numLit>
              <c:formatCode>General</c:formatCode>
              <c:ptCount val="3"/>
              <c:pt idx="0">
                <c:v>10.5</c:v>
              </c:pt>
              <c:pt idx="1">
                <c:v>7.8465000000000007</c:v>
              </c:pt>
              <c:pt idx="2">
                <c:v>9.995000000000001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669-4C4A-8649-493D233B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95D4A16-A5EF-46F6-ACA3-8C3FF05EC25F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9DEDB9E-D234-45E1-8E75-E27D284FE223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4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5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5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5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5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6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11" totalsRowShown="0" dataDxfId="0">
  <autoFilter ref="A3:Q11" xr:uid="{520F3973-795E-47E6-97CD-1C1265CA838A}"/>
  <sortState xmlns:xlrd2="http://schemas.microsoft.com/office/spreadsheetml/2017/richdata2" ref="A4:Q11">
    <sortCondition descending="1" ref="P3:P11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2AD26FE-34A8-4B7B-A8AF-DA83E9EB8715}" name="TimeEntries152539537113294364779110511713314716317719320722323725326728329731332734335737338740341715294560779110712113715116718119721122724125727115374964192756699116918520922537588710716718319721322724325928735538340341943546355156359760963164166161101" displayName="TimeEntries152539537113294364779110511713314716317719320722323725326728329731332734335737338740341715294560779110712113715116718119721122724125727115374964192756699116918520922537588710716718319721322724325928735538340341943546355156359760963164166161101" ref="A14:G18" totalsRowShown="0">
  <autoFilter ref="A14:G18" xr:uid="{26F6C534-B436-4717-B076-59D4990C68B7}"/>
  <tableColumns count="7">
    <tableColumn id="1" xr3:uid="{CFCD2211-C82A-43C9-BB3F-0E0F9D06B0FE}" name="Time entry no."/>
    <tableColumn id="2" xr3:uid="{D97BCA0E-BCA1-426A-8DF7-EA4F05521567}" name="Start time" dataDxfId="39"/>
    <tableColumn id="3" xr3:uid="{AEE0B635-6D4D-4173-B870-666C2BC683FE}" name="End time" dataDxfId="38"/>
    <tableColumn id="4" xr3:uid="{56B4D52A-4F3A-401A-9230-DB41A8DFE0DF}" name="Time delta in h" dataDxfId="37">
      <calculatedColumnFormula>MAX((C15-B15)*24,0)</calculatedColumnFormula>
    </tableColumn>
    <tableColumn id="5" xr3:uid="{567FB414-C280-4CA7-9F57-EC097EA7E980}" name="Indicator"/>
    <tableColumn id="6" xr3:uid="{805589D1-EFFF-415A-AD9D-4C40E035E975}" name="Action1" dataDxfId="36" dataCellStyle="Link"/>
    <tableColumn id="7" xr3:uid="{0AB73C00-7D0C-42AE-9451-E479CB22B067}" name="Action2" dataDxfId="35" dataCellStyle="Link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3B21477C-09F8-4741-A245-4B3F829ED80E}" name="Tabelle7367162840547214304465789210611813414816417819420822423825426828429831432834435837438840441816304661789210812213815216818219821222824225827216385065202857709217018621022638598810816818419821422824426028835638440442043646455256459861063264266261102" displayName="Tabelle7367162840547214304465789210611813414816417819420822423825426828429831432834435837438840441816304661789210812213815216818219821222824225827216385065202857709217018621022638598810816818419821422824426028835638440442043646455256459861063264266261102" ref="I14:M21" totalsRowShown="0">
  <autoFilter ref="I14:M21" xr:uid="{21E8C3A7-9334-494C-A280-AEE3D962F8C5}"/>
  <tableColumns count="5">
    <tableColumn id="1" xr3:uid="{BC612BB4-683A-4402-9711-48F6F5F98B39}" name="Comparison entry no."/>
    <tableColumn id="2" xr3:uid="{09B4E0D1-563F-45A2-98F1-30E3E0E13217}" name="Propability Support point" dataDxfId="34"/>
    <tableColumn id="3" xr3:uid="{736FB265-C590-432B-9E6F-7B5D9CCC06C8}" name="EBS self time" dataDxfId="33"/>
    <tableColumn id="4" xr3:uid="{31FAFE01-8D7A-4D61-97B5-2A02C5DE4931}" name="Total time">
      <calculatedColumnFormula>#REF!</calculatedColumnFormula>
    </tableColumn>
    <tableColumn id="5" xr3:uid="{4DB5526A-604B-4B47-BCF8-DFF2A828DAF7}" name="Total time / Your estimate" dataDxfId="32">
      <calculatedColumnFormula>Tabelle7367162840547214304465789210611813414816417819420822423825426828429831432834435837438840441816304661789210812213815216818219821222824225827216385065202857709217018621022638598810816818419821422824426028835638440442043646455256459861063264266261102[[#This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time]]/Tabelle7367162840547214304465789210611813414816417819420822423825426828429831432834435837438840441816304661789210812213815216818219821222824225827216385065202857709217018621022638598810816818419821422824426028835638440442043646455256459861063264266261102[[#This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1" totalsRowShown="0">
  <autoFilter ref="A18:H21" xr:uid="{1948C160-1F52-48A7-8061-8AFF06D47134}"/>
  <tableColumns count="8">
    <tableColumn id="1" xr3:uid="{E6BEF93E-0B5C-43B8-89CF-C62D27CA2DAC}" name="EBS entry no."/>
    <tableColumn id="4" xr3:uid="{29329024-2EEE-45EA-B998-5CDBC9E950F5}" name="EBS run date" dataDxfId="117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2" totalsRowShown="0">
  <autoFilter ref="J18:T22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116"/>
    <tableColumn id="4" xr3:uid="{BD24E662-9F4E-4C61-82B5-EAD94B1901CC}" name="User time estimate" dataDxfId="115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114" dataDxfId="112" headerRowBorderDxfId="113">
  <autoFilter ref="A8:D54" xr:uid="{8E9EC0C1-7901-48B6-A59A-1CE6ABEE7A55}"/>
  <tableColumns count="4">
    <tableColumn id="1" xr3:uid="{58BB2187-C79D-4A1A-A9A3-DA2F074C476C}" name="Split entry no." dataDxfId="111"/>
    <tableColumn id="2" xr3:uid="{A755482D-FFF4-43D8-8021-1956CE3A7021}" name="Split start" dataDxfId="110"/>
    <tableColumn id="3" xr3:uid="{FE0A0B8D-1F8A-4CEC-9FB3-C945A45F99BF}" name="Split end" dataDxfId="109"/>
    <tableColumn id="4" xr3:uid="{5443222D-0CE3-4625-9EDB-D13B87B6C388}" name="Time spent" dataDxfId="108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07" dataCellStyle="Link"/>
    <tableColumn id="9" xr3:uid="{0037D127-E2BA-445A-BC63-1395BA3AC441}" name="Calendar ID" dataDxfId="106" dataCellStyle="Link"/>
    <tableColumn id="10" xr3:uid="{37CA3B7B-8FF0-4042-97C6-E23A79A74325}" name="Store ID"/>
    <tableColumn id="6" xr3:uid="{044D8005-25C5-4D31-940A-B6DE4C6B0EA5}" name="WorkingDays" dataDxfId="105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04"/>
    <tableColumn id="8" xr3:uid="{1177B0FB-46B2-406D-B988-C64E0ABA6972}" name="AppointmentOffsetHours" dataDxfId="103">
      <calculatedColumnFormula>5/60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102"/>
    <tableColumn id="3" xr3:uid="{78DABF02-3853-48FF-81AD-5801C74BED1B}" name="End time" dataDxfId="101"/>
    <tableColumn id="4" xr3:uid="{76C994F9-216A-4848-9FB6-16BAF8B0EEEA}" name="Time delta in h" dataDxfId="100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99"/>
    <tableColumn id="3" xr3:uid="{A62B365F-400F-45A4-B789-FE7B5FDBD312}" name="EBS self time" dataDxfId="98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97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CD5F112-321C-42B4-9792-C76D04104F59}" name="TimeEntries213751699510512513513915719921722924727128317192139607393107127139619537391107125139159171193203237255271823396677911051211352072212792891325435675871071191371491671791972092272392572692872993393554114214356" displayName="TimeEntries213751699510512513513915719921722924727128317192139607393107127139619537391107125139159171193203237255271823396677911051211352072212792891325435675871071191371491671791972092272392572692872993393554114214356" ref="A15:G18" totalsRowShown="0">
  <autoFilter ref="A15:G18" xr:uid="{AE329406-8C79-4AEC-8C5C-FAFEC55FE28D}"/>
  <tableColumns count="7">
    <tableColumn id="1" xr3:uid="{1B0E81FE-2637-42EB-B761-A40F8398B3AA}" name="Time entry no."/>
    <tableColumn id="2" xr3:uid="{577FA749-D119-4170-B3FA-5CE36704C037}" name="Start time" dataDxfId="93"/>
    <tableColumn id="3" xr3:uid="{A08E5798-FF77-41B0-896A-5EA9D73A4230}" name="End time" dataDxfId="92"/>
    <tableColumn id="4" xr3:uid="{EBC20D0C-5AF4-4745-9124-B1953A6E494C}" name="Time delta in h" dataDxfId="91">
      <calculatedColumnFormula>MAX((C16-B16)*24,0)</calculatedColumnFormula>
    </tableColumn>
    <tableColumn id="5" xr3:uid="{84D149AC-DFFE-4799-93C4-104505757430}" name="Indicator"/>
    <tableColumn id="6" xr3:uid="{78DD50AE-AD37-4F3B-B7CB-8C86530A466C}" name="Action1" dataDxfId="90" dataCellStyle="Link"/>
    <tableColumn id="7" xr3:uid="{3831D4AE-89B8-4258-9A9A-6CD9750AB0F8}" name="Action2" dataDxfId="89" dataCellStyle="Link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C4A438E-635F-4511-B26F-125CE71DCCA4}" name="Tabelle7367223852709610612613614015820021823024827228418202240617494108128140720547492108126140160172194204238256272924406878921061221362082222802901426445776881081201381501681801982102282402582702883003403564124224457" displayName="Tabelle7367223852709610612613614015820021823024827228418202240617494108128140720547492108126140160172194204238256272924406878921061221362082222802901426445776881081201381501681801982102282402582702883003403564124224457" ref="I15:M22" totalsRowShown="0">
  <autoFilter ref="I15:M22" xr:uid="{12E3B069-A885-4145-94AA-1B42A08F93B2}"/>
  <tableColumns count="5">
    <tableColumn id="1" xr3:uid="{DC6CA555-414C-4EBE-A1D6-8491AE6C6CB2}" name="Comparison entry no."/>
    <tableColumn id="2" xr3:uid="{09FE935C-7740-4BFD-A567-6F83996F6FE4}" name="Propability Support point" dataDxfId="88"/>
    <tableColumn id="3" xr3:uid="{6C01DBF1-674B-4BA0-839B-7D4F93DB17B4}" name="EBS self time" dataDxfId="87"/>
    <tableColumn id="4" xr3:uid="{308AF215-3DAE-47C2-A05B-2F5B8CA7C06D}" name="Total time">
      <calculatedColumnFormula>#REF!</calculatedColumnFormula>
    </tableColumn>
    <tableColumn id="5" xr3:uid="{DF474F60-D466-4017-9C78-C909DEB7D914}" name="Total time / Your estimate" dataDxfId="86">
      <calculatedColumnFormula>Tabelle7367223852709610612613614015820021823024827228418202240617494108128140720547492108126140160172194204238256272924406878921061221362082222802901426445776881081201381501681801982102282402582702883003403564124224457[[#This Row],[EBS self time]]/Tabelle7367223852709610612613614015820021823024827228418202240617494108128140720547492108126140160172194204238256272924406878921061221362082222802901426445776881081201381501681801982102282402582702883003403564124224457[[#This Row],[Total time]]</calculatedColumnFormula>
    </tableColumn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45885C5-7DFD-4E60-BBB5-DA581EDE251B}" name="TimeEntries217355162621395673991091291391591691891992192292492592792893093193393493693793994098214151738310311313314316317319320322323325326382141518235164165183203223315681105163181193211223241253285337381399417429461521533593607627639657669687699711458" displayName="TimeEntries217355162621395673991091291391591691891992192292492592792893093193393493693793994098214151738310311313314316317319320322323325326382141518235164165183203223315681105163181193211223241253285337381399417429461521533593607627639657669687699711458" ref="A38:G40" totalsRowShown="0">
  <autoFilter ref="A38:G40" xr:uid="{B4408B3D-5713-47C2-8887-635EF608147D}"/>
  <tableColumns count="7">
    <tableColumn id="1" xr3:uid="{773FD0C4-8E6B-47C4-830D-65C9FC9EB0D3}" name="Time entry no."/>
    <tableColumn id="2" xr3:uid="{061876C3-691D-4DE9-AD1F-F8B6616D57AB}" name="Start time" dataDxfId="85"/>
    <tableColumn id="3" xr3:uid="{7C4C6505-64E6-433E-8BF2-6CED129948C7}" name="End time" dataDxfId="84"/>
    <tableColumn id="4" xr3:uid="{617672E7-CC21-4888-AA74-1128E52259D7}" name="Time delta in h" dataDxfId="83">
      <calculatedColumnFormula>MAX((C39-B39)*24,0)</calculatedColumnFormula>
    </tableColumn>
    <tableColumn id="5" xr3:uid="{9147C0A9-3A1C-4269-87A0-70847FB75DE8}" name="Indicator"/>
    <tableColumn id="6" xr3:uid="{2F47236A-35EB-4C5F-90D7-A54DA03918B9}" name="Action1" dataDxfId="82" dataCellStyle="Link"/>
    <tableColumn id="7" xr3:uid="{1696FBB8-06DB-4899-AB9C-CBCDF08A4CA2}" name="Action2" dataDxfId="81" dataCellStyle="Link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F989C1E3-B4CA-4C9B-B7B8-FA10BC6B4664}" name="Tabelle7367518365263722405774100110130140160170190200220230250260280290310320340350370380400410922425274841041141341441641741942042242342542649224252924526516618420422432578210616418219421222424225428633838240041843046252253459460862864065867068870071459" displayName="Tabelle7367518365263722405774100110130140160170190200220230250260280290310320340350370380400410922425274841041141341441641741942042242342542649224252924526516618420422432578210616418219421222424225428633838240041843046252253459460862864065867068870071459" ref="I38:M45" totalsRowShown="0">
  <autoFilter ref="I38:M45" xr:uid="{3BA424C2-7AAC-43BE-93CA-ED0265A34F73}"/>
  <tableColumns count="5">
    <tableColumn id="1" xr3:uid="{672E8597-50E7-4C7D-991B-9EE610BF87F9}" name="Comparison entry no."/>
    <tableColumn id="2" xr3:uid="{12908D7C-FC81-439F-B629-F963F7306BAA}" name="Propability Support point" dataDxfId="80"/>
    <tableColumn id="3" xr3:uid="{DE4B1EFA-8A3A-4A32-B99B-6EEC8DCBB0AE}" name="EBS self time" dataDxfId="79"/>
    <tableColumn id="4" xr3:uid="{B72423CD-E4B5-4A46-8251-AEE0C502570B}" name="Total time">
      <calculatedColumnFormula>#REF!</calculatedColumnFormula>
    </tableColumn>
    <tableColumn id="5" xr3:uid="{F5AD0D2D-4840-482B-A9D0-F9A43510B8E9}" name="Total time / Your estimate" dataDxfId="78">
      <calculatedColumnFormula>Tabelle7367518365263722405774100110130140160170190200220230250260280290310320340350370380400410922425274841041141341441641741942042242342542649224252924526516618420422432578210616418219421222424225428633838240041843046252253459460862864065867068870071459[[#This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time]]/Tabelle7367518365263722405774100110130140160170190200220230250260280290310320340350370380400410922425274841041141341441641741942042242342542649224252924526516618420422432578210616418219421222424225428633838240041843046252253459460862864065867068870071459[[#This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B75F0D8-46D7-40BE-B05C-C043053DAF2B}" name="TimeEntries1937627585103117133215225297313623395371851031171331471631771932072232372532672832973473594294456281" displayName="TimeEntries1937627585103117133215225297313623395371851031171331471631771932072232372532672832973473594294456281" ref="A61:G64" totalsRowShown="0">
  <autoFilter ref="A61:G64" xr:uid="{B255A0C8-D743-4B39-BBEA-F8B44113A2F2}"/>
  <tableColumns count="7">
    <tableColumn id="1" xr3:uid="{B95278CD-BF2E-4B8E-B144-8156CD272F95}" name="Time entry no."/>
    <tableColumn id="2" xr3:uid="{0EE8E1B8-E9C2-4CAA-A11C-B81998C2BF0B}" name="Start time" dataDxfId="77"/>
    <tableColumn id="3" xr3:uid="{42D7ED77-8D1E-4FED-B669-AE01EA0FE7EF}" name="End time" dataDxfId="76"/>
    <tableColumn id="4" xr3:uid="{559E1B52-2D7B-4FF9-81EF-959E1B38440E}" name="Time delta in h" dataDxfId="75">
      <calculatedColumnFormula>MAX((C62-B62)*24,0)</calculatedColumnFormula>
    </tableColumn>
    <tableColumn id="5" xr3:uid="{F28A5C69-3B36-4DBC-A42D-C951DCAE1ADD}" name="Indicator"/>
    <tableColumn id="6" xr3:uid="{6F667741-38B2-4DED-ACD4-0FB77AFB6B73}" name="Action1" dataDxfId="74" dataCellStyle="Link"/>
    <tableColumn id="7" xr3:uid="{6241D30F-33A0-4367-8EC9-378815117395}" name="Action2" dataDxfId="73" dataCellStyle="Link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F6BA0D18-A8ED-4DBA-A7E2-62E3F74938AA}" name="Tabelle73672038637686104118134216226298314724405472861041181341481641781942082242382542682842983483604304466382" displayName="Tabelle73672038637686104118134216226298314724405472861041181341481641781942082242382542682842983483604304466382" ref="I61:M68" totalsRowShown="0">
  <autoFilter ref="I61:M68" xr:uid="{FB4AFADA-8F7A-44E5-9627-A5195CA8D73C}"/>
  <tableColumns count="5">
    <tableColumn id="1" xr3:uid="{7C09E589-E229-4E6B-8330-287F9860F4F1}" name="Comparison entry no."/>
    <tableColumn id="2" xr3:uid="{AC902544-81DA-4AB4-AF16-9EA2F6CC6AC2}" name="Propability Support point" dataDxfId="72"/>
    <tableColumn id="3" xr3:uid="{F33D8E66-F54A-4FEC-BB88-DD32769B62B4}" name="EBS self time" dataDxfId="71"/>
    <tableColumn id="4" xr3:uid="{743696E2-3315-4BC1-A38B-A28725A3C4EA}" name="Total time">
      <calculatedColumnFormula>#REF!</calculatedColumnFormula>
    </tableColumn>
    <tableColumn id="5" xr3:uid="{55049D39-8501-4202-8E4F-04E2B59DB0F7}" name="Total time / Your estimate" dataDxfId="70">
      <calculatedColumnFormula>Tabelle73672038637686104118134216226298314724405472861041181341481641781942082242382542682842983483604304466382[[#This Row],[EBS self time]]/Tabelle73672038637686104118134216226298314724405472861041181341481641781942082242382542682842983483604304466382[[#This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F012B280-7B40-4A26-8F93-D5A1C484E5BC}" name="TimeEntries21731439510712913915916921922724925930131531496281951131251431551731852032152332452632752933053233513613813914334476236683" displayName="TimeEntries21731439510712913915916921922724925930131531496281951131251431551731852032152332452632752933053233513613813914334476236683" ref="A84:G85" totalsRowShown="0">
  <autoFilter ref="A84:G85" xr:uid="{745F18A7-9885-4678-9348-BF722CF1EB14}"/>
  <tableColumns count="7">
    <tableColumn id="1" xr3:uid="{9B1059E5-46A5-4542-9021-5C1BD813738B}" name="Time entry no."/>
    <tableColumn id="2" xr3:uid="{ADC07791-43C7-46A2-A066-0B975E4A44F6}" name="Start time" dataDxfId="69"/>
    <tableColumn id="3" xr3:uid="{F4A438CA-EA66-45FB-B287-86B81E221C84}" name="End time" dataDxfId="68"/>
    <tableColumn id="4" xr3:uid="{CCFA56B8-5A30-4B6F-9762-FF8A40EF6C06}" name="Time delta in h" dataDxfId="67">
      <calculatedColumnFormula>MAX((C85-B85)*24,0)</calculatedColumnFormula>
    </tableColumn>
    <tableColumn id="5" xr3:uid="{1E83F9DF-E592-47BB-8AC2-ACE789926E78}" name="Indicator"/>
    <tableColumn id="6" xr3:uid="{B470AA89-7C52-4413-80C5-FF44799DF157}" name="Action1"/>
    <tableColumn id="7" xr3:uid="{D9623E8A-5A80-4DDE-82D6-003689221E91}" name="Action2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908ECE8B-65B9-428A-98F8-8A39708D32C1}" name="Tabelle736751832449610813014016017022022825026030231632506382961141261441561741862042162342462642762943063243523623823924344487246884" displayName="Tabelle736751832449610813014016017022022825026030231632506382961141261441561741862042162342462642762943063243523623823924344487246884" ref="I84:M85" totalsRowShown="0">
  <autoFilter ref="I84:M85" xr:uid="{2C863DEA-CD48-4942-89CB-5B1AF822903E}"/>
  <tableColumns count="5">
    <tableColumn id="1" xr3:uid="{074A8E16-40AA-4BE7-837F-473737DC8554}" name="Comparison entry no."/>
    <tableColumn id="2" xr3:uid="{114787BC-C339-44F7-AA14-BD5648CA23D2}" name="Propability Support point" dataDxfId="66"/>
    <tableColumn id="3" xr3:uid="{A4DB72B8-2AD4-478D-AA8E-07265E1C3A50}" name="EBS self time" dataDxfId="65"/>
    <tableColumn id="4" xr3:uid="{5B5CE436-0262-4F44-9A45-A52EA57C13C0}" name="Total time">
      <calculatedColumnFormula>#REF!</calculatedColumnFormula>
    </tableColumn>
    <tableColumn id="5" xr3:uid="{ADFE71A0-28F6-4032-8BB8-331C59C2E499}" name="Total time / Your estimate" dataDxfId="64">
      <calculatedColumnFormula>Tabelle736751832449610813014016017022022825026030231632506382961141261441561741862042162342462642762943063243523623823924344487246884[[#This Row],[EBS self time]]/Tabelle736751832449610813014016017022022825026030231632506382961141261441561741862042162342462642762943063243523623823924344487246884[[#This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34DF7109-C1C1-430D-82FB-7D8E26DECDF7}" name="TimeEntries132347587917374751718310112513715516718519721522724525727528730531733534736537739540742519374969819911112914115917118920121923124926127919334760174562879718119119521923724327536610311513517918920921923924927729337338941542545346950952757361485" displayName="TimeEntries132347587917374751718310112513715516718519721522724525727528730531733534736537739540742519374969819911112914115917118920121923124926127919334760174562879718119119521923724327536610311513517918920921923924927729337338941542545346950952757361485" ref="A101:G102" insertRow="1" totalsRowShown="0">
  <autoFilter ref="A101:G102" xr:uid="{67AFCBA0-7E20-4228-9336-0D30C9DD7912}"/>
  <tableColumns count="7">
    <tableColumn id="1" xr3:uid="{A77D107F-4665-43D7-AF93-CF5DF47908EA}" name="Time entry no."/>
    <tableColumn id="2" xr3:uid="{6DEE89C9-6D52-4326-B231-EC49154AC4C6}" name="Start time" dataDxfId="63"/>
    <tableColumn id="3" xr3:uid="{4967753F-D6A9-4123-B4E8-B0F7E00EC0D2}" name="End time" dataDxfId="62"/>
    <tableColumn id="4" xr3:uid="{90A544CA-CC58-4730-BF84-F1094DABB33B}" name="Time delta in h" dataDxfId="61"/>
    <tableColumn id="5" xr3:uid="{9D279B83-A84A-4EF6-A3D2-A5012436A5D1}" name="Indicator"/>
    <tableColumn id="6" xr3:uid="{E8D1720D-121F-4DC3-A115-14A7283F7E01}" name="Action1" dataDxfId="60" dataCellStyle="Link"/>
    <tableColumn id="7" xr3:uid="{B2640B2F-298B-44EC-875D-2F025C72D6EA}" name="Action2" dataDxfId="59" dataCellStyle="Link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C2569C5C-3065-4DF9-938D-3256FAB27D35}" name="Tabelle7367142448598018384852728410212613815616818619821622824625827628830631833634836637839640842620385070821001121301421601721902022202322502622802034486118466388981821921962202382442854681041161361801902102202402502782943743904164264544705105285741486" displayName="Tabelle7367142448598018384852728410212613815616818619821622824625827628830631833634836637839640842620385070821001121301421601721902022202322502622802034486118466388981821921962202382442854681041161361801902102202402502782943743904164264544705105285741486" ref="I101:M108" totalsRowShown="0">
  <autoFilter ref="I101:M108" xr:uid="{640A336A-E058-407D-971C-C23B91B0FFCF}"/>
  <tableColumns count="5">
    <tableColumn id="1" xr3:uid="{3A3B6942-2935-415C-8A8E-5EAE80987A53}" name="Comparison entry no."/>
    <tableColumn id="2" xr3:uid="{7F9BA2DE-D8EF-4AA6-BF10-9355DDF9D44D}" name="Propability Support point" dataDxfId="58"/>
    <tableColumn id="3" xr3:uid="{558F2A8A-2485-47AD-A708-A4951E2FA91F}" name="EBS self time" dataDxfId="57"/>
    <tableColumn id="4" xr3:uid="{DDECBBB0-A069-409E-9E73-FAE1B81E42BC}" name="Total time">
      <calculatedColumnFormula>#REF!</calculatedColumnFormula>
    </tableColumn>
    <tableColumn id="5" xr3:uid="{44A3CD04-E29C-41C9-86A4-5F4EC32F0593}" name="Total time / Your estimate" dataDxfId="56">
      <calculatedColumnFormula>Tabelle7367142448598018384852728410212613815616818619821622824625827628830631833634836637839640842620385070821001121301421601721902022202322502622802034486118466388981821921962202382442854681041161361801902102202402502782943743904164264544705105285741486[[#This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time]]/Tabelle7367142448598018384852728410212613815616818619821622824625827628830631833634836637839640842620385070821001121301421601721902022202322502622802034486118466388981821921962202382442854681041161361801902102202402502782943743904164264544705105285741486[[#This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D9B38F2-8F61-41ED-A6CE-DDD3FCB6BC29}" name="TimeEntries619314966825416075871031131311431611731912032212332512632812933113233413533713834014131325435675871051171351471651771952072252372552671325436921396081951771891992212312414962991111751872052172352472712913673874114234474674954975696036196351487" displayName="TimeEntries619314966825416075871031131311431611731912032212332512632812933113233413533713834014131325435675871051171351471651771952072252372552671325436921396081951771891992212312414962991111751872052172352472712913673874114234474674954975696036196351487" ref="A124:G125" insertRow="1" totalsRowShown="0">
  <autoFilter ref="A124:G125" xr:uid="{32164B7F-E6FE-4097-A843-D49ADF22207F}"/>
  <tableColumns count="7">
    <tableColumn id="1" xr3:uid="{F8B30BB8-6012-4BC8-BB36-25D8637B0BAA}" name="Time entry no."/>
    <tableColumn id="2" xr3:uid="{7512EC1F-6D40-409C-928E-1CD18F4DD698}" name="Start time" dataDxfId="55"/>
    <tableColumn id="3" xr3:uid="{74616AD2-0936-43D9-BBB0-7B0972F9173E}" name="End time" dataDxfId="54"/>
    <tableColumn id="4" xr3:uid="{115C3D86-B0E4-48FC-9974-C42C534E68BD}" name="Time delta in h" dataDxfId="53"/>
    <tableColumn id="5" xr3:uid="{7935D765-E33B-4260-876F-49753A7F9489}" name="Indicator"/>
    <tableColumn id="6" xr3:uid="{2CA65BDB-E8F2-4266-A06C-199641769864}" name="Action1" dataDxfId="52" dataCellStyle="Link"/>
    <tableColumn id="7" xr3:uid="{805EA4B4-FA5F-4AE7-A6C8-5326001489F2}" name="Action2" dataDxfId="51" dataCellStyle="Link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2B72916E-A08E-49E0-8AF9-BC03896FF56F}" name="Tabelle7367720325068926426176881041141321441621741922042222342522642822943123243423543723844024141426445776881061181361481661781962082262382562681426447022406182961781902002222322425063100112176188206218236248272292368388412424448468496498570604620631488" displayName="Tabelle7367720325068926426176881041141321441621741922042222342522642822943123243423543723844024141426445776881061181361481661781962082262382562681426447022406182961781902002222322425063100112176188206218236248272292368388412424448468496498570604620631488" ref="I124:M131" totalsRowShown="0">
  <autoFilter ref="I124:M131" xr:uid="{F22AB9FD-D731-42E0-9256-F998695042AF}"/>
  <tableColumns count="5">
    <tableColumn id="1" xr3:uid="{1ABF9D16-E79A-4871-8458-25B06AAA65BF}" name="Comparison entry no."/>
    <tableColumn id="2" xr3:uid="{7C17DFDD-6203-4C93-ACDA-A80C8DF98D32}" name="Propability Support point" dataDxfId="50"/>
    <tableColumn id="3" xr3:uid="{FA145D64-9238-4D85-8CD4-AC730AE2C99C}" name="EBS self time" dataDxfId="49"/>
    <tableColumn id="4" xr3:uid="{9489FA32-EC4C-4D14-89D2-9B3C9D34B013}" name="Total time">
      <calculatedColumnFormula>#REF!</calculatedColumnFormula>
    </tableColumn>
    <tableColumn id="5" xr3:uid="{CD74D0C4-427F-49F4-9CCE-DFD3DE042F1D}" name="Total time / Your estimate" dataDxfId="48">
      <calculatedColumnFormula>Tabelle7367720325068926426176881041141321441621741922042222342522642822943123243423543723844024141426445776881061181361481661781962082262382562681426447022406182961781902002222322425063100112176188206218236248272292368388412424448468496498570604620631488[[#This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time]]/Tabelle7367720325068926426176881041141321441621741922042222342522642822943123243423543723844024141426445776881061181361481661781962082262382562681426447022406182961781902002222322425063100112176188206218236248272292368388412424448468496498570604620631488[[#This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2E85CD04-87CA-454D-A9FB-2BAEF62756E3}" name="TimeEntries821435675153345697995107121135151165181195211225241255271285301315331345361375391405421173347647995109125139155169185199215229245259275172945561533587593173187215227436093109171185201215231245265289319321361385407421441465555565601611615631491" displayName="TimeEntries821435675153345697995107121135151165181195211225241255271285301315331345361375391405421173347647995109125139155169185199215229245259275172945561533587593173187215227436093109171185201215231245265289319321361385407421441465555565601611615631491" ref="A147:G158" totalsRowShown="0">
  <autoFilter ref="A147:G158" xr:uid="{E9A121C3-F826-43A4-94C3-4BD8C5458B39}"/>
  <tableColumns count="7">
    <tableColumn id="1" xr3:uid="{50AE3A97-002A-474A-8750-943151062332}" name="Time entry no."/>
    <tableColumn id="2" xr3:uid="{F1C13CCE-E24E-4488-BF48-BFD38DC33C0A}" name="Start time" dataDxfId="47"/>
    <tableColumn id="3" xr3:uid="{65D1B8F1-A282-4CEE-8781-E24BEF5A582A}" name="End time" dataDxfId="46"/>
    <tableColumn id="4" xr3:uid="{3B286465-908E-4A58-B656-F78E9B68943F}" name="Time delta in h" dataDxfId="45">
      <calculatedColumnFormula>MAX((C148-B148)*24,0)</calculatedColumnFormula>
    </tableColumn>
    <tableColumn id="5" xr3:uid="{6095F072-7D3C-4CED-855A-F6E5FE8FFD73}" name="Indicator"/>
    <tableColumn id="6" xr3:uid="{EAD8781A-71D5-4014-A58D-80EF3B8F775E}" name="Action1" dataDxfId="44" dataCellStyle="Link"/>
    <tableColumn id="7" xr3:uid="{B428F71B-3CC2-48A0-85F7-4388451F34A9}" name="Action2" dataDxfId="43" dataCellStyle="Link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A69AF19C-B174-453A-828D-745526E65FE4}" name="Tabelle7367922445776163446708096108122136152166182196212226242256272286302316332346362376392406422183448658096110126140156170186200216230246260276183046571634597694174188216228446194110172186202216232246266290320322362386408422442466556566602612616631492" displayName="Tabelle7367922445776163446708096108122136152166182196212226242256272286302316332346362376392406422183448658096110126140156170186200216230246260276183046571634597694174188216228446194110172186202216232246266290320322362386408422442466556566602612616631492" ref="I147:M154" totalsRowShown="0">
  <autoFilter ref="I147:M154" xr:uid="{9F917493-3F8B-4F88-A01C-A42D00BDA41A}"/>
  <tableColumns count="5">
    <tableColumn id="1" xr3:uid="{0FE2CC6B-5FD5-485B-8131-A2FFE579DB2F}" name="Comparison entry no."/>
    <tableColumn id="2" xr3:uid="{83F47309-8695-4F30-9B6F-4B3685CB95CD}" name="Propability Support point" dataDxfId="42"/>
    <tableColumn id="3" xr3:uid="{C462C866-3F8B-49AB-89AA-D6BE445A543B}" name="EBS self time" dataDxfId="41"/>
    <tableColumn id="4" xr3:uid="{5693786D-7A8C-4BEE-BD42-8123921A96E7}" name="Total time">
      <calculatedColumnFormula>#REF!</calculatedColumnFormula>
    </tableColumn>
    <tableColumn id="5" xr3:uid="{DC023D1F-2EF1-451D-9D41-584CED7214D7}" name="Total time / Your estimate" dataDxfId="40">
      <calculatedColumnFormula>Tabelle7367922445776163446708096108122136152166182196212226242256272286302316332346362376392406422183448658096110126140156170186200216230246260276183046571634597694174188216228446194110172186202216232246266290320322362386408422442466556566602612616631492[[#This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time]]/Tabelle7367922445776163446708096108122136152166182196212226242256272286302316332346362376392406422183448658096110126140156170186200216230246260276183046571634597694174188216228446194110172186202216232246266290320322362386408422442466556566602612616631492[[#This Row],[Total time]]</calculatedColumnFormula>
    </tableColumn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9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95"/>
    <tableColumn id="4" xr3:uid="{F9EDA55E-5206-49A7-A846-6A0B14C04CAF}" name="User time estimate" dataDxfId="9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D15" sqref="D15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3" t="s">
        <v>143</v>
      </c>
      <c r="B4" s="44"/>
      <c r="C4" s="45" t="s">
        <v>152</v>
      </c>
      <c r="D4" s="45"/>
      <c r="E4" s="43"/>
      <c r="F4" s="43"/>
      <c r="G4" s="43" t="s">
        <v>174</v>
      </c>
      <c r="H4" s="43" t="s">
        <v>139</v>
      </c>
      <c r="I4" s="46">
        <v>0.5</v>
      </c>
      <c r="J4" s="46">
        <v>0.75</v>
      </c>
      <c r="K4" s="47">
        <v>43877.967650462961</v>
      </c>
      <c r="L4" s="46" t="s">
        <v>95</v>
      </c>
      <c r="M4" s="47" t="s">
        <v>95</v>
      </c>
      <c r="N4" s="44" t="s">
        <v>95</v>
      </c>
      <c r="O4" s="43" t="s">
        <v>19</v>
      </c>
      <c r="P4" s="43" t="s">
        <v>95</v>
      </c>
      <c r="Q4" s="43" t="s">
        <v>168</v>
      </c>
      <c r="U4"/>
    </row>
    <row r="5" spans="1:22" ht="15" customHeight="1" x14ac:dyDescent="0.25">
      <c r="A5" s="48" t="s">
        <v>150</v>
      </c>
      <c r="B5" s="44"/>
      <c r="C5" s="45" t="s">
        <v>138</v>
      </c>
      <c r="D5" s="45" t="s">
        <v>140</v>
      </c>
      <c r="E5" s="43" t="s">
        <v>178</v>
      </c>
      <c r="F5" s="48"/>
      <c r="G5" s="48" t="s">
        <v>174</v>
      </c>
      <c r="H5" s="48" t="s">
        <v>139</v>
      </c>
      <c r="I5" s="49">
        <v>1</v>
      </c>
      <c r="J5" s="49">
        <v>0.50000000005820799</v>
      </c>
      <c r="K5" s="50">
        <v>43876.756701388891</v>
      </c>
      <c r="L5" s="48" t="s">
        <v>95</v>
      </c>
      <c r="M5" s="48" t="s">
        <v>95</v>
      </c>
      <c r="N5" s="44" t="s">
        <v>95</v>
      </c>
      <c r="O5" s="48" t="s">
        <v>19</v>
      </c>
      <c r="P5" s="48" t="s">
        <v>95</v>
      </c>
      <c r="Q5" s="48" t="s">
        <v>173</v>
      </c>
      <c r="U5"/>
    </row>
    <row r="6" spans="1:22" ht="15" customHeight="1" x14ac:dyDescent="0.25">
      <c r="A6" s="52" t="s">
        <v>161</v>
      </c>
      <c r="B6" s="53"/>
      <c r="C6" s="54" t="s">
        <v>224</v>
      </c>
      <c r="D6" s="54"/>
      <c r="E6" s="55" t="s">
        <v>176</v>
      </c>
      <c r="F6" s="52" t="s">
        <v>176</v>
      </c>
      <c r="G6" s="52"/>
      <c r="H6" s="52" t="s">
        <v>139</v>
      </c>
      <c r="I6" s="56">
        <v>5</v>
      </c>
      <c r="J6" s="56">
        <v>0.50888888875488203</v>
      </c>
      <c r="K6" s="57">
        <v>43940.764502314814</v>
      </c>
      <c r="L6" s="52" t="s">
        <v>95</v>
      </c>
      <c r="M6" s="52" t="s">
        <v>95</v>
      </c>
      <c r="N6" s="58"/>
      <c r="O6" s="52" t="s">
        <v>19</v>
      </c>
      <c r="P6" s="52" t="s">
        <v>95</v>
      </c>
      <c r="Q6" s="52" t="s">
        <v>223</v>
      </c>
      <c r="U6"/>
    </row>
    <row r="7" spans="1:22" ht="15" customHeight="1" x14ac:dyDescent="0.25">
      <c r="A7" s="48" t="s">
        <v>151</v>
      </c>
      <c r="B7" s="44"/>
      <c r="C7" s="45" t="s">
        <v>221</v>
      </c>
      <c r="D7" s="45"/>
      <c r="E7" s="43"/>
      <c r="F7" s="48"/>
      <c r="G7" s="48"/>
      <c r="H7" s="48" t="s">
        <v>94</v>
      </c>
      <c r="I7" s="49" t="s">
        <v>222</v>
      </c>
      <c r="J7" s="49">
        <v>0</v>
      </c>
      <c r="K7" s="48" t="s">
        <v>95</v>
      </c>
      <c r="L7" s="48" t="s">
        <v>95</v>
      </c>
      <c r="M7" s="48" t="s">
        <v>95</v>
      </c>
      <c r="N7" s="51"/>
      <c r="O7" s="48" t="s">
        <v>19</v>
      </c>
      <c r="P7" s="48">
        <v>5</v>
      </c>
      <c r="Q7" s="48" t="s">
        <v>220</v>
      </c>
      <c r="U7"/>
    </row>
    <row r="8" spans="1:22" ht="15" customHeight="1" x14ac:dyDescent="0.25">
      <c r="A8" s="48" t="s">
        <v>149</v>
      </c>
      <c r="B8" s="44"/>
      <c r="C8" s="45" t="s">
        <v>166</v>
      </c>
      <c r="D8" s="45"/>
      <c r="E8" s="43"/>
      <c r="F8" s="48"/>
      <c r="G8" s="48" t="s">
        <v>177</v>
      </c>
      <c r="H8" s="48" t="s">
        <v>94</v>
      </c>
      <c r="I8" s="49">
        <v>2</v>
      </c>
      <c r="J8" s="49">
        <v>0</v>
      </c>
      <c r="K8" s="48" t="s">
        <v>95</v>
      </c>
      <c r="L8" s="49">
        <v>1.9995000000000001</v>
      </c>
      <c r="M8" s="50">
        <v>43962.416643518518</v>
      </c>
      <c r="N8" s="44" t="s">
        <v>95</v>
      </c>
      <c r="O8" s="48" t="s">
        <v>19</v>
      </c>
      <c r="P8" s="48">
        <v>4</v>
      </c>
      <c r="Q8" s="48" t="s">
        <v>172</v>
      </c>
      <c r="U8"/>
    </row>
    <row r="9" spans="1:22" ht="15" customHeight="1" x14ac:dyDescent="0.25">
      <c r="A9" s="52" t="s">
        <v>146</v>
      </c>
      <c r="B9" s="53"/>
      <c r="C9" s="54" t="s">
        <v>155</v>
      </c>
      <c r="D9" s="54"/>
      <c r="E9" s="55" t="s">
        <v>178</v>
      </c>
      <c r="F9" s="52"/>
      <c r="G9" s="52" t="s">
        <v>175</v>
      </c>
      <c r="H9" s="52" t="s">
        <v>156</v>
      </c>
      <c r="I9" s="56">
        <v>1</v>
      </c>
      <c r="J9" s="56">
        <v>0.50000000005820799</v>
      </c>
      <c r="K9" s="52" t="s">
        <v>95</v>
      </c>
      <c r="L9" s="56">
        <v>6.0995000000000008</v>
      </c>
      <c r="M9" s="57">
        <v>43962.587488425925</v>
      </c>
      <c r="N9" s="58">
        <v>43877</v>
      </c>
      <c r="O9" s="52" t="s">
        <v>19</v>
      </c>
      <c r="P9" s="52">
        <v>3</v>
      </c>
      <c r="Q9" s="52" t="s">
        <v>169</v>
      </c>
      <c r="U9"/>
    </row>
    <row r="10" spans="1:22" s="61" customFormat="1" x14ac:dyDescent="0.25">
      <c r="A10" s="48" t="s">
        <v>148</v>
      </c>
      <c r="B10" s="44"/>
      <c r="C10" s="45" t="s">
        <v>165</v>
      </c>
      <c r="D10" s="45"/>
      <c r="E10" s="43"/>
      <c r="F10" s="48" t="s">
        <v>176</v>
      </c>
      <c r="G10" s="48" t="s">
        <v>175</v>
      </c>
      <c r="H10" s="48" t="s">
        <v>94</v>
      </c>
      <c r="I10" s="49">
        <v>5</v>
      </c>
      <c r="J10" s="49">
        <v>0</v>
      </c>
      <c r="K10" s="48" t="s">
        <v>95</v>
      </c>
      <c r="L10" s="49">
        <v>5.6035000000000004</v>
      </c>
      <c r="M10" s="50">
        <v>43962.566817129627</v>
      </c>
      <c r="N10" s="44" t="s">
        <v>95</v>
      </c>
      <c r="O10" s="48" t="s">
        <v>19</v>
      </c>
      <c r="P10" s="48">
        <v>2</v>
      </c>
      <c r="Q10" s="48" t="s">
        <v>171</v>
      </c>
      <c r="R10" s="59"/>
      <c r="S10" s="55"/>
      <c r="T10" s="55"/>
      <c r="U10" s="60"/>
    </row>
    <row r="11" spans="1:22" s="61" customFormat="1" x14ac:dyDescent="0.25">
      <c r="A11" s="48" t="s">
        <v>147</v>
      </c>
      <c r="B11" s="44"/>
      <c r="C11" s="45" t="s">
        <v>157</v>
      </c>
      <c r="D11" s="45" t="s">
        <v>158</v>
      </c>
      <c r="E11" s="43"/>
      <c r="F11" s="48" t="s">
        <v>176</v>
      </c>
      <c r="G11" s="48" t="s">
        <v>175</v>
      </c>
      <c r="H11" s="48" t="s">
        <v>156</v>
      </c>
      <c r="I11" s="49">
        <v>0.25</v>
      </c>
      <c r="J11" s="49">
        <v>2.5002777776098801</v>
      </c>
      <c r="K11" s="48" t="s">
        <v>95</v>
      </c>
      <c r="L11" s="49">
        <v>5.6035000000000004</v>
      </c>
      <c r="M11" s="50">
        <v>43962.566817129627</v>
      </c>
      <c r="N11" s="44" t="s">
        <v>95</v>
      </c>
      <c r="O11" s="48" t="s">
        <v>19</v>
      </c>
      <c r="P11" s="48">
        <v>1</v>
      </c>
      <c r="Q11" s="48" t="s">
        <v>170</v>
      </c>
      <c r="R11" s="59"/>
      <c r="S11" s="55"/>
      <c r="T11" s="55"/>
      <c r="U11" s="60"/>
      <c r="V11" s="62"/>
    </row>
    <row r="12" spans="1:22" x14ac:dyDescent="0.25">
      <c r="A12" s="39"/>
      <c r="B12" s="35"/>
      <c r="C12" s="23"/>
      <c r="D12" s="23"/>
      <c r="E12" s="24"/>
      <c r="F12" s="39"/>
      <c r="G12" s="39"/>
      <c r="H12" s="39"/>
      <c r="I12" s="40"/>
      <c r="J12" s="39"/>
      <c r="K12" s="39"/>
      <c r="L12" s="39"/>
      <c r="M12" s="39"/>
      <c r="N12" s="36"/>
      <c r="O12" s="39"/>
      <c r="P12" s="39"/>
      <c r="Q12" s="39"/>
    </row>
    <row r="13" spans="1:22" x14ac:dyDescent="0.25">
      <c r="A13" s="24"/>
      <c r="B13" s="35"/>
      <c r="C13" s="23"/>
      <c r="D13" s="23" t="s">
        <v>114</v>
      </c>
      <c r="F13" s="24"/>
      <c r="G13" s="24"/>
      <c r="H13" s="24"/>
      <c r="I13" s="24"/>
      <c r="J13" s="25"/>
      <c r="K13" s="24"/>
      <c r="L13" s="25"/>
      <c r="M13" s="25"/>
      <c r="N13" s="36"/>
      <c r="Q13" s="24"/>
    </row>
    <row r="18" spans="3:3" x14ac:dyDescent="0.25">
      <c r="C18" s="11"/>
    </row>
    <row r="39" spans="22:22" x14ac:dyDescent="0.25">
      <c r="V39" t="s">
        <v>88</v>
      </c>
    </row>
  </sheetData>
  <dataConsolidate/>
  <conditionalFormatting sqref="B4:B11">
    <cfRule type="containsText" dxfId="31" priority="7" operator="containsText" text="&lt;current">
      <formula>NOT(ISERROR(SEARCH("&lt;current",B4)))</formula>
    </cfRule>
  </conditionalFormatting>
  <conditionalFormatting sqref="H4:H11">
    <cfRule type="containsText" dxfId="30" priority="2" operator="containsText" text="Note">
      <formula>NOT(ISERROR(SEARCH("Note",H4)))</formula>
    </cfRule>
    <cfRule type="containsText" dxfId="29" priority="8" operator="containsText" text="Done">
      <formula>NOT(ISERROR(SEARCH("Done",H4)))</formula>
    </cfRule>
    <cfRule type="containsText" dxfId="28" priority="9" operator="containsText" text="In progress">
      <formula>NOT(ISERROR(SEARCH("In progress",H4)))</formula>
    </cfRule>
    <cfRule type="containsText" dxfId="27" priority="10" operator="containsText" text="To do">
      <formula>NOT(ISERROR(SEARCH("To do",H4)))</formula>
    </cfRule>
  </conditionalFormatting>
  <conditionalFormatting sqref="N4:N11">
    <cfRule type="cellIs" dxfId="26" priority="1" operator="lessThan">
      <formula>TODAY()</formula>
    </cfRule>
  </conditionalFormatting>
  <conditionalFormatting sqref="P4:P1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11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11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11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11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11" xr:uid="{F32ADCD5-9D8D-4CCE-8AA4-B6EAC1E91473}">
      <formula1>"important,fruit"</formula1>
    </dataValidation>
  </dataValidations>
  <hyperlinks>
    <hyperlink ref="C4" location="Planning!A1" display="Planning!A1" xr:uid="{5B5CD1D8-E8BD-4F86-9D8D-50B9A9632EE8}"/>
    <hyperlink ref="C9" location="Planning!A1" display="Planning!A1" xr:uid="{F41690D9-314B-4722-B547-157B5711E165}"/>
    <hyperlink ref="C11" location="Planning!A1" display="Planning!A1" xr:uid="{BC42D341-749E-4974-9703-6AF2E3023CA9}"/>
    <hyperlink ref="C10" location="Planning!A1" display="Planning!A1" xr:uid="{2E2E1D78-1291-4A8A-B39B-9D84FE2709E6}"/>
    <hyperlink ref="C8" location="Planning!A1" display="Planning!A1" xr:uid="{C52ECF19-4604-4FF4-A21A-6F25D9A71A90}"/>
    <hyperlink ref="C5" location="Planning!A1" display="Planning!A1" xr:uid="{0E674BE9-9519-43F9-BD03-7C270522C598}"/>
    <hyperlink ref="C7" location="Planning!A1" display="Planning!A1" xr:uid="{6755011C-20C2-4A5E-BCAB-70192544D23C}"/>
    <hyperlink ref="C6" location="Planning!A1" display="Planning!A1" xr:uid="{194470B7-4288-42F7-BC98-28556DD7119C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C4B6-5BB0-4F93-B459-0A2C6443FE36}">
  <sheetPr codeName="TaskSheetTemplate1"/>
  <dimension ref="A1:M21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155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0.75000000017462298</v>
      </c>
      <c r="C4" t="s">
        <v>4</v>
      </c>
    </row>
    <row r="5" spans="1:13" x14ac:dyDescent="0.25">
      <c r="A5" t="s">
        <v>14</v>
      </c>
      <c r="B5" s="41">
        <v>43877</v>
      </c>
    </row>
    <row r="6" spans="1:13" x14ac:dyDescent="0.25">
      <c r="A6" t="s">
        <v>15</v>
      </c>
      <c r="B6" s="41" t="s">
        <v>19</v>
      </c>
    </row>
    <row r="7" spans="1:13" x14ac:dyDescent="0.25">
      <c r="A7" t="s">
        <v>1</v>
      </c>
      <c r="B7" t="s">
        <v>156</v>
      </c>
    </row>
    <row r="8" spans="1:13" x14ac:dyDescent="0.25">
      <c r="A8" t="s">
        <v>16</v>
      </c>
      <c r="B8" s="41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169</v>
      </c>
    </row>
    <row r="11" spans="1:13" x14ac:dyDescent="0.25">
      <c r="A11" t="s">
        <v>5</v>
      </c>
      <c r="B11" s="2">
        <f>B3/B4</f>
        <v>1.3333333330228925</v>
      </c>
      <c r="C11" t="s">
        <v>6</v>
      </c>
    </row>
    <row r="12" spans="1:13" x14ac:dyDescent="0.25">
      <c r="A12" t="s">
        <v>96</v>
      </c>
      <c r="B12" t="s">
        <v>141</v>
      </c>
    </row>
    <row r="13" spans="1:13" x14ac:dyDescent="0.25">
      <c r="A13" t="s">
        <v>97</v>
      </c>
      <c r="B13" t="s">
        <v>225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143</v>
      </c>
      <c r="B15" s="1">
        <v>43877.684965277775</v>
      </c>
      <c r="C15" s="1">
        <v>43877.695381944446</v>
      </c>
      <c r="D15" s="2">
        <f>MAX((C15-B15)*24,0)</f>
        <v>0.25000000011641532</v>
      </c>
      <c r="F15" s="42" t="s">
        <v>144</v>
      </c>
      <c r="G15" s="23" t="s">
        <v>145</v>
      </c>
      <c r="I15" t="s">
        <v>143</v>
      </c>
      <c r="J15" s="15">
        <v>0.05</v>
      </c>
      <c r="K15" s="2">
        <v>0.1</v>
      </c>
      <c r="L15" s="2" t="e">
        <f>#REF!</f>
        <v>#REF!</v>
      </c>
      <c r="M15" s="16" t="e">
        <f>Tabelle7367162840547214304465789210611813414816417819420822423825426828429831432834435837438840441816304661789210812213815216818219821222824225827216385065202857709217018621022638598810816818419821422824426028835638440442043646455256459861063264266261102[[#This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time]]/Tabelle7367162840547214304465789210611813414816417819420822423825426828429831432834435837438840441816304661789210812213815216818219821222824225827216385065202857709217018621022638598810816818419821422824426028835638440442043646455256459861063264266261102[[#This Row],[Total time]]</f>
        <v>#REF!</v>
      </c>
    </row>
    <row r="16" spans="1:13" x14ac:dyDescent="0.25">
      <c r="A16" t="s">
        <v>146</v>
      </c>
      <c r="B16" s="1">
        <v>43877.684976851851</v>
      </c>
      <c r="C16" s="1">
        <v>43877.695393518516</v>
      </c>
      <c r="D16" s="2">
        <f>MAX((C16-B16)*24,0)</f>
        <v>0.24999999994179234</v>
      </c>
      <c r="F16" s="42" t="s">
        <v>144</v>
      </c>
      <c r="G16" s="23" t="s">
        <v>145</v>
      </c>
      <c r="I16" t="s">
        <v>146</v>
      </c>
      <c r="J16" s="15">
        <v>0.2</v>
      </c>
      <c r="K16" s="2">
        <v>0.1</v>
      </c>
      <c r="L16" s="2" t="e">
        <f>#REF!</f>
        <v>#REF!</v>
      </c>
      <c r="M16" s="16" t="e">
        <f>Tabelle7367162840547214304465789210611813414816417819420822423825426828429831432834435837438840441816304661789210812213815216818219821222824225827216385065202857709217018621022638598810816818419821422824426028835638440442043646455256459861063264266261102[[#This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time]]/Tabelle7367162840547214304465789210611813414816417819420822423825426828429831432834435837438840441816304661789210812213815216818219821222824225827216385065202857709217018621022638598810816818419821422824426028835638440442043646455256459861063264266261102[[#This Row],[Total time]]</f>
        <v>#REF!</v>
      </c>
    </row>
    <row r="17" spans="1:13" x14ac:dyDescent="0.25">
      <c r="A17" t="s">
        <v>147</v>
      </c>
      <c r="B17" s="1">
        <v>43877.695393518516</v>
      </c>
      <c r="C17" s="1">
        <v>43877.695393518516</v>
      </c>
      <c r="D17" s="2">
        <f>MAX((C17-B17)*24,0)</f>
        <v>0</v>
      </c>
      <c r="F17" s="42" t="s">
        <v>144</v>
      </c>
      <c r="G17" s="23" t="s">
        <v>145</v>
      </c>
      <c r="I17" t="s">
        <v>147</v>
      </c>
      <c r="J17" s="15">
        <v>0.35</v>
      </c>
      <c r="K17" s="2">
        <v>0.1</v>
      </c>
      <c r="L17" s="2" t="e">
        <f>#REF!</f>
        <v>#REF!</v>
      </c>
      <c r="M17" s="16" t="e">
        <f>Tabelle7367162840547214304465789210611813414816417819420822423825426828429831432834435837438840441816304661789210812213815216818219821222824225827216385065202857709217018621022638598810816818419821422824426028835638440442043646455256459861063264266261102[[#This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time]]/Tabelle7367162840547214304465789210611813414816417819420822423825426828429831432834435837438840441816304661789210812213815216818219821222824225827216385065202857709217018621022638598810816818419821422824426028835638440442043646455256459861063264266261102[[#This Row],[Total time]]</f>
        <v>#REF!</v>
      </c>
    </row>
    <row r="18" spans="1:13" x14ac:dyDescent="0.25">
      <c r="A18" t="s">
        <v>148</v>
      </c>
      <c r="B18" s="1">
        <v>43959.999120370368</v>
      </c>
      <c r="C18" s="1">
        <v>43960.00953703704</v>
      </c>
      <c r="D18" s="2">
        <f>MAX((C18-B18)*24,0)</f>
        <v>0.25000000011641532</v>
      </c>
      <c r="F18" s="42" t="s">
        <v>144</v>
      </c>
      <c r="G18" s="23" t="s">
        <v>145</v>
      </c>
      <c r="I18" t="s">
        <v>148</v>
      </c>
      <c r="J18" s="15">
        <v>0.5</v>
      </c>
      <c r="K18" s="2">
        <v>0.1</v>
      </c>
      <c r="L18" s="2" t="e">
        <f>#REF!</f>
        <v>#REF!</v>
      </c>
      <c r="M18" s="16" t="e">
        <f>Tabelle7367162840547214304465789210611813414816417819420822423825426828429831432834435837438840441816304661789210812213815216818219821222824225827216385065202857709217018621022638598810816818419821422824426028835638440442043646455256459861063264266261102[[#This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time]]/Tabelle7367162840547214304465789210611813414816417819420822423825426828429831432834435837438840441816304661789210812213815216818219821222824225827216385065202857709217018621022638598810816818419821422824426028835638440442043646455256459861063264266261102[[#This Row],[Total time]]</f>
        <v>#REF!</v>
      </c>
    </row>
    <row r="19" spans="1:13" x14ac:dyDescent="0.25">
      <c r="I19" t="s">
        <v>149</v>
      </c>
      <c r="J19" s="15">
        <v>0.65</v>
      </c>
      <c r="K19" s="2">
        <v>0.1</v>
      </c>
      <c r="L19" s="2" t="e">
        <f>#REF!</f>
        <v>#REF!</v>
      </c>
      <c r="M19" s="16" t="e">
        <f>Tabelle7367162840547214304465789210611813414816417819420822423825426828429831432834435837438840441816304661789210812213815216818219821222824225827216385065202857709217018621022638598810816818419821422824426028835638440442043646455256459861063264266261102[[#This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time]]/Tabelle7367162840547214304465789210611813414816417819420822423825426828429831432834435837438840441816304661789210812213815216818219821222824225827216385065202857709217018621022638598810816818419821422824426028835638440442043646455256459861063264266261102[[#This Row],[Total time]]</f>
        <v>#REF!</v>
      </c>
    </row>
    <row r="20" spans="1:13" x14ac:dyDescent="0.25">
      <c r="I20" t="s">
        <v>150</v>
      </c>
      <c r="J20" s="15">
        <v>0.8</v>
      </c>
      <c r="K20" s="2">
        <v>0.1</v>
      </c>
      <c r="L20" s="2" t="e">
        <f>#REF!</f>
        <v>#REF!</v>
      </c>
      <c r="M20" s="16" t="e">
        <f>Tabelle7367162840547214304465789210611813414816417819420822423825426828429831432834435837438840441816304661789210812213815216818219821222824225827216385065202857709217018621022638598810816818419821422824426028835638440442043646455256459861063264266261102[[#This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time]]/Tabelle7367162840547214304465789210611813414816417819420822423825426828429831432834435837438840441816304661789210812213815216818219821222824225827216385065202857709217018621022638598810816818419821422824426028835638440442043646455256459861063264266261102[[#This Row],[Total time]]</f>
        <v>#REF!</v>
      </c>
    </row>
    <row r="21" spans="1:13" x14ac:dyDescent="0.25">
      <c r="I21" t="s">
        <v>151</v>
      </c>
      <c r="J21" s="15">
        <v>0.95</v>
      </c>
      <c r="K21" s="2">
        <v>0.1</v>
      </c>
      <c r="L21" s="2" t="e">
        <f>#REF!</f>
        <v>#REF!</v>
      </c>
      <c r="M21" s="16" t="e">
        <f>Tabelle7367162840547214304465789210611813414816417819420822423825426828429831432834435837438840441816304661789210812213815216818219821222824225827216385065202857709217018621022638598810816818419821422824426028835638440442043646455256459861063264266261102[[#This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time]]/Tabelle7367162840547214304465789210611813414816417819420822423825426828429831432834435837438840441816304661789210812213815216818219821222824225827216385065202857709217018621022638598810816818419821422824426028835638440442043646455256459861063264266261102[[#This Row],[Total time]]</f>
        <v>#REF!</v>
      </c>
    </row>
  </sheetData>
  <dataConsolidate/>
  <hyperlinks>
    <hyperlink ref="A1" location="Planning!A1" display="Go back to 'Planning' sheet" xr:uid="{F34B58F3-7E3D-456C-AF66-BF92828FFE50}"/>
    <hyperlink ref="F15" location="$F$15" display="$F$15" xr:uid="{0F50CA40-B13D-4838-B9DA-8EE3A0FA487C}"/>
    <hyperlink ref="G15" location="$G$15" display="$G$15" xr:uid="{E5CA6D69-084D-4567-B91D-95F852D33BAE}"/>
    <hyperlink ref="F16" location="$F$16" display="$F$16" xr:uid="{52B7A7D9-B789-4D44-BEFF-85B03A5DA1C0}"/>
    <hyperlink ref="G16" location="$G$16" display="$G$16" xr:uid="{C4D24B16-66D4-4FD5-BB5E-9351169E69C8}"/>
    <hyperlink ref="F17" location="$F$17" display="$F$17" xr:uid="{529F3219-DB18-473D-8F25-65E721AD2BD2}"/>
    <hyperlink ref="G17" location="$G$17" display="$G$17" xr:uid="{FA7E1259-BA3A-4636-B446-415C3187E7C2}"/>
    <hyperlink ref="F18" location="$F$18" display="$F$18" xr:uid="{75CF712B-2FB0-4350-817D-0B1B0992E41F}"/>
    <hyperlink ref="G18" location="$G$18" display="$G$18" xr:uid="{F910CAEB-40F6-4700-AAD4-45D240BF495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68"/>
  <sheetViews>
    <sheetView topLeftCell="A9" workbookViewId="0">
      <selection activeCell="H27" sqref="H27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63" t="s">
        <v>231</v>
      </c>
      <c r="G15" s="64"/>
      <c r="H15" s="64"/>
    </row>
    <row r="16" spans="5:8" x14ac:dyDescent="0.25">
      <c r="E16" s="14" t="s">
        <v>74</v>
      </c>
      <c r="F16" s="63" t="s">
        <v>37</v>
      </c>
      <c r="G16" s="64"/>
      <c r="H16" s="64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143</v>
      </c>
      <c r="B19" s="17">
        <v>43878.817696759259</v>
      </c>
      <c r="C19" t="s">
        <v>183</v>
      </c>
      <c r="D19" t="s">
        <v>27</v>
      </c>
      <c r="E19" t="s">
        <v>179</v>
      </c>
      <c r="F19" t="s">
        <v>180</v>
      </c>
      <c r="G19" t="s">
        <v>181</v>
      </c>
      <c r="H19" t="s">
        <v>182</v>
      </c>
      <c r="J19" t="s">
        <v>143</v>
      </c>
      <c r="K19" t="s">
        <v>172</v>
      </c>
      <c r="L19">
        <v>4</v>
      </c>
      <c r="M19" s="2">
        <v>0</v>
      </c>
      <c r="N19" s="2">
        <v>2</v>
      </c>
      <c r="O19" t="s">
        <v>235</v>
      </c>
      <c r="P19" t="s">
        <v>235</v>
      </c>
      <c r="Q19" t="s">
        <v>235</v>
      </c>
      <c r="R19" t="s">
        <v>179</v>
      </c>
      <c r="S19" t="s">
        <v>236</v>
      </c>
      <c r="T19" t="s">
        <v>237</v>
      </c>
    </row>
    <row r="20" spans="1:20" x14ac:dyDescent="0.25">
      <c r="A20" t="s">
        <v>146</v>
      </c>
      <c r="B20" s="17">
        <v>43940.766226851854</v>
      </c>
      <c r="C20" t="s">
        <v>230</v>
      </c>
      <c r="D20" t="s">
        <v>27</v>
      </c>
      <c r="E20" t="s">
        <v>179</v>
      </c>
      <c r="F20" t="s">
        <v>232</v>
      </c>
      <c r="G20" t="s">
        <v>233</v>
      </c>
      <c r="H20" t="s">
        <v>229</v>
      </c>
      <c r="J20" t="s">
        <v>146</v>
      </c>
      <c r="K20" t="s">
        <v>171</v>
      </c>
      <c r="L20">
        <v>3</v>
      </c>
      <c r="M20" s="2">
        <v>0</v>
      </c>
      <c r="N20" s="2">
        <v>5</v>
      </c>
      <c r="O20" t="s">
        <v>238</v>
      </c>
      <c r="P20" t="s">
        <v>238</v>
      </c>
      <c r="Q20" t="s">
        <v>239</v>
      </c>
      <c r="R20" t="s">
        <v>179</v>
      </c>
      <c r="S20" t="s">
        <v>240</v>
      </c>
      <c r="T20" t="s">
        <v>241</v>
      </c>
    </row>
    <row r="21" spans="1:20" x14ac:dyDescent="0.25">
      <c r="A21" t="s">
        <v>147</v>
      </c>
      <c r="B21" s="17">
        <v>43959.961782407408</v>
      </c>
      <c r="C21" t="s">
        <v>230</v>
      </c>
      <c r="D21" t="s">
        <v>27</v>
      </c>
      <c r="E21" t="s">
        <v>179</v>
      </c>
      <c r="F21" t="s">
        <v>246</v>
      </c>
      <c r="G21" t="s">
        <v>247</v>
      </c>
      <c r="H21" t="s">
        <v>234</v>
      </c>
      <c r="J21" t="s">
        <v>147</v>
      </c>
      <c r="K21" t="s">
        <v>170</v>
      </c>
      <c r="L21">
        <v>2</v>
      </c>
      <c r="M21" s="2">
        <v>2.5002777776098801</v>
      </c>
      <c r="N21" s="2">
        <v>0.25</v>
      </c>
      <c r="O21" t="s">
        <v>242</v>
      </c>
      <c r="P21" t="s">
        <v>228</v>
      </c>
      <c r="Q21" t="s">
        <v>239</v>
      </c>
      <c r="R21" t="s">
        <v>179</v>
      </c>
      <c r="S21" t="s">
        <v>240</v>
      </c>
      <c r="T21" t="s">
        <v>241</v>
      </c>
    </row>
    <row r="22" spans="1:20" x14ac:dyDescent="0.25">
      <c r="B22" s="17"/>
      <c r="J22" t="s">
        <v>148</v>
      </c>
      <c r="K22" t="s">
        <v>169</v>
      </c>
      <c r="L22">
        <v>1</v>
      </c>
      <c r="M22" s="2">
        <v>0.50000000005820799</v>
      </c>
      <c r="N22" s="2">
        <v>1</v>
      </c>
      <c r="O22" t="s">
        <v>243</v>
      </c>
      <c r="P22" t="s">
        <v>244</v>
      </c>
      <c r="Q22" t="s">
        <v>245</v>
      </c>
      <c r="R22" t="s">
        <v>179</v>
      </c>
      <c r="S22" t="s">
        <v>246</v>
      </c>
      <c r="T22" t="s">
        <v>247</v>
      </c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  <c r="M25" s="2"/>
      <c r="N25" s="2"/>
    </row>
    <row r="26" spans="1:20" x14ac:dyDescent="0.25">
      <c r="B26" s="17"/>
      <c r="M26" s="2"/>
      <c r="N26" s="2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  <row r="49" spans="2:2" x14ac:dyDescent="0.25">
      <c r="B49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  <row r="53" spans="2:2" x14ac:dyDescent="0.25">
      <c r="B53" s="17"/>
    </row>
    <row r="54" spans="2:2" x14ac:dyDescent="0.25">
      <c r="B54" s="17"/>
    </row>
    <row r="55" spans="2:2" x14ac:dyDescent="0.25">
      <c r="B55" s="17"/>
    </row>
    <row r="56" spans="2:2" x14ac:dyDescent="0.25">
      <c r="B56" s="17"/>
    </row>
    <row r="57" spans="2:2" x14ac:dyDescent="0.25">
      <c r="B57" s="17"/>
    </row>
    <row r="58" spans="2:2" x14ac:dyDescent="0.25">
      <c r="B58" s="17"/>
    </row>
    <row r="59" spans="2:2" x14ac:dyDescent="0.25">
      <c r="B59" s="17"/>
    </row>
    <row r="60" spans="2:2" x14ac:dyDescent="0.25">
      <c r="B60" s="17"/>
    </row>
    <row r="61" spans="2:2" x14ac:dyDescent="0.25">
      <c r="B61" s="17"/>
    </row>
    <row r="62" spans="2:2" x14ac:dyDescent="0.25">
      <c r="B62" s="17"/>
    </row>
    <row r="63" spans="2:2" x14ac:dyDescent="0.25">
      <c r="B63" s="17"/>
    </row>
    <row r="66" spans="2:2" x14ac:dyDescent="0.25">
      <c r="B66" s="17"/>
    </row>
    <row r="67" spans="2:2" x14ac:dyDescent="0.25">
      <c r="B67" s="17"/>
    </row>
    <row r="68" spans="2:2" x14ac:dyDescent="0.25">
      <c r="B68" s="17"/>
    </row>
  </sheetData>
  <mergeCells count="2">
    <mergeCell ref="F15:H15"/>
    <mergeCell ref="F16:H16"/>
  </mergeCells>
  <conditionalFormatting sqref="D33:D1048576 D1:D29 D31">
    <cfRule type="containsText" dxfId="25" priority="1" operator="containsText" text="No">
      <formula>NOT(ISERROR(SEARCH("No",D1)))</formula>
    </cfRule>
    <cfRule type="containsText" dxfId="24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31 D19:D29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184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143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146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147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148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149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150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151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161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162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163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164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185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186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187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188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189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190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191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192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193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194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195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196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197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198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199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200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201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202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203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204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205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206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207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208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209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210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211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212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213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214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215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216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217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218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219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A6" sqref="A6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133</v>
      </c>
      <c r="D4" t="s">
        <v>132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4" sqref="C4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23" priority="1" operator="containsText" text="Verbose">
      <formula>NOT(ISERROR(SEARCH("Verbose",E4)))</formula>
    </cfRule>
    <cfRule type="containsText" dxfId="22" priority="2" operator="containsText" text="Info">
      <formula>NOT(ISERROR(SEARCH("Info",E4)))</formula>
    </cfRule>
    <cfRule type="containsText" dxfId="21" priority="3" operator="containsText" text="Warning">
      <formula>NOT(ISERROR(SEARCH("Warning",E4)))</formula>
    </cfRule>
    <cfRule type="containsText" dxfId="20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580F5-A4B3-4998-9B96-139C344798F9}">
  <sheetPr codeName="Tabelle1"/>
  <dimension ref="A1:M158"/>
  <sheetViews>
    <sheetView topLeftCell="A134" workbookViewId="0">
      <selection activeCell="A161" sqref="A161:M181"/>
    </sheetView>
  </sheetViews>
  <sheetFormatPr baseColWidth="10" defaultRowHeight="15" x14ac:dyDescent="0.25"/>
  <sheetData>
    <row r="1" spans="1:13" x14ac:dyDescent="0.25">
      <c r="A1" t="s">
        <v>135</v>
      </c>
      <c r="B1" t="s">
        <v>168</v>
      </c>
      <c r="C1" t="s">
        <v>136</v>
      </c>
      <c r="D1">
        <v>21</v>
      </c>
      <c r="E1" t="s">
        <v>137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152</v>
      </c>
    </row>
    <row r="4" spans="1:13" x14ac:dyDescent="0.25">
      <c r="A4" t="s">
        <v>79</v>
      </c>
      <c r="B4" s="2">
        <v>0.5</v>
      </c>
      <c r="C4" t="s">
        <v>4</v>
      </c>
    </row>
    <row r="5" spans="1:13" x14ac:dyDescent="0.25">
      <c r="A5" t="s">
        <v>0</v>
      </c>
      <c r="B5" s="2">
        <f>SUM(D:D)</f>
        <v>149.25916666642297</v>
      </c>
      <c r="C5" t="s">
        <v>4</v>
      </c>
    </row>
    <row r="6" spans="1:13" x14ac:dyDescent="0.25">
      <c r="A6" t="s">
        <v>14</v>
      </c>
      <c r="B6" s="41" t="s">
        <v>95</v>
      </c>
    </row>
    <row r="7" spans="1:13" x14ac:dyDescent="0.25">
      <c r="A7" t="s">
        <v>15</v>
      </c>
      <c r="B7" s="41" t="s">
        <v>19</v>
      </c>
    </row>
    <row r="8" spans="1:13" x14ac:dyDescent="0.25">
      <c r="A8" t="s">
        <v>1</v>
      </c>
      <c r="B8" t="s">
        <v>139</v>
      </c>
    </row>
    <row r="9" spans="1:13" x14ac:dyDescent="0.25">
      <c r="A9" t="s">
        <v>16</v>
      </c>
      <c r="B9" s="41">
        <v>43877.967650462961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168</v>
      </c>
    </row>
    <row r="12" spans="1:13" x14ac:dyDescent="0.25">
      <c r="A12" t="s">
        <v>5</v>
      </c>
      <c r="B12" s="2">
        <f>B4/B5</f>
        <v>3.349878008614656E-3</v>
      </c>
      <c r="C12" t="s">
        <v>6</v>
      </c>
    </row>
    <row r="13" spans="1:13" x14ac:dyDescent="0.25">
      <c r="A13" t="s">
        <v>96</v>
      </c>
      <c r="B13" t="s">
        <v>153</v>
      </c>
    </row>
    <row r="14" spans="1:13" x14ac:dyDescent="0.25">
      <c r="A14" t="s">
        <v>97</v>
      </c>
      <c r="B14" t="s">
        <v>154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143</v>
      </c>
      <c r="B16" s="1">
        <v>43877.957233796296</v>
      </c>
      <c r="C16" s="1">
        <v>43877.967650462961</v>
      </c>
      <c r="D16" s="2">
        <f>MAX((C16-B16)*24,0)</f>
        <v>0.24999999994179234</v>
      </c>
      <c r="F16" s="42" t="s">
        <v>144</v>
      </c>
      <c r="G16" s="23" t="s">
        <v>145</v>
      </c>
      <c r="I16" t="s">
        <v>143</v>
      </c>
      <c r="J16" s="15">
        <v>0.05</v>
      </c>
      <c r="K16" s="2">
        <v>0.05</v>
      </c>
      <c r="L16" s="2" t="e">
        <f>#REF!</f>
        <v>#REF!</v>
      </c>
      <c r="M16" s="16" t="e">
        <f>Tabelle7367223852709610612613614015820021823024827228418202240617494108128140720547492108126140160172194204238256272924406878921061221362082222802901426445776881081201381501681801982102282402582702883003403564124224457[[#This Row],[EBS self time]]/Tabelle7367223852709610612613614015820021823024827228418202240617494108128140720547492108126140160172194204238256272924406878921061221362082222802901426445776881081201381501681801982102282402582702883003403564124224457[[#This Row],[Total time]]</f>
        <v>#REF!</v>
      </c>
    </row>
    <row r="17" spans="1:13" x14ac:dyDescent="0.25">
      <c r="A17" t="s">
        <v>146</v>
      </c>
      <c r="B17" s="1">
        <v>43877.957696759258</v>
      </c>
      <c r="C17" s="1">
        <v>43877.968113425923</v>
      </c>
      <c r="D17" s="2">
        <f>MAX((C17-B17)*24,0)</f>
        <v>0.24999999994179234</v>
      </c>
      <c r="F17" s="42" t="s">
        <v>144</v>
      </c>
      <c r="G17" s="23" t="s">
        <v>145</v>
      </c>
      <c r="I17" t="s">
        <v>146</v>
      </c>
      <c r="J17" s="15">
        <v>0.2</v>
      </c>
      <c r="K17" s="2">
        <v>0.05</v>
      </c>
      <c r="L17" s="2" t="e">
        <f>#REF!</f>
        <v>#REF!</v>
      </c>
      <c r="M17" s="16" t="e">
        <f>Tabelle7367223852709610612613614015820021823024827228418202240617494108128140720547492108126140160172194204238256272924406878921061221362082222802901426445776881081201381501681801982102282402582702883003403564124224457[[#This Row],[EBS self time]]/Tabelle7367223852709610612613614015820021823024827228418202240617494108128140720547492108126140160172194204238256272924406878921061221362082222802901426445776881081201381501681801982102282402582702883003403564124224457[[#This Row],[Total time]]</f>
        <v>#REF!</v>
      </c>
    </row>
    <row r="18" spans="1:13" x14ac:dyDescent="0.25">
      <c r="A18" t="s">
        <v>147</v>
      </c>
      <c r="B18" s="1">
        <v>43877.957719907405</v>
      </c>
      <c r="C18" s="1">
        <v>43877.968136574076</v>
      </c>
      <c r="D18" s="2">
        <f>MAX((C18-B18)*24,0)</f>
        <v>0.25000000011641532</v>
      </c>
      <c r="F18" s="42" t="s">
        <v>144</v>
      </c>
      <c r="G18" s="23" t="s">
        <v>145</v>
      </c>
      <c r="I18" t="s">
        <v>147</v>
      </c>
      <c r="J18" s="15">
        <v>0.35</v>
      </c>
      <c r="K18" s="2">
        <v>0.05</v>
      </c>
      <c r="L18" s="2" t="e">
        <f>#REF!</f>
        <v>#REF!</v>
      </c>
      <c r="M18" s="16" t="e">
        <f>Tabelle7367223852709610612613614015820021823024827228418202240617494108128140720547492108126140160172194204238256272924406878921061221362082222802901426445776881081201381501681801982102282402582702883003403564124224457[[#This Row],[EBS self time]]/Tabelle7367223852709610612613614015820021823024827228418202240617494108128140720547492108126140160172194204238256272924406878921061221362082222802901426445776881081201381501681801982102282402582702883003403564124224457[[#This Row],[Total time]]</f>
        <v>#REF!</v>
      </c>
    </row>
    <row r="19" spans="1:13" x14ac:dyDescent="0.25">
      <c r="I19" t="s">
        <v>148</v>
      </c>
      <c r="J19" s="15">
        <v>0.5</v>
      </c>
      <c r="K19" s="2">
        <v>0.05</v>
      </c>
      <c r="L19" s="2" t="e">
        <f>#REF!</f>
        <v>#REF!</v>
      </c>
      <c r="M19" s="16" t="e">
        <f>Tabelle7367223852709610612613614015820021823024827228418202240617494108128140720547492108126140160172194204238256272924406878921061221362082222802901426445776881081201381501681801982102282402582702883003403564124224457[[#This Row],[EBS self time]]/Tabelle7367223852709610612613614015820021823024827228418202240617494108128140720547492108126140160172194204238256272924406878921061221362082222802901426445776881081201381501681801982102282402582702883003403564124224457[[#This Row],[Total time]]</f>
        <v>#REF!</v>
      </c>
    </row>
    <row r="20" spans="1:13" x14ac:dyDescent="0.25">
      <c r="I20" t="s">
        <v>149</v>
      </c>
      <c r="J20" s="15">
        <v>0.65</v>
      </c>
      <c r="K20" s="2">
        <v>0.05</v>
      </c>
      <c r="L20" s="2" t="e">
        <f>#REF!</f>
        <v>#REF!</v>
      </c>
      <c r="M20" s="16" t="e">
        <f>Tabelle7367223852709610612613614015820021823024827228418202240617494108128140720547492108126140160172194204238256272924406878921061221362082222802901426445776881081201381501681801982102282402582702883003403564124224457[[#This Row],[EBS self time]]/Tabelle7367223852709610612613614015820021823024827228418202240617494108128140720547492108126140160172194204238256272924406878921061221362082222802901426445776881081201381501681801982102282402582702883003403564124224457[[#This Row],[Total time]]</f>
        <v>#REF!</v>
      </c>
    </row>
    <row r="21" spans="1:13" x14ac:dyDescent="0.25">
      <c r="I21" t="s">
        <v>150</v>
      </c>
      <c r="J21" s="15">
        <v>0.8</v>
      </c>
      <c r="K21" s="2">
        <v>0.05</v>
      </c>
      <c r="L21" s="2" t="e">
        <f>#REF!</f>
        <v>#REF!</v>
      </c>
      <c r="M21" s="16" t="e">
        <f>Tabelle7367223852709610612613614015820021823024827228418202240617494108128140720547492108126140160172194204238256272924406878921061221362082222802901426445776881081201381501681801982102282402582702883003403564124224457[[#This Row],[EBS self time]]/Tabelle7367223852709610612613614015820021823024827228418202240617494108128140720547492108126140160172194204238256272924406878921061221362082222802901426445776881081201381501681801982102282402582702883003403564124224457[[#This Row],[Total time]]</f>
        <v>#REF!</v>
      </c>
    </row>
    <row r="22" spans="1:13" x14ac:dyDescent="0.25">
      <c r="I22" t="s">
        <v>151</v>
      </c>
      <c r="J22" s="15">
        <v>0.95</v>
      </c>
      <c r="K22" s="2">
        <v>0.05</v>
      </c>
      <c r="L22" s="2" t="e">
        <f>#REF!</f>
        <v>#REF!</v>
      </c>
      <c r="M22" s="16" t="e">
        <f>Tabelle7367223852709610612613614015820021823024827228418202240617494108128140720547492108126140160172194204238256272924406878921061221362082222802901426445776881081201381501681801982102282402582702883003403564124224457[[#This Row],[EBS self time]]/Tabelle7367223852709610612613614015820021823024827228418202240617494108128140720547492108126140160172194204238256272924406878921061221362082222802901426445776881081201381501681801982102282402582702883003403564124224457[[#This Row],[Total time]]</f>
        <v>#REF!</v>
      </c>
    </row>
    <row r="24" spans="1:13" x14ac:dyDescent="0.25">
      <c r="A24" t="s">
        <v>135</v>
      </c>
      <c r="B24" t="s">
        <v>173</v>
      </c>
      <c r="C24" t="s">
        <v>136</v>
      </c>
      <c r="D24">
        <v>21</v>
      </c>
      <c r="E24" t="s">
        <v>137</v>
      </c>
      <c r="F24">
        <v>13</v>
      </c>
    </row>
    <row r="25" spans="1:13" x14ac:dyDescent="0.25">
      <c r="A25" s="4" t="s">
        <v>25</v>
      </c>
    </row>
    <row r="26" spans="1:13" x14ac:dyDescent="0.25">
      <c r="A26" t="s">
        <v>3</v>
      </c>
      <c r="B26" t="s">
        <v>138</v>
      </c>
    </row>
    <row r="27" spans="1:13" x14ac:dyDescent="0.25">
      <c r="A27" t="s">
        <v>79</v>
      </c>
      <c r="B27" s="2">
        <v>1</v>
      </c>
      <c r="C27" t="s">
        <v>4</v>
      </c>
    </row>
    <row r="28" spans="1:13" x14ac:dyDescent="0.25">
      <c r="A28" t="s">
        <v>0</v>
      </c>
      <c r="B28" s="2">
        <f>SUM(D:D)</f>
        <v>149.25916666642297</v>
      </c>
      <c r="C28" t="s">
        <v>4</v>
      </c>
    </row>
    <row r="29" spans="1:13" x14ac:dyDescent="0.25">
      <c r="A29" t="s">
        <v>14</v>
      </c>
      <c r="B29" s="41" t="s">
        <v>95</v>
      </c>
    </row>
    <row r="30" spans="1:13" x14ac:dyDescent="0.25">
      <c r="A30" t="s">
        <v>15</v>
      </c>
      <c r="B30" s="41" t="s">
        <v>19</v>
      </c>
    </row>
    <row r="31" spans="1:13" x14ac:dyDescent="0.25">
      <c r="A31" t="s">
        <v>1</v>
      </c>
      <c r="B31" t="s">
        <v>139</v>
      </c>
    </row>
    <row r="32" spans="1:13" x14ac:dyDescent="0.25">
      <c r="A32" t="s">
        <v>16</v>
      </c>
      <c r="B32" s="41">
        <v>43876.756701388891</v>
      </c>
    </row>
    <row r="33" spans="1:13" x14ac:dyDescent="0.25">
      <c r="A33" t="s">
        <v>2</v>
      </c>
      <c r="B33" t="s">
        <v>140</v>
      </c>
    </row>
    <row r="34" spans="1:13" x14ac:dyDescent="0.25">
      <c r="A34" t="s">
        <v>47</v>
      </c>
      <c r="B34" t="s">
        <v>173</v>
      </c>
    </row>
    <row r="35" spans="1:13" x14ac:dyDescent="0.25">
      <c r="A35" t="s">
        <v>5</v>
      </c>
      <c r="B35" s="2">
        <f>B27/B28</f>
        <v>6.699756017229312E-3</v>
      </c>
      <c r="C35" t="s">
        <v>6</v>
      </c>
    </row>
    <row r="36" spans="1:13" x14ac:dyDescent="0.25">
      <c r="A36" t="s">
        <v>96</v>
      </c>
      <c r="B36" t="s">
        <v>141</v>
      </c>
    </row>
    <row r="37" spans="1:13" x14ac:dyDescent="0.25">
      <c r="A37" t="s">
        <v>97</v>
      </c>
      <c r="B37" t="s">
        <v>142</v>
      </c>
    </row>
    <row r="38" spans="1:13" x14ac:dyDescent="0.25">
      <c r="A38" t="s">
        <v>11</v>
      </c>
      <c r="B38" t="s">
        <v>7</v>
      </c>
      <c r="C38" t="s">
        <v>8</v>
      </c>
      <c r="D38" t="s">
        <v>9</v>
      </c>
      <c r="E38" t="s">
        <v>10</v>
      </c>
      <c r="F38" t="s">
        <v>86</v>
      </c>
      <c r="G38" t="s">
        <v>87</v>
      </c>
      <c r="I38" t="s">
        <v>71</v>
      </c>
      <c r="J38" s="15" t="s">
        <v>69</v>
      </c>
      <c r="K38" s="2" t="s">
        <v>70</v>
      </c>
      <c r="L38" t="s">
        <v>72</v>
      </c>
      <c r="M38" t="s">
        <v>73</v>
      </c>
    </row>
    <row r="39" spans="1:13" x14ac:dyDescent="0.25">
      <c r="A39" t="s">
        <v>143</v>
      </c>
      <c r="B39" s="1">
        <v>43876.74627314815</v>
      </c>
      <c r="C39" s="1">
        <v>43876.756689814814</v>
      </c>
      <c r="D39" s="2">
        <f>MAX((C39-B39)*24,0)</f>
        <v>0.24999999994179234</v>
      </c>
      <c r="F39" s="42" t="s">
        <v>144</v>
      </c>
      <c r="G39" s="23" t="s">
        <v>145</v>
      </c>
      <c r="I39" t="s">
        <v>143</v>
      </c>
      <c r="J39" s="15">
        <v>0.05</v>
      </c>
      <c r="K39" s="2">
        <v>0.1</v>
      </c>
      <c r="L39" s="2" t="e">
        <f>#REF!</f>
        <v>#REF!</v>
      </c>
      <c r="M39" s="16" t="e">
        <f>Tabelle7367518365263722405774100110130140160170190200220230250260280290310320340350370380400410922425274841041141341441641741942042242342542649224252924526516618420422432578210616418219421222424225428633838240041843046252253459460862864065867068870071459[[#This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time]]/Tabelle7367518365263722405774100110130140160170190200220230250260280290310320340350370380400410922425274841041141341441641741942042242342542649224252924526516618420422432578210616418219421222424225428633838240041843046252253459460862864065867068870071459[[#This Row],[Total time]]</f>
        <v>#REF!</v>
      </c>
    </row>
    <row r="40" spans="1:13" x14ac:dyDescent="0.25">
      <c r="A40" t="s">
        <v>146</v>
      </c>
      <c r="B40" s="1">
        <v>43876.74628472222</v>
      </c>
      <c r="C40" s="1">
        <v>43876.756701388891</v>
      </c>
      <c r="D40" s="2">
        <f>MAX((C40-B40)*24,0)</f>
        <v>0.25000000011641532</v>
      </c>
      <c r="F40" s="42" t="s">
        <v>144</v>
      </c>
      <c r="G40" s="23" t="s">
        <v>145</v>
      </c>
      <c r="I40" t="s">
        <v>146</v>
      </c>
      <c r="J40" s="15">
        <v>0.2</v>
      </c>
      <c r="K40" s="2">
        <v>0.1</v>
      </c>
      <c r="L40" s="2" t="e">
        <f>#REF!</f>
        <v>#REF!</v>
      </c>
      <c r="M40" s="16" t="e">
        <f>Tabelle7367518365263722405774100110130140160170190200220230250260280290310320340350370380400410922425274841041141341441641741942042242342542649224252924526516618420422432578210616418219421222424225428633838240041843046252253459460862864065867068870071459[[#This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time]]/Tabelle7367518365263722405774100110130140160170190200220230250260280290310320340350370380400410922425274841041141341441641741942042242342542649224252924526516618420422432578210616418219421222424225428633838240041843046252253459460862864065867068870071459[[#This Row],[Total time]]</f>
        <v>#REF!</v>
      </c>
    </row>
    <row r="41" spans="1:13" x14ac:dyDescent="0.25">
      <c r="I41" t="s">
        <v>147</v>
      </c>
      <c r="J41" s="15">
        <v>0.35</v>
      </c>
      <c r="K41" s="2">
        <v>0.1</v>
      </c>
      <c r="L41" s="2" t="e">
        <f>#REF!</f>
        <v>#REF!</v>
      </c>
      <c r="M41" s="16" t="e">
        <f>Tabelle7367518365263722405774100110130140160170190200220230250260280290310320340350370380400410922425274841041141341441641741942042242342542649224252924526516618420422432578210616418219421222424225428633838240041843046252253459460862864065867068870071459[[#This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time]]/Tabelle7367518365263722405774100110130140160170190200220230250260280290310320340350370380400410922425274841041141341441641741942042242342542649224252924526516618420422432578210616418219421222424225428633838240041843046252253459460862864065867068870071459[[#This Row],[Total time]]</f>
        <v>#REF!</v>
      </c>
    </row>
    <row r="42" spans="1:13" x14ac:dyDescent="0.25">
      <c r="I42" t="s">
        <v>148</v>
      </c>
      <c r="J42" s="15">
        <v>0.5</v>
      </c>
      <c r="K42" s="2">
        <v>0.1</v>
      </c>
      <c r="L42" s="2" t="e">
        <f>#REF!</f>
        <v>#REF!</v>
      </c>
      <c r="M42" s="16" t="e">
        <f>Tabelle7367518365263722405774100110130140160170190200220230250260280290310320340350370380400410922425274841041141341441641741942042242342542649224252924526516618420422432578210616418219421222424225428633838240041843046252253459460862864065867068870071459[[#This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time]]/Tabelle7367518365263722405774100110130140160170190200220230250260280290310320340350370380400410922425274841041141341441641741942042242342542649224252924526516618420422432578210616418219421222424225428633838240041843046252253459460862864065867068870071459[[#This Row],[Total time]]</f>
        <v>#REF!</v>
      </c>
    </row>
    <row r="43" spans="1:13" x14ac:dyDescent="0.25">
      <c r="I43" t="s">
        <v>149</v>
      </c>
      <c r="J43" s="15">
        <v>0.65</v>
      </c>
      <c r="K43" s="2">
        <v>0.1</v>
      </c>
      <c r="L43" s="2" t="e">
        <f>#REF!</f>
        <v>#REF!</v>
      </c>
      <c r="M43" s="16" t="e">
        <f>Tabelle7367518365263722405774100110130140160170190200220230250260280290310320340350370380400410922425274841041141341441641741942042242342542649224252924526516618420422432578210616418219421222424225428633838240041843046252253459460862864065867068870071459[[#This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time]]/Tabelle7367518365263722405774100110130140160170190200220230250260280290310320340350370380400410922425274841041141341441641741942042242342542649224252924526516618420422432578210616418219421222424225428633838240041843046252253459460862864065867068870071459[[#This Row],[Total time]]</f>
        <v>#REF!</v>
      </c>
    </row>
    <row r="44" spans="1:13" x14ac:dyDescent="0.25">
      <c r="I44" t="s">
        <v>150</v>
      </c>
      <c r="J44" s="15">
        <v>0.8</v>
      </c>
      <c r="K44" s="2">
        <v>0.1</v>
      </c>
      <c r="L44" s="2" t="e">
        <f>#REF!</f>
        <v>#REF!</v>
      </c>
      <c r="M44" s="16" t="e">
        <f>Tabelle7367518365263722405774100110130140160170190200220230250260280290310320340350370380400410922425274841041141341441641741942042242342542649224252924526516618420422432578210616418219421222424225428633838240041843046252253459460862864065867068870071459[[#This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time]]/Tabelle7367518365263722405774100110130140160170190200220230250260280290310320340350370380400410922425274841041141341441641741942042242342542649224252924526516618420422432578210616418219421222424225428633838240041843046252253459460862864065867068870071459[[#This Row],[Total time]]</f>
        <v>#REF!</v>
      </c>
    </row>
    <row r="45" spans="1:13" x14ac:dyDescent="0.25">
      <c r="I45" t="s">
        <v>151</v>
      </c>
      <c r="J45" s="15">
        <v>0.95</v>
      </c>
      <c r="K45" s="2">
        <v>0.1</v>
      </c>
      <c r="L45" s="2" t="e">
        <f>#REF!</f>
        <v>#REF!</v>
      </c>
      <c r="M45" s="16" t="e">
        <f>Tabelle7367518365263722405774100110130140160170190200220230250260280290310320340350370380400410922425274841041141341441641741942042242342542649224252924526516618420422432578210616418219421222424225428633838240041843046252253459460862864065867068870071459[[#This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time]]/Tabelle7367518365263722405774100110130140160170190200220230250260280290310320340350370380400410922425274841041141341441641741942042242342542649224252924526516618420422432578210616418219421222424225428633838240041843046252253459460862864065867068870071459[[#This Row],[Total time]]</f>
        <v>#REF!</v>
      </c>
    </row>
    <row r="47" spans="1:13" x14ac:dyDescent="0.25">
      <c r="A47" t="s">
        <v>135</v>
      </c>
      <c r="B47" t="s">
        <v>223</v>
      </c>
      <c r="C47" t="s">
        <v>136</v>
      </c>
      <c r="D47">
        <v>21</v>
      </c>
      <c r="E47" t="s">
        <v>137</v>
      </c>
      <c r="F47">
        <v>13</v>
      </c>
    </row>
    <row r="48" spans="1:13" x14ac:dyDescent="0.25">
      <c r="A48" s="4" t="s">
        <v>25</v>
      </c>
    </row>
    <row r="49" spans="1:13" x14ac:dyDescent="0.25">
      <c r="A49" t="s">
        <v>3</v>
      </c>
      <c r="B49" t="s">
        <v>224</v>
      </c>
    </row>
    <row r="50" spans="1:13" x14ac:dyDescent="0.25">
      <c r="A50" t="s">
        <v>79</v>
      </c>
      <c r="B50" s="2">
        <v>5</v>
      </c>
      <c r="C50" t="s">
        <v>4</v>
      </c>
    </row>
    <row r="51" spans="1:13" x14ac:dyDescent="0.25">
      <c r="A51" t="s">
        <v>0</v>
      </c>
      <c r="B51" s="2">
        <f>SUM(D:D)</f>
        <v>149.25916666642297</v>
      </c>
      <c r="C51" t="s">
        <v>4</v>
      </c>
    </row>
    <row r="52" spans="1:13" x14ac:dyDescent="0.25">
      <c r="A52" t="s">
        <v>14</v>
      </c>
      <c r="B52" s="5" t="s">
        <v>95</v>
      </c>
    </row>
    <row r="53" spans="1:13" x14ac:dyDescent="0.25">
      <c r="A53" t="s">
        <v>15</v>
      </c>
      <c r="B53" s="5" t="s">
        <v>19</v>
      </c>
    </row>
    <row r="54" spans="1:13" x14ac:dyDescent="0.25">
      <c r="A54" t="s">
        <v>1</v>
      </c>
      <c r="B54" t="s">
        <v>139</v>
      </c>
    </row>
    <row r="55" spans="1:13" x14ac:dyDescent="0.25">
      <c r="A55" t="s">
        <v>16</v>
      </c>
      <c r="B55" s="5">
        <v>43940.764502314814</v>
      </c>
    </row>
    <row r="56" spans="1:13" x14ac:dyDescent="0.25">
      <c r="A56" t="s">
        <v>2</v>
      </c>
    </row>
    <row r="57" spans="1:13" x14ac:dyDescent="0.25">
      <c r="A57" t="s">
        <v>47</v>
      </c>
      <c r="B57" t="s">
        <v>223</v>
      </c>
    </row>
    <row r="58" spans="1:13" x14ac:dyDescent="0.25">
      <c r="A58" t="s">
        <v>5</v>
      </c>
      <c r="B58" s="2">
        <f>B50/B51</f>
        <v>3.3498780086146561E-2</v>
      </c>
      <c r="C58" t="s">
        <v>6</v>
      </c>
    </row>
    <row r="59" spans="1:13" x14ac:dyDescent="0.25">
      <c r="A59" t="s">
        <v>96</v>
      </c>
      <c r="B59" t="s">
        <v>226</v>
      </c>
    </row>
    <row r="60" spans="1:13" x14ac:dyDescent="0.25">
      <c r="A60" t="s">
        <v>97</v>
      </c>
      <c r="B60" t="s">
        <v>227</v>
      </c>
    </row>
    <row r="61" spans="1:13" x14ac:dyDescent="0.25">
      <c r="A61" t="s">
        <v>11</v>
      </c>
      <c r="B61" t="s">
        <v>7</v>
      </c>
      <c r="C61" t="s">
        <v>8</v>
      </c>
      <c r="D61" t="s">
        <v>9</v>
      </c>
      <c r="E61" t="s">
        <v>10</v>
      </c>
      <c r="F61" t="s">
        <v>86</v>
      </c>
      <c r="G61" t="s">
        <v>87</v>
      </c>
      <c r="I61" t="s">
        <v>71</v>
      </c>
      <c r="J61" s="15" t="s">
        <v>69</v>
      </c>
      <c r="K61" s="2" t="s">
        <v>70</v>
      </c>
      <c r="L61" t="s">
        <v>72</v>
      </c>
      <c r="M61" t="s">
        <v>73</v>
      </c>
    </row>
    <row r="62" spans="1:13" x14ac:dyDescent="0.25">
      <c r="A62" t="s">
        <v>143</v>
      </c>
      <c r="B62" s="1">
        <v>43940.76189814815</v>
      </c>
      <c r="C62" s="1">
        <v>43940.76226851852</v>
      </c>
      <c r="D62" s="2">
        <f>MAX((C62-B62)*24,0)</f>
        <v>8.8888888712972403E-3</v>
      </c>
      <c r="F62" s="42" t="s">
        <v>144</v>
      </c>
      <c r="G62" s="23" t="s">
        <v>145</v>
      </c>
      <c r="I62" t="s">
        <v>143</v>
      </c>
      <c r="J62" s="15">
        <v>0.05</v>
      </c>
      <c r="K62" s="2">
        <v>2.5</v>
      </c>
      <c r="L62" s="2" t="e">
        <f>#REF!</f>
        <v>#REF!</v>
      </c>
      <c r="M62" s="16" t="e">
        <f>Tabelle73672038637686104118134216226298314724405472861041181341481641781942082242382542682842983483604304466382[[#This Row],[EBS self time]]/Tabelle73672038637686104118134216226298314724405472861041181341481641781942082242382542682842983483604304466382[[#This Row],[Total time]]</f>
        <v>#REF!</v>
      </c>
    </row>
    <row r="63" spans="1:13" x14ac:dyDescent="0.25">
      <c r="A63" t="s">
        <v>146</v>
      </c>
      <c r="B63" s="1">
        <v>43940.754074074073</v>
      </c>
      <c r="C63" s="1">
        <v>43940.764490740738</v>
      </c>
      <c r="D63" s="2">
        <f>MAX((C63-B63)*24,0)</f>
        <v>0.24999999994179234</v>
      </c>
      <c r="F63" s="42" t="s">
        <v>144</v>
      </c>
      <c r="G63" s="23" t="s">
        <v>145</v>
      </c>
      <c r="I63" t="s">
        <v>146</v>
      </c>
      <c r="J63" s="15">
        <v>0.2</v>
      </c>
      <c r="K63" s="2">
        <v>2.5</v>
      </c>
      <c r="L63" s="2" t="e">
        <f>#REF!</f>
        <v>#REF!</v>
      </c>
      <c r="M63" s="16" t="e">
        <f>Tabelle73672038637686104118134216226298314724405472861041181341481641781942082242382542682842983483604304466382[[#This Row],[EBS self time]]/Tabelle73672038637686104118134216226298314724405472861041181341481641781942082242382542682842983483604304466382[[#This Row],[Total time]]</f>
        <v>#REF!</v>
      </c>
    </row>
    <row r="64" spans="1:13" x14ac:dyDescent="0.25">
      <c r="A64" t="s">
        <v>147</v>
      </c>
      <c r="B64" s="1">
        <v>43940.75408564815</v>
      </c>
      <c r="C64" s="1">
        <v>43940.764502314814</v>
      </c>
      <c r="D64" s="2">
        <f>MAX((C64-B64)*24,0)</f>
        <v>0.24999999994179234</v>
      </c>
      <c r="F64" s="42" t="s">
        <v>144</v>
      </c>
      <c r="G64" s="23" t="s">
        <v>145</v>
      </c>
      <c r="I64" t="s">
        <v>147</v>
      </c>
      <c r="J64" s="15">
        <v>0.35</v>
      </c>
      <c r="K64" s="2">
        <v>2.5</v>
      </c>
      <c r="L64" s="2" t="e">
        <f>#REF!</f>
        <v>#REF!</v>
      </c>
      <c r="M64" s="16" t="e">
        <f>Tabelle73672038637686104118134216226298314724405472861041181341481641781942082242382542682842983483604304466382[[#This Row],[EBS self time]]/Tabelle73672038637686104118134216226298314724405472861041181341481641781942082242382542682842983483604304466382[[#This Row],[Total time]]</f>
        <v>#REF!</v>
      </c>
    </row>
    <row r="65" spans="1:13" x14ac:dyDescent="0.25">
      <c r="I65" t="s">
        <v>148</v>
      </c>
      <c r="J65" s="15">
        <v>0.5</v>
      </c>
      <c r="K65" s="2">
        <v>7.4962518740629678</v>
      </c>
      <c r="L65" s="2" t="e">
        <f>#REF!</f>
        <v>#REF!</v>
      </c>
      <c r="M65" s="16" t="e">
        <f>Tabelle73672038637686104118134216226298314724405472861041181341481641781942082242382542682842983483604304466382[[#This Row],[EBS self time]]/Tabelle73672038637686104118134216226298314724405472861041181341481641781942082242382542682842983483604304466382[[#This Row],[Total time]]</f>
        <v>#REF!</v>
      </c>
    </row>
    <row r="66" spans="1:13" x14ac:dyDescent="0.25">
      <c r="I66" t="s">
        <v>149</v>
      </c>
      <c r="J66" s="15">
        <v>0.65</v>
      </c>
      <c r="K66" s="2">
        <v>7.4962518740629678</v>
      </c>
      <c r="L66" s="2" t="e">
        <f>#REF!</f>
        <v>#REF!</v>
      </c>
      <c r="M66" s="16" t="e">
        <f>Tabelle73672038637686104118134216226298314724405472861041181341481641781942082242382542682842983483604304466382[[#This Row],[EBS self time]]/Tabelle73672038637686104118134216226298314724405472861041181341481641781942082242382542682842983483604304466382[[#This Row],[Total time]]</f>
        <v>#REF!</v>
      </c>
    </row>
    <row r="67" spans="1:13" x14ac:dyDescent="0.25">
      <c r="I67" t="s">
        <v>150</v>
      </c>
      <c r="J67" s="15">
        <v>0.8</v>
      </c>
      <c r="K67" s="2">
        <v>7.4962518740629678</v>
      </c>
      <c r="L67" s="2" t="e">
        <f>#REF!</f>
        <v>#REF!</v>
      </c>
      <c r="M67" s="16" t="e">
        <f>Tabelle73672038637686104118134216226298314724405472861041181341481641781942082242382542682842983483604304466382[[#This Row],[EBS self time]]/Tabelle73672038637686104118134216226298314724405472861041181341481641781942082242382542682842983483604304466382[[#This Row],[Total time]]</f>
        <v>#REF!</v>
      </c>
    </row>
    <row r="68" spans="1:13" x14ac:dyDescent="0.25">
      <c r="I68" t="s">
        <v>151</v>
      </c>
      <c r="J68" s="15">
        <v>0.95</v>
      </c>
      <c r="K68" s="2">
        <v>7.4962518740629678</v>
      </c>
      <c r="L68" s="2" t="e">
        <f>#REF!</f>
        <v>#REF!</v>
      </c>
      <c r="M68" s="16" t="e">
        <f>Tabelle73672038637686104118134216226298314724405472861041181341481641781942082242382542682842983483604304466382[[#This Row],[EBS self time]]/Tabelle73672038637686104118134216226298314724405472861041181341481641781942082242382542682842983483604304466382[[#This Row],[Total time]]</f>
        <v>#REF!</v>
      </c>
    </row>
    <row r="70" spans="1:13" x14ac:dyDescent="0.25">
      <c r="A70" t="s">
        <v>135</v>
      </c>
      <c r="B70" t="s">
        <v>220</v>
      </c>
      <c r="C70" t="s">
        <v>136</v>
      </c>
      <c r="D70">
        <v>15</v>
      </c>
      <c r="E70" t="s">
        <v>137</v>
      </c>
      <c r="F70">
        <v>13</v>
      </c>
    </row>
    <row r="71" spans="1:13" x14ac:dyDescent="0.25">
      <c r="A71" s="4" t="s">
        <v>25</v>
      </c>
    </row>
    <row r="72" spans="1:13" x14ac:dyDescent="0.25">
      <c r="A72" t="s">
        <v>3</v>
      </c>
      <c r="B72" t="s">
        <v>95</v>
      </c>
    </row>
    <row r="73" spans="1:13" x14ac:dyDescent="0.25">
      <c r="A73" t="s">
        <v>79</v>
      </c>
      <c r="B73" s="2" t="s">
        <v>95</v>
      </c>
      <c r="C73" t="s">
        <v>4</v>
      </c>
    </row>
    <row r="74" spans="1:13" x14ac:dyDescent="0.25">
      <c r="A74" t="s">
        <v>0</v>
      </c>
      <c r="B74" s="2">
        <f>SUM(D:D)</f>
        <v>149.25916666642297</v>
      </c>
      <c r="C74" t="s">
        <v>4</v>
      </c>
    </row>
    <row r="75" spans="1:13" x14ac:dyDescent="0.25">
      <c r="A75" t="s">
        <v>14</v>
      </c>
      <c r="B75" s="5" t="s">
        <v>95</v>
      </c>
    </row>
    <row r="76" spans="1:13" x14ac:dyDescent="0.25">
      <c r="A76" t="s">
        <v>15</v>
      </c>
      <c r="B76" s="5" t="s">
        <v>19</v>
      </c>
    </row>
    <row r="77" spans="1:13" x14ac:dyDescent="0.25">
      <c r="A77" t="s">
        <v>1</v>
      </c>
      <c r="B77" t="s">
        <v>94</v>
      </c>
    </row>
    <row r="78" spans="1:13" x14ac:dyDescent="0.25">
      <c r="A78" t="s">
        <v>16</v>
      </c>
      <c r="B78" s="5" t="s">
        <v>95</v>
      </c>
    </row>
    <row r="79" spans="1:13" x14ac:dyDescent="0.25">
      <c r="A79" t="s">
        <v>2</v>
      </c>
    </row>
    <row r="80" spans="1:13" x14ac:dyDescent="0.25">
      <c r="A80" t="s">
        <v>47</v>
      </c>
      <c r="B80" t="s">
        <v>220</v>
      </c>
    </row>
    <row r="81" spans="1:13" x14ac:dyDescent="0.25">
      <c r="A81" t="s">
        <v>5</v>
      </c>
      <c r="B81" s="2" t="e">
        <f>B73/B74</f>
        <v>#VALUE!</v>
      </c>
      <c r="C81" t="s">
        <v>6</v>
      </c>
    </row>
    <row r="82" spans="1:13" x14ac:dyDescent="0.25">
      <c r="A82" t="s">
        <v>96</v>
      </c>
    </row>
    <row r="83" spans="1:13" x14ac:dyDescent="0.25">
      <c r="A83" t="s">
        <v>97</v>
      </c>
    </row>
    <row r="84" spans="1:13" x14ac:dyDescent="0.25">
      <c r="A84" t="s">
        <v>11</v>
      </c>
      <c r="B84" t="s">
        <v>7</v>
      </c>
      <c r="C84" t="s">
        <v>8</v>
      </c>
      <c r="D84" t="s">
        <v>9</v>
      </c>
      <c r="E84" t="s">
        <v>10</v>
      </c>
      <c r="F84" t="s">
        <v>86</v>
      </c>
      <c r="G84" t="s">
        <v>87</v>
      </c>
      <c r="I84" t="s">
        <v>71</v>
      </c>
      <c r="J84" s="15" t="s">
        <v>69</v>
      </c>
      <c r="K84" s="2" t="s">
        <v>70</v>
      </c>
      <c r="L84" t="s">
        <v>72</v>
      </c>
      <c r="M84" t="s">
        <v>73</v>
      </c>
    </row>
    <row r="85" spans="1:13" x14ac:dyDescent="0.25">
      <c r="B85" s="1"/>
      <c r="C85" s="1"/>
      <c r="D85" s="2">
        <f>MAX((C85-B85)*24,0)</f>
        <v>0</v>
      </c>
      <c r="J85" s="15"/>
      <c r="K85" s="2"/>
      <c r="L85" s="2" t="e">
        <f>#REF!</f>
        <v>#REF!</v>
      </c>
      <c r="M85" s="16" t="e">
        <f>Tabelle736751832449610813014016017022022825026030231632506382961141261441561741862042162342462642762943063243523623823924344487246884[[#This Row],[EBS self time]]/Tabelle736751832449610813014016017022022825026030231632506382961141261441561741862042162342462642762943063243523623823924344487246884[[#This Row],[Total time]]</f>
        <v>#REF!</v>
      </c>
    </row>
    <row r="87" spans="1:13" x14ac:dyDescent="0.25">
      <c r="A87" t="s">
        <v>135</v>
      </c>
      <c r="B87" t="s">
        <v>172</v>
      </c>
      <c r="C87" t="s">
        <v>136</v>
      </c>
      <c r="D87">
        <v>21</v>
      </c>
      <c r="E87" t="s">
        <v>137</v>
      </c>
      <c r="F87">
        <v>13</v>
      </c>
    </row>
    <row r="88" spans="1:13" x14ac:dyDescent="0.25">
      <c r="A88" s="4" t="s">
        <v>25</v>
      </c>
    </row>
    <row r="89" spans="1:13" x14ac:dyDescent="0.25">
      <c r="A89" t="s">
        <v>3</v>
      </c>
      <c r="B89" t="s">
        <v>166</v>
      </c>
    </row>
    <row r="90" spans="1:13" x14ac:dyDescent="0.25">
      <c r="A90" t="s">
        <v>79</v>
      </c>
      <c r="B90" s="2">
        <v>2</v>
      </c>
      <c r="C90" t="s">
        <v>4</v>
      </c>
    </row>
    <row r="91" spans="1:13" x14ac:dyDescent="0.25">
      <c r="A91" t="s">
        <v>0</v>
      </c>
      <c r="B91" s="2">
        <f>SUM(D:D)</f>
        <v>149.25916666642297</v>
      </c>
      <c r="C91" t="s">
        <v>4</v>
      </c>
    </row>
    <row r="92" spans="1:13" x14ac:dyDescent="0.25">
      <c r="A92" t="s">
        <v>14</v>
      </c>
      <c r="B92" s="41" t="s">
        <v>95</v>
      </c>
    </row>
    <row r="93" spans="1:13" x14ac:dyDescent="0.25">
      <c r="A93" t="s">
        <v>15</v>
      </c>
      <c r="B93" s="41" t="s">
        <v>19</v>
      </c>
    </row>
    <row r="94" spans="1:13" x14ac:dyDescent="0.25">
      <c r="A94" t="s">
        <v>1</v>
      </c>
      <c r="B94" t="s">
        <v>94</v>
      </c>
    </row>
    <row r="95" spans="1:13" x14ac:dyDescent="0.25">
      <c r="A95" t="s">
        <v>16</v>
      </c>
      <c r="B95" s="41" t="s">
        <v>95</v>
      </c>
    </row>
    <row r="96" spans="1:13" x14ac:dyDescent="0.25">
      <c r="A96" t="s">
        <v>2</v>
      </c>
    </row>
    <row r="97" spans="1:13" x14ac:dyDescent="0.25">
      <c r="A97" t="s">
        <v>47</v>
      </c>
      <c r="B97" t="s">
        <v>172</v>
      </c>
    </row>
    <row r="98" spans="1:13" x14ac:dyDescent="0.25">
      <c r="A98" t="s">
        <v>5</v>
      </c>
      <c r="B98" s="2">
        <f>B90/B91</f>
        <v>1.3399512034458624E-2</v>
      </c>
      <c r="C98" t="s">
        <v>6</v>
      </c>
    </row>
    <row r="99" spans="1:13" x14ac:dyDescent="0.25">
      <c r="A99" t="s">
        <v>96</v>
      </c>
      <c r="B99" t="s">
        <v>153</v>
      </c>
    </row>
    <row r="100" spans="1:13" x14ac:dyDescent="0.25">
      <c r="A100" t="s">
        <v>97</v>
      </c>
      <c r="B100" t="s">
        <v>167</v>
      </c>
    </row>
    <row r="101" spans="1:13" x14ac:dyDescent="0.25">
      <c r="A101" t="s">
        <v>11</v>
      </c>
      <c r="B101" t="s">
        <v>7</v>
      </c>
      <c r="C101" t="s">
        <v>8</v>
      </c>
      <c r="D101" t="s">
        <v>9</v>
      </c>
      <c r="E101" t="s">
        <v>10</v>
      </c>
      <c r="F101" t="s">
        <v>86</v>
      </c>
      <c r="G101" t="s">
        <v>87</v>
      </c>
      <c r="I101" t="s">
        <v>71</v>
      </c>
      <c r="J101" s="15" t="s">
        <v>69</v>
      </c>
      <c r="K101" s="2" t="s">
        <v>70</v>
      </c>
      <c r="L101" t="s">
        <v>72</v>
      </c>
      <c r="M101" t="s">
        <v>73</v>
      </c>
    </row>
    <row r="102" spans="1:13" x14ac:dyDescent="0.25">
      <c r="B102" s="1"/>
      <c r="C102" s="1"/>
      <c r="D102" s="2"/>
      <c r="G102" s="23"/>
      <c r="I102" t="s">
        <v>143</v>
      </c>
      <c r="J102" s="15">
        <v>0.05</v>
      </c>
      <c r="K102" s="2">
        <v>0.2</v>
      </c>
      <c r="L102" s="2" t="e">
        <f>#REF!</f>
        <v>#REF!</v>
      </c>
      <c r="M102" s="16" t="e">
        <f>Tabelle7367142448598018384852728410212613815616818619821622824625827628830631833634836637839640842620385070821001121301421601721902022202322502622802034486118466388981821921962202382442854681041161361801902102202402502782943743904164264544705105285741486[[#This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time]]/Tabelle7367142448598018384852728410212613815616818619821622824625827628830631833634836637839640842620385070821001121301421601721902022202322502622802034486118466388981821921962202382442854681041161361801902102202402502782943743904164264544705105285741486[[#This Row],[Total time]]</f>
        <v>#REF!</v>
      </c>
    </row>
    <row r="103" spans="1:13" x14ac:dyDescent="0.25">
      <c r="B103" s="1"/>
      <c r="C103" s="1"/>
      <c r="D103" s="2"/>
      <c r="G103" s="23"/>
      <c r="I103" t="s">
        <v>146</v>
      </c>
      <c r="J103" s="15">
        <v>0.2</v>
      </c>
      <c r="K103" s="2">
        <v>0.2</v>
      </c>
      <c r="L103" s="2" t="e">
        <f>#REF!</f>
        <v>#REF!</v>
      </c>
      <c r="M103" s="16" t="e">
        <f>Tabelle7367142448598018384852728410212613815616818619821622824625827628830631833634836637839640842620385070821001121301421601721902022202322502622802034486118466388981821921962202382442854681041161361801902102202402502782943743904164264544705105285741486[[#This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time]]/Tabelle7367142448598018384852728410212613815616818619821622824625827628830631833634836637839640842620385070821001121301421601721902022202322502622802034486118466388981821921962202382442854681041161361801902102202402502782943743904164264544705105285741486[[#This Row],[Total time]]</f>
        <v>#REF!</v>
      </c>
    </row>
    <row r="104" spans="1:13" x14ac:dyDescent="0.25">
      <c r="B104" s="1"/>
      <c r="C104" s="1"/>
      <c r="D104" s="2"/>
      <c r="G104" s="23"/>
      <c r="I104" t="s">
        <v>147</v>
      </c>
      <c r="J104" s="15">
        <v>0.35</v>
      </c>
      <c r="K104" s="2">
        <v>0.2</v>
      </c>
      <c r="L104" s="2" t="e">
        <f>#REF!</f>
        <v>#REF!</v>
      </c>
      <c r="M104" s="16" t="e">
        <f>Tabelle7367142448598018384852728410212613815616818619821622824625827628830631833634836637839640842620385070821001121301421601721902022202322502622802034486118466388981821921962202382442854681041161361801902102202402502782943743904164264544705105285741486[[#This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time]]/Tabelle7367142448598018384852728410212613815616818619821622824625827628830631833634836637839640842620385070821001121301421601721902022202322502622802034486118466388981821921962202382442854681041161361801902102202402502782943743904164264544705105285741486[[#This Row],[Total time]]</f>
        <v>#REF!</v>
      </c>
    </row>
    <row r="105" spans="1:13" x14ac:dyDescent="0.25">
      <c r="B105" s="1"/>
      <c r="C105" s="1"/>
      <c r="D105" s="2"/>
      <c r="G105" s="23"/>
      <c r="I105" t="s">
        <v>148</v>
      </c>
      <c r="J105" s="15">
        <v>0.5</v>
      </c>
      <c r="K105" s="2">
        <v>0.2</v>
      </c>
      <c r="L105" s="2" t="e">
        <f>#REF!</f>
        <v>#REF!</v>
      </c>
      <c r="M105" s="16" t="e">
        <f>Tabelle7367142448598018384852728410212613815616818619821622824625827628830631833634836637839640842620385070821001121301421601721902022202322502622802034486118466388981821921962202382442854681041161361801902102202402502782943743904164264544705105285741486[[#This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time]]/Tabelle7367142448598018384852728410212613815616818619821622824625827628830631833634836637839640842620385070821001121301421601721902022202322502622802034486118466388981821921962202382442854681041161361801902102202402502782943743904164264544705105285741486[[#This Row],[Total time]]</f>
        <v>#REF!</v>
      </c>
    </row>
    <row r="106" spans="1:13" x14ac:dyDescent="0.25">
      <c r="B106" s="1"/>
      <c r="C106" s="1"/>
      <c r="D106" s="2"/>
      <c r="G106" s="23"/>
      <c r="I106" t="s">
        <v>149</v>
      </c>
      <c r="J106" s="15">
        <v>0.65</v>
      </c>
      <c r="K106" s="2">
        <v>0.2</v>
      </c>
      <c r="L106" s="2" t="e">
        <f>#REF!</f>
        <v>#REF!</v>
      </c>
      <c r="M106" s="16" t="e">
        <f>Tabelle7367142448598018384852728410212613815616818619821622824625827628830631833634836637839640842620385070821001121301421601721902022202322502622802034486118466388981821921962202382442854681041161361801902102202402502782943743904164264544705105285741486[[#This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time]]/Tabelle7367142448598018384852728410212613815616818619821622824625827628830631833634836637839640842620385070821001121301421601721902022202322502622802034486118466388981821921962202382442854681041161361801902102202402502782943743904164264544705105285741486[[#This Row],[Total time]]</f>
        <v>#REF!</v>
      </c>
    </row>
    <row r="107" spans="1:13" x14ac:dyDescent="0.25">
      <c r="B107" s="1"/>
      <c r="C107" s="1"/>
      <c r="D107" s="2"/>
      <c r="G107" s="23"/>
      <c r="I107" t="s">
        <v>150</v>
      </c>
      <c r="J107" s="15">
        <v>0.8</v>
      </c>
      <c r="K107" s="2">
        <v>0.2</v>
      </c>
      <c r="L107" s="2" t="e">
        <f>#REF!</f>
        <v>#REF!</v>
      </c>
      <c r="M107" s="16" t="e">
        <f>Tabelle7367142448598018384852728410212613815616818619821622824625827628830631833634836637839640842620385070821001121301421601721902022202322502622802034486118466388981821921962202382442854681041161361801902102202402502782943743904164264544705105285741486[[#This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time]]/Tabelle7367142448598018384852728410212613815616818619821622824625827628830631833634836637839640842620385070821001121301421601721902022202322502622802034486118466388981821921962202382442854681041161361801902102202402502782943743904164264544705105285741486[[#This Row],[Total time]]</f>
        <v>#REF!</v>
      </c>
    </row>
    <row r="108" spans="1:13" x14ac:dyDescent="0.25">
      <c r="I108" t="s">
        <v>151</v>
      </c>
      <c r="J108" s="15">
        <v>0.95</v>
      </c>
      <c r="K108" s="2">
        <v>0.2</v>
      </c>
      <c r="L108" s="2" t="e">
        <f>#REF!</f>
        <v>#REF!</v>
      </c>
      <c r="M108" s="16" t="e">
        <f>Tabelle7367142448598018384852728410212613815616818619821622824625827628830631833634836637839640842620385070821001121301421601721902022202322502622802034486118466388981821921962202382442854681041161361801902102202402502782943743904164264544705105285741486[[#This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time]]/Tabelle7367142448598018384852728410212613815616818619821622824625827628830631833634836637839640842620385070821001121301421601721902022202322502622802034486118466388981821921962202382442854681041161361801902102202402502782943743904164264544705105285741486[[#This Row],[Total time]]</f>
        <v>#REF!</v>
      </c>
    </row>
    <row r="110" spans="1:13" x14ac:dyDescent="0.25">
      <c r="A110" t="s">
        <v>135</v>
      </c>
      <c r="B110" t="s">
        <v>171</v>
      </c>
      <c r="C110" t="s">
        <v>136</v>
      </c>
      <c r="D110">
        <v>21</v>
      </c>
      <c r="E110" t="s">
        <v>137</v>
      </c>
      <c r="F110">
        <v>13</v>
      </c>
    </row>
    <row r="111" spans="1:13" x14ac:dyDescent="0.25">
      <c r="A111" s="4" t="s">
        <v>25</v>
      </c>
    </row>
    <row r="112" spans="1:13" x14ac:dyDescent="0.25">
      <c r="A112" t="s">
        <v>3</v>
      </c>
      <c r="B112" t="s">
        <v>165</v>
      </c>
    </row>
    <row r="113" spans="1:13" x14ac:dyDescent="0.25">
      <c r="A113" t="s">
        <v>79</v>
      </c>
      <c r="B113" s="2">
        <v>5</v>
      </c>
      <c r="C113" t="s">
        <v>4</v>
      </c>
    </row>
    <row r="114" spans="1:13" x14ac:dyDescent="0.25">
      <c r="A114" t="s">
        <v>0</v>
      </c>
      <c r="B114" s="2">
        <f>SUM(D:D)</f>
        <v>149.25916666642297</v>
      </c>
      <c r="C114" t="s">
        <v>4</v>
      </c>
    </row>
    <row r="115" spans="1:13" x14ac:dyDescent="0.25">
      <c r="A115" t="s">
        <v>14</v>
      </c>
      <c r="B115" s="41" t="s">
        <v>95</v>
      </c>
    </row>
    <row r="116" spans="1:13" x14ac:dyDescent="0.25">
      <c r="A116" t="s">
        <v>15</v>
      </c>
      <c r="B116" s="41" t="s">
        <v>19</v>
      </c>
    </row>
    <row r="117" spans="1:13" x14ac:dyDescent="0.25">
      <c r="A117" t="s">
        <v>1</v>
      </c>
      <c r="B117" t="s">
        <v>94</v>
      </c>
    </row>
    <row r="118" spans="1:13" x14ac:dyDescent="0.25">
      <c r="A118" t="s">
        <v>16</v>
      </c>
      <c r="B118" s="41" t="s">
        <v>95</v>
      </c>
    </row>
    <row r="119" spans="1:13" x14ac:dyDescent="0.25">
      <c r="A119" t="s">
        <v>2</v>
      </c>
    </row>
    <row r="120" spans="1:13" x14ac:dyDescent="0.25">
      <c r="A120" t="s">
        <v>47</v>
      </c>
      <c r="B120" t="s">
        <v>171</v>
      </c>
    </row>
    <row r="121" spans="1:13" x14ac:dyDescent="0.25">
      <c r="A121" t="s">
        <v>5</v>
      </c>
      <c r="B121" s="2">
        <f>B113/B114</f>
        <v>3.3498780086146561E-2</v>
      </c>
      <c r="C121" t="s">
        <v>6</v>
      </c>
    </row>
    <row r="122" spans="1:13" x14ac:dyDescent="0.25">
      <c r="A122" t="s">
        <v>96</v>
      </c>
      <c r="B122" t="s">
        <v>159</v>
      </c>
    </row>
    <row r="123" spans="1:13" x14ac:dyDescent="0.25">
      <c r="A123" t="s">
        <v>97</v>
      </c>
      <c r="B123" t="s">
        <v>160</v>
      </c>
    </row>
    <row r="124" spans="1:13" x14ac:dyDescent="0.25">
      <c r="A124" t="s">
        <v>11</v>
      </c>
      <c r="B124" t="s">
        <v>7</v>
      </c>
      <c r="C124" t="s">
        <v>8</v>
      </c>
      <c r="D124" t="s">
        <v>9</v>
      </c>
      <c r="E124" t="s">
        <v>10</v>
      </c>
      <c r="F124" t="s">
        <v>86</v>
      </c>
      <c r="G124" t="s">
        <v>87</v>
      </c>
      <c r="I124" t="s">
        <v>71</v>
      </c>
      <c r="J124" s="15" t="s">
        <v>69</v>
      </c>
      <c r="K124" s="2" t="s">
        <v>70</v>
      </c>
      <c r="L124" t="s">
        <v>72</v>
      </c>
      <c r="M124" t="s">
        <v>73</v>
      </c>
    </row>
    <row r="125" spans="1:13" x14ac:dyDescent="0.25">
      <c r="B125" s="1"/>
      <c r="C125" s="1"/>
      <c r="D125" s="2"/>
      <c r="G125" s="23"/>
      <c r="I125" t="s">
        <v>143</v>
      </c>
      <c r="J125" s="15">
        <v>0.05</v>
      </c>
      <c r="K125" s="2">
        <v>0.5</v>
      </c>
      <c r="L125" s="2" t="e">
        <f>#REF!</f>
        <v>#REF!</v>
      </c>
      <c r="M125" s="16" t="e">
        <f>Tabelle7367720325068926426176881041141321441621741922042222342522642822943123243423543723844024141426445776881061181361481661781962082262382562681426447022406182961781902002222322425063100112176188206218236248272292368388412424448468496498570604620631488[[#This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time]]/Tabelle7367720325068926426176881041141321441621741922042222342522642822943123243423543723844024141426445776881061181361481661781962082262382562681426447022406182961781902002222322425063100112176188206218236248272292368388412424448468496498570604620631488[[#This Row],[Total time]]</f>
        <v>#REF!</v>
      </c>
    </row>
    <row r="126" spans="1:13" x14ac:dyDescent="0.25">
      <c r="B126" s="1"/>
      <c r="C126" s="1"/>
      <c r="D126" s="2"/>
      <c r="G126" s="23"/>
      <c r="I126" t="s">
        <v>146</v>
      </c>
      <c r="J126" s="15">
        <v>0.2</v>
      </c>
      <c r="K126" s="2">
        <v>0.5</v>
      </c>
      <c r="L126" s="2" t="e">
        <f>#REF!</f>
        <v>#REF!</v>
      </c>
      <c r="M126" s="16" t="e">
        <f>Tabelle7367720325068926426176881041141321441621741922042222342522642822943123243423543723844024141426445776881061181361481661781962082262382562681426447022406182961781902002222322425063100112176188206218236248272292368388412424448468496498570604620631488[[#This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time]]/Tabelle7367720325068926426176881041141321441621741922042222342522642822943123243423543723844024141426445776881061181361481661781962082262382562681426447022406182961781902002222322425063100112176188206218236248272292368388412424448468496498570604620631488[[#This Row],[Total time]]</f>
        <v>#REF!</v>
      </c>
    </row>
    <row r="127" spans="1:13" x14ac:dyDescent="0.25">
      <c r="I127" t="s">
        <v>147</v>
      </c>
      <c r="J127" s="15">
        <v>0.35</v>
      </c>
      <c r="K127" s="2">
        <v>0.5</v>
      </c>
      <c r="L127" s="2" t="e">
        <f>#REF!</f>
        <v>#REF!</v>
      </c>
      <c r="M127" s="16" t="e">
        <f>Tabelle7367720325068926426176881041141321441621741922042222342522642822943123243423543723844024141426445776881061181361481661781962082262382562681426447022406182961781902002222322425063100112176188206218236248272292368388412424448468496498570604620631488[[#This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time]]/Tabelle7367720325068926426176881041141321441621741922042222342522642822943123243423543723844024141426445776881061181361481661781962082262382562681426447022406182961781902002222322425063100112176188206218236248272292368388412424448468496498570604620631488[[#This Row],[Total time]]</f>
        <v>#REF!</v>
      </c>
    </row>
    <row r="128" spans="1:13" x14ac:dyDescent="0.25">
      <c r="I128" t="s">
        <v>148</v>
      </c>
      <c r="J128" s="15">
        <v>0.5</v>
      </c>
      <c r="K128" s="2">
        <v>0.5</v>
      </c>
      <c r="L128" s="2" t="e">
        <f>#REF!</f>
        <v>#REF!</v>
      </c>
      <c r="M128" s="16" t="e">
        <f>Tabelle7367720325068926426176881041141321441621741922042222342522642822943123243423543723844024141426445776881061181361481661781962082262382562681426447022406182961781902002222322425063100112176188206218236248272292368388412424448468496498570604620631488[[#This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time]]/Tabelle7367720325068926426176881041141321441621741922042222342522642822943123243423543723844024141426445776881061181361481661781962082262382562681426447022406182961781902002222322425063100112176188206218236248272292368388412424448468496498570604620631488[[#This Row],[Total time]]</f>
        <v>#REF!</v>
      </c>
    </row>
    <row r="129" spans="1:13" x14ac:dyDescent="0.25">
      <c r="I129" t="s">
        <v>149</v>
      </c>
      <c r="J129" s="15">
        <v>0.65</v>
      </c>
      <c r="K129" s="2">
        <v>0.5</v>
      </c>
      <c r="L129" s="2" t="e">
        <f>#REF!</f>
        <v>#REF!</v>
      </c>
      <c r="M129" s="16" t="e">
        <f>Tabelle7367720325068926426176881041141321441621741922042222342522642822943123243423543723844024141426445776881061181361481661781962082262382562681426447022406182961781902002222322425063100112176188206218236248272292368388412424448468496498570604620631488[[#This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time]]/Tabelle7367720325068926426176881041141321441621741922042222342522642822943123243423543723844024141426445776881061181361481661781962082262382562681426447022406182961781902002222322425063100112176188206218236248272292368388412424448468496498570604620631488[[#This Row],[Total time]]</f>
        <v>#REF!</v>
      </c>
    </row>
    <row r="130" spans="1:13" x14ac:dyDescent="0.25">
      <c r="I130" t="s">
        <v>150</v>
      </c>
      <c r="J130" s="15">
        <v>0.8</v>
      </c>
      <c r="K130" s="2">
        <v>0.5</v>
      </c>
      <c r="L130" s="2" t="e">
        <f>#REF!</f>
        <v>#REF!</v>
      </c>
      <c r="M130" s="16" t="e">
        <f>Tabelle7367720325068926426176881041141321441621741922042222342522642822943123243423543723844024141426445776881061181361481661781962082262382562681426447022406182961781902002222322425063100112176188206218236248272292368388412424448468496498570604620631488[[#This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time]]/Tabelle7367720325068926426176881041141321441621741922042222342522642822943123243423543723844024141426445776881061181361481661781962082262382562681426447022406182961781902002222322425063100112176188206218236248272292368388412424448468496498570604620631488[[#This Row],[Total time]]</f>
        <v>#REF!</v>
      </c>
    </row>
    <row r="131" spans="1:13" x14ac:dyDescent="0.25">
      <c r="I131" t="s">
        <v>151</v>
      </c>
      <c r="J131" s="15">
        <v>0.95</v>
      </c>
      <c r="K131" s="2">
        <v>0.5</v>
      </c>
      <c r="L131" s="2" t="e">
        <f>#REF!</f>
        <v>#REF!</v>
      </c>
      <c r="M131" s="16" t="e">
        <f>Tabelle7367720325068926426176881041141321441621741922042222342522642822943123243423543723844024141426445776881061181361481661781962082262382562681426447022406182961781902002222322425063100112176188206218236248272292368388412424448468496498570604620631488[[#This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time]]/Tabelle7367720325068926426176881041141321441621741922042222342522642822943123243423543723844024141426445776881061181361481661781962082262382562681426447022406182961781902002222322425063100112176188206218236248272292368388412424448468496498570604620631488[[#This Row],[Total time]]</f>
        <v>#REF!</v>
      </c>
    </row>
    <row r="133" spans="1:13" x14ac:dyDescent="0.25">
      <c r="A133" t="s">
        <v>135</v>
      </c>
      <c r="B133" t="s">
        <v>170</v>
      </c>
      <c r="C133" t="s">
        <v>136</v>
      </c>
      <c r="D133">
        <v>25</v>
      </c>
      <c r="E133" t="s">
        <v>137</v>
      </c>
      <c r="F133">
        <v>13</v>
      </c>
    </row>
    <row r="134" spans="1:13" x14ac:dyDescent="0.25">
      <c r="A134" s="4" t="s">
        <v>25</v>
      </c>
    </row>
    <row r="135" spans="1:13" x14ac:dyDescent="0.25">
      <c r="A135" t="s">
        <v>3</v>
      </c>
      <c r="B135" t="s">
        <v>157</v>
      </c>
    </row>
    <row r="136" spans="1:13" x14ac:dyDescent="0.25">
      <c r="A136" t="s">
        <v>79</v>
      </c>
      <c r="B136" s="2">
        <v>0.25</v>
      </c>
      <c r="C136" t="s">
        <v>4</v>
      </c>
    </row>
    <row r="137" spans="1:13" x14ac:dyDescent="0.25">
      <c r="A137" t="s">
        <v>0</v>
      </c>
      <c r="B137" s="2">
        <f>SUM(D:D)</f>
        <v>149.25916666642297</v>
      </c>
      <c r="C137" t="s">
        <v>4</v>
      </c>
    </row>
    <row r="138" spans="1:13" x14ac:dyDescent="0.25">
      <c r="A138" t="s">
        <v>14</v>
      </c>
      <c r="B138" s="41" t="s">
        <v>95</v>
      </c>
    </row>
    <row r="139" spans="1:13" x14ac:dyDescent="0.25">
      <c r="A139" t="s">
        <v>15</v>
      </c>
      <c r="B139" s="41" t="s">
        <v>19</v>
      </c>
    </row>
    <row r="140" spans="1:13" x14ac:dyDescent="0.25">
      <c r="A140" t="s">
        <v>1</v>
      </c>
      <c r="B140" t="s">
        <v>156</v>
      </c>
    </row>
    <row r="141" spans="1:13" x14ac:dyDescent="0.25">
      <c r="A141" t="s">
        <v>16</v>
      </c>
      <c r="B141" s="41" t="s">
        <v>95</v>
      </c>
    </row>
    <row r="142" spans="1:13" x14ac:dyDescent="0.25">
      <c r="A142" t="s">
        <v>2</v>
      </c>
      <c r="B142" t="s">
        <v>158</v>
      </c>
    </row>
    <row r="143" spans="1:13" x14ac:dyDescent="0.25">
      <c r="A143" t="s">
        <v>47</v>
      </c>
      <c r="B143" t="s">
        <v>170</v>
      </c>
    </row>
    <row r="144" spans="1:13" x14ac:dyDescent="0.25">
      <c r="A144" t="s">
        <v>5</v>
      </c>
      <c r="B144" s="2">
        <f>B136/B137</f>
        <v>1.674939004307328E-3</v>
      </c>
      <c r="C144" t="s">
        <v>6</v>
      </c>
    </row>
    <row r="145" spans="1:13" x14ac:dyDescent="0.25">
      <c r="A145" t="s">
        <v>96</v>
      </c>
      <c r="B145" t="s">
        <v>159</v>
      </c>
    </row>
    <row r="146" spans="1:13" x14ac:dyDescent="0.25">
      <c r="A146" t="s">
        <v>97</v>
      </c>
      <c r="B146" t="s">
        <v>160</v>
      </c>
    </row>
    <row r="147" spans="1:13" x14ac:dyDescent="0.25">
      <c r="A147" t="s">
        <v>11</v>
      </c>
      <c r="B147" t="s">
        <v>7</v>
      </c>
      <c r="C147" t="s">
        <v>8</v>
      </c>
      <c r="D147" t="s">
        <v>9</v>
      </c>
      <c r="E147" t="s">
        <v>10</v>
      </c>
      <c r="F147" t="s">
        <v>86</v>
      </c>
      <c r="G147" t="s">
        <v>87</v>
      </c>
      <c r="I147" t="s">
        <v>71</v>
      </c>
      <c r="J147" s="15" t="s">
        <v>69</v>
      </c>
      <c r="K147" s="2" t="s">
        <v>70</v>
      </c>
      <c r="L147" t="s">
        <v>72</v>
      </c>
      <c r="M147" t="s">
        <v>73</v>
      </c>
    </row>
    <row r="148" spans="1:13" x14ac:dyDescent="0.25">
      <c r="A148" t="s">
        <v>143</v>
      </c>
      <c r="B148" s="1">
        <v>43877.685219907406</v>
      </c>
      <c r="C148" s="1">
        <v>43877.695636574077</v>
      </c>
      <c r="D148" s="2">
        <f t="shared" ref="D148:D157" si="0">MAX((C148-B148)*24,0)</f>
        <v>0.25000000011641532</v>
      </c>
      <c r="F148" s="42" t="s">
        <v>144</v>
      </c>
      <c r="G148" s="23" t="s">
        <v>145</v>
      </c>
      <c r="I148" t="s">
        <v>143</v>
      </c>
      <c r="J148" s="15">
        <v>0.05</v>
      </c>
      <c r="K148" s="2">
        <v>2.5000000000000001E-2</v>
      </c>
      <c r="L148" s="2" t="e">
        <f>#REF!</f>
        <v>#REF!</v>
      </c>
      <c r="M148" s="16" t="e">
        <f>Tabelle7367922445776163446708096108122136152166182196212226242256272286302316332346362376392406422183448658096110126140156170186200216230246260276183046571634597694174188216228446194110172186202216232246266290320322362386408422442466556566602612616631492[[#This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time]]/Tabelle7367922445776163446708096108122136152166182196212226242256272286302316332346362376392406422183448658096110126140156170186200216230246260276183046571634597694174188216228446194110172186202216232246266290320322362386408422442466556566602612616631492[[#This Row],[Total time]]</f>
        <v>#REF!</v>
      </c>
    </row>
    <row r="149" spans="1:13" x14ac:dyDescent="0.25">
      <c r="A149" t="s">
        <v>146</v>
      </c>
      <c r="B149" s="1">
        <v>43877.685219907406</v>
      </c>
      <c r="C149" s="1">
        <v>43877.695636574077</v>
      </c>
      <c r="D149" s="2">
        <f t="shared" si="0"/>
        <v>0.25000000011641532</v>
      </c>
      <c r="F149" s="42" t="s">
        <v>144</v>
      </c>
      <c r="G149" s="23" t="s">
        <v>145</v>
      </c>
      <c r="I149" t="s">
        <v>146</v>
      </c>
      <c r="J149" s="15">
        <v>0.2</v>
      </c>
      <c r="K149" s="2">
        <v>2.5000000000000001E-2</v>
      </c>
      <c r="L149" s="2" t="e">
        <f>#REF!</f>
        <v>#REF!</v>
      </c>
      <c r="M149" s="16" t="e">
        <f>Tabelle7367922445776163446708096108122136152166182196212226242256272286302316332346362376392406422183448658096110126140156170186200216230246260276183046571634597694174188216228446194110172186202216232246266290320322362386408422442466556566602612616631492[[#This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time]]/Tabelle7367922445776163446708096108122136152166182196212226242256272286302316332346362376392406422183448658096110126140156170186200216230246260276183046571634597694174188216228446194110172186202216232246266290320322362386408422442466556566602612616631492[[#This Row],[Total time]]</f>
        <v>#REF!</v>
      </c>
    </row>
    <row r="150" spans="1:13" x14ac:dyDescent="0.25">
      <c r="A150" t="s">
        <v>147</v>
      </c>
      <c r="B150" s="1">
        <v>43877.685219907406</v>
      </c>
      <c r="C150" s="1">
        <v>43877.695636574077</v>
      </c>
      <c r="D150" s="2">
        <f t="shared" si="0"/>
        <v>0.25000000011641532</v>
      </c>
      <c r="F150" s="42" t="s">
        <v>144</v>
      </c>
      <c r="G150" s="23" t="s">
        <v>145</v>
      </c>
      <c r="I150" t="s">
        <v>147</v>
      </c>
      <c r="J150" s="15">
        <v>0.35</v>
      </c>
      <c r="K150" s="2">
        <v>2.5000000000000001E-2</v>
      </c>
      <c r="L150" s="2" t="e">
        <f>#REF!</f>
        <v>#REF!</v>
      </c>
      <c r="M150" s="16" t="e">
        <f>Tabelle7367922445776163446708096108122136152166182196212226242256272286302316332346362376392406422183448658096110126140156170186200216230246260276183046571634597694174188216228446194110172186202216232246266290320322362386408422442466556566602612616631492[[#This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time]]/Tabelle7367922445776163446708096108122136152166182196212226242256272286302316332346362376392406422183448658096110126140156170186200216230246260276183046571634597694174188216228446194110172186202216232246266290320322362386408422442466556566602612616631492[[#This Row],[Total time]]</f>
        <v>#REF!</v>
      </c>
    </row>
    <row r="151" spans="1:13" x14ac:dyDescent="0.25">
      <c r="A151" t="s">
        <v>148</v>
      </c>
      <c r="B151" s="1">
        <v>43877.685231481482</v>
      </c>
      <c r="C151" s="1">
        <v>43877.695648148147</v>
      </c>
      <c r="D151" s="2">
        <f t="shared" si="0"/>
        <v>0.24999999994179234</v>
      </c>
      <c r="F151" s="42" t="s">
        <v>144</v>
      </c>
      <c r="G151" s="23" t="s">
        <v>145</v>
      </c>
      <c r="I151" t="s">
        <v>148</v>
      </c>
      <c r="J151" s="15">
        <v>0.5</v>
      </c>
      <c r="K151" s="2">
        <v>2.5000000000000001E-2</v>
      </c>
      <c r="L151" s="2" t="e">
        <f>#REF!</f>
        <v>#REF!</v>
      </c>
      <c r="M151" s="16" t="e">
        <f>Tabelle7367922445776163446708096108122136152166182196212226242256272286302316332346362376392406422183448658096110126140156170186200216230246260276183046571634597694174188216228446194110172186202216232246266290320322362386408422442466556566602612616631492[[#This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time]]/Tabelle7367922445776163446708096108122136152166182196212226242256272286302316332346362376392406422183448658096110126140156170186200216230246260276183046571634597694174188216228446194110172186202216232246266290320322362386408422442466556566602612616631492[[#This Row],[Total time]]</f>
        <v>#REF!</v>
      </c>
    </row>
    <row r="152" spans="1:13" x14ac:dyDescent="0.25">
      <c r="A152" t="s">
        <v>149</v>
      </c>
      <c r="B152" s="1">
        <v>43877.685231481482</v>
      </c>
      <c r="C152" s="1">
        <v>43877.695648148147</v>
      </c>
      <c r="D152" s="2">
        <f t="shared" si="0"/>
        <v>0.24999999994179234</v>
      </c>
      <c r="F152" s="42" t="s">
        <v>144</v>
      </c>
      <c r="G152" s="23" t="s">
        <v>145</v>
      </c>
      <c r="I152" t="s">
        <v>149</v>
      </c>
      <c r="J152" s="15">
        <v>0.65</v>
      </c>
      <c r="K152" s="2">
        <v>2.5000000000000001E-2</v>
      </c>
      <c r="L152" s="2" t="e">
        <f>#REF!</f>
        <v>#REF!</v>
      </c>
      <c r="M152" s="16" t="e">
        <f>Tabelle7367922445776163446708096108122136152166182196212226242256272286302316332346362376392406422183448658096110126140156170186200216230246260276183046571634597694174188216228446194110172186202216232246266290320322362386408422442466556566602612616631492[[#This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time]]/Tabelle7367922445776163446708096108122136152166182196212226242256272286302316332346362376392406422183448658096110126140156170186200216230246260276183046571634597694174188216228446194110172186202216232246266290320322362386408422442466556566602612616631492[[#This Row],[Total time]]</f>
        <v>#REF!</v>
      </c>
    </row>
    <row r="153" spans="1:13" x14ac:dyDescent="0.25">
      <c r="A153" t="s">
        <v>150</v>
      </c>
      <c r="B153" s="1">
        <v>43877.685231481482</v>
      </c>
      <c r="C153" s="1">
        <v>43877.695648148147</v>
      </c>
      <c r="D153" s="2">
        <f t="shared" si="0"/>
        <v>0.24999999994179234</v>
      </c>
      <c r="F153" s="42" t="s">
        <v>144</v>
      </c>
      <c r="G153" s="23" t="s">
        <v>145</v>
      </c>
      <c r="I153" t="s">
        <v>150</v>
      </c>
      <c r="J153" s="15">
        <v>0.8</v>
      </c>
      <c r="K153" s="2">
        <v>2.5000000000000001E-2</v>
      </c>
      <c r="L153" s="2" t="e">
        <f>#REF!</f>
        <v>#REF!</v>
      </c>
      <c r="M153" s="16" t="e">
        <f>Tabelle7367922445776163446708096108122136152166182196212226242256272286302316332346362376392406422183448658096110126140156170186200216230246260276183046571634597694174188216228446194110172186202216232246266290320322362386408422442466556566602612616631492[[#This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time]]/Tabelle7367922445776163446708096108122136152166182196212226242256272286302316332346362376392406422183448658096110126140156170186200216230246260276183046571634597694174188216228446194110172186202216232246266290320322362386408422442466556566602612616631492[[#This Row],[Total time]]</f>
        <v>#REF!</v>
      </c>
    </row>
    <row r="154" spans="1:13" x14ac:dyDescent="0.25">
      <c r="A154" t="s">
        <v>151</v>
      </c>
      <c r="B154" s="1">
        <v>43877.685231481482</v>
      </c>
      <c r="C154" s="1">
        <v>43877.695648148147</v>
      </c>
      <c r="D154" s="2">
        <f t="shared" si="0"/>
        <v>0.24999999994179234</v>
      </c>
      <c r="F154" s="42" t="s">
        <v>144</v>
      </c>
      <c r="G154" s="23" t="s">
        <v>145</v>
      </c>
      <c r="I154" t="s">
        <v>151</v>
      </c>
      <c r="J154" s="15">
        <v>0.95</v>
      </c>
      <c r="K154" s="2">
        <v>2.5000000000000001E-2</v>
      </c>
      <c r="L154" s="2" t="e">
        <f>#REF!</f>
        <v>#REF!</v>
      </c>
      <c r="M154" s="16" t="e">
        <f>Tabelle7367922445776163446708096108122136152166182196212226242256272286302316332346362376392406422183448658096110126140156170186200216230246260276183046571634597694174188216228446194110172186202216232246266290320322362386408422442466556566602612616631492[[#This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time]]/Tabelle7367922445776163446708096108122136152166182196212226242256272286302316332346362376392406422183448658096110126140156170186200216230246260276183046571634597694174188216228446194110172186202216232246266290320322362386408422442466556566602612616631492[[#This Row],[Total time]]</f>
        <v>#REF!</v>
      </c>
    </row>
    <row r="155" spans="1:13" x14ac:dyDescent="0.25">
      <c r="A155" t="s">
        <v>161</v>
      </c>
      <c r="B155" s="1">
        <v>43877.685231481482</v>
      </c>
      <c r="C155" s="1">
        <v>43877.695648148147</v>
      </c>
      <c r="D155" s="2">
        <f t="shared" si="0"/>
        <v>0.24999999994179234</v>
      </c>
      <c r="F155" s="42" t="s">
        <v>144</v>
      </c>
      <c r="G155" s="23" t="s">
        <v>145</v>
      </c>
    </row>
    <row r="156" spans="1:13" x14ac:dyDescent="0.25">
      <c r="A156" t="s">
        <v>162</v>
      </c>
      <c r="B156" s="1">
        <v>43877.685243055559</v>
      </c>
      <c r="C156" s="1">
        <v>43877.695659722223</v>
      </c>
      <c r="D156" s="2">
        <f t="shared" si="0"/>
        <v>0.24999999994179234</v>
      </c>
      <c r="F156" s="42" t="s">
        <v>144</v>
      </c>
      <c r="G156" s="23" t="s">
        <v>145</v>
      </c>
    </row>
    <row r="157" spans="1:13" x14ac:dyDescent="0.25">
      <c r="A157" t="s">
        <v>163</v>
      </c>
      <c r="B157" s="1">
        <v>43877.685243055559</v>
      </c>
      <c r="C157" s="1">
        <v>43877.695659722223</v>
      </c>
      <c r="D157" s="2">
        <f t="shared" si="0"/>
        <v>0.24999999994179234</v>
      </c>
      <c r="F157" s="42" t="s">
        <v>144</v>
      </c>
      <c r="G157" s="23" t="s">
        <v>145</v>
      </c>
    </row>
    <row r="158" spans="1:13" x14ac:dyDescent="0.25">
      <c r="A158" t="s">
        <v>164</v>
      </c>
      <c r="B158" s="1">
        <v>43877.807962962965</v>
      </c>
      <c r="C158" s="1">
        <v>43877.807974537034</v>
      </c>
      <c r="D158" s="2">
        <f>MAX((C158-B158)*24,0)</f>
        <v>2.7777766808867455E-4</v>
      </c>
      <c r="F158" s="42" t="s">
        <v>144</v>
      </c>
      <c r="G158" s="23" t="s">
        <v>145</v>
      </c>
    </row>
  </sheetData>
  <hyperlinks>
    <hyperlink ref="A2" location="Planning!A1" display="Go back to 'Planning' sheet" xr:uid="{D89AB15D-0EA5-4E22-AAE0-2C1B705AE90A}"/>
    <hyperlink ref="F16" location="$F$15" display="$F$15" xr:uid="{AA35437A-9385-4D7E-906B-06F03EF2DAEC}"/>
    <hyperlink ref="G16" location="$G$15" display="$G$15" xr:uid="{5C88ABFA-9CD3-42AC-BF00-E405A8B861A6}"/>
    <hyperlink ref="F17" location="$F$16" display="$F$16" xr:uid="{77B2D18F-3F07-4BCD-B4DE-BFB4FD548DBF}"/>
    <hyperlink ref="G17" location="$G$16" display="$G$16" xr:uid="{4F55B9BC-C6F5-4CDE-848E-93A6D6BE7C37}"/>
    <hyperlink ref="F18" location="$F$17" display="$F$17" xr:uid="{2D5737CE-CC7B-434A-9E12-3E0204A48746}"/>
    <hyperlink ref="G18" location="$G$17" display="$G$17" xr:uid="{2CBCBB61-9A1A-4FA9-AFFE-2F18D3328222}"/>
    <hyperlink ref="A25" location="Planning!A1" display="Go back to 'Planning' sheet" xr:uid="{04FC98AB-E2E6-4B39-BDB5-42546763F82E}"/>
    <hyperlink ref="F39" location="$F$15" display="$F$15" xr:uid="{CA1010AA-DB94-405C-A923-0541B2ED8340}"/>
    <hyperlink ref="G39" location="$G$15" display="$G$15" xr:uid="{A9FDA40B-836A-4BAC-912D-BC72833AFB03}"/>
    <hyperlink ref="F40" location="$F$16" display="$F$16" xr:uid="{2DEA09C9-3A46-4F1B-A288-292BF0269DD1}"/>
    <hyperlink ref="G40" location="$G$16" display="$G$16" xr:uid="{03DE8F5D-F302-44BE-9556-066754261925}"/>
    <hyperlink ref="A48" location="Planning!A1" display="Go back to 'Planning' sheet" xr:uid="{841F079F-3604-4498-B898-5A4CA15300AA}"/>
    <hyperlink ref="F62" location="$F$15" display="$F$15" xr:uid="{1DA247F1-70A6-4618-97F7-8926A7E9BF44}"/>
    <hyperlink ref="G62" location="$G$15" display="$G$15" xr:uid="{B55B14E1-AA64-48D8-B4FE-9B1CEEF6032F}"/>
    <hyperlink ref="F63" location="$F$16" display="$F$16" xr:uid="{A0F00A7E-CCEA-4F42-93B4-8B5FCAF18D88}"/>
    <hyperlink ref="G63" location="$G$16" display="$G$16" xr:uid="{456F5114-B488-47E5-A4F6-2CB7B81397A1}"/>
    <hyperlink ref="F64" location="$F$17" display="$F$17" xr:uid="{90C00691-C237-44B0-A077-D026A4ACA8DB}"/>
    <hyperlink ref="G64" location="$G$17" display="$G$17" xr:uid="{88708745-9F61-4ACA-A9D3-E7B46E76B890}"/>
    <hyperlink ref="A71" location="Planning!A1" display="Go back to 'Planning' sheet" xr:uid="{A37F55AD-3DD2-4889-A8D2-1271D68BD2D8}"/>
    <hyperlink ref="A88" location="Planning!A1" display="Go back to 'Planning' sheet" xr:uid="{A637D773-FAF8-4182-B4DE-4F922A3FD3E0}"/>
    <hyperlink ref="A111" location="Planning!A1" display="Go back to 'Planning' sheet" xr:uid="{13AEACE5-12BA-4804-B75C-EEC2E0A1A1FA}"/>
    <hyperlink ref="A134" location="Planning!A1" display="Go back to 'Planning' sheet" xr:uid="{4328FAB3-CEE0-4D1A-9E03-DC897BEBC33A}"/>
    <hyperlink ref="F148" location="$F$15" display="$F$15" xr:uid="{53B7E36E-6A1F-4420-AFB0-3514FD7FA5A9}"/>
    <hyperlink ref="G148" location="$G$15" display="$G$15" xr:uid="{C3009B8A-D70C-4C3E-94FD-2CE425381F46}"/>
    <hyperlink ref="F149" location="$F$16" display="$F$16" xr:uid="{AD9F5FA9-B635-497E-B0A0-6A669D5AAA82}"/>
    <hyperlink ref="G149" location="$G$16" display="$G$16" xr:uid="{3C73F591-5902-4659-94B9-D29A0FAEEBC4}"/>
    <hyperlink ref="F150" location="$F$17" display="$F$17" xr:uid="{3257A29D-617C-43F2-B16B-2DDCD89094C5}"/>
    <hyperlink ref="G150" location="$G$17" display="$G$17" xr:uid="{5E56ECE0-7ABB-4F50-B877-339605F53C2E}"/>
    <hyperlink ref="F151" location="$F$18" display="$F$18" xr:uid="{3D55E404-3AB6-424C-959E-815E25199B45}"/>
    <hyperlink ref="G151" location="$G$18" display="$G$18" xr:uid="{FA53CDC8-1C46-48B8-9CAD-7BD51EB03A23}"/>
    <hyperlink ref="F152" location="$F$19" display="$F$19" xr:uid="{FF32B75F-6D55-4527-8831-A756FFE5EBE4}"/>
    <hyperlink ref="G152" location="$G$19" display="$G$19" xr:uid="{EA5E7037-A5EC-4B5D-8C99-60C15ABF0A69}"/>
    <hyperlink ref="F153" location="$F$20" display="$F$20" xr:uid="{1211320C-F28C-4CA3-B984-0175FD7917F6}"/>
    <hyperlink ref="G153" location="$G$20" display="$G$20" xr:uid="{17B6B5C6-9C9A-45E1-9AD8-8CAE44307061}"/>
    <hyperlink ref="F154" location="$F$21" display="$F$21" xr:uid="{D4C11281-B6C3-4A87-A61E-A71661CDABC3}"/>
    <hyperlink ref="G154" location="$G$21" display="$G$21" xr:uid="{9A6E012E-CC07-4764-B0FF-A7959489F152}"/>
    <hyperlink ref="F155" location="$F$22" display="$F$22" xr:uid="{6E66C6E1-D9D8-41C6-A4A9-07CD42E95949}"/>
    <hyperlink ref="G155" location="$G$22" display="$G$22" xr:uid="{741C2388-6AF7-44EF-90E4-FE75B0DD5981}"/>
    <hyperlink ref="F156" location="$F$23" display="$F$23" xr:uid="{DDC2802E-CA69-43F4-9C81-EB5355C3D191}"/>
    <hyperlink ref="G156" location="$G$23" display="$G$23" xr:uid="{EAFF6E3F-CF46-4A0D-ADC0-CD004F44A24D}"/>
    <hyperlink ref="F157" location="$F$24" display="$F$24" xr:uid="{1E14821C-24B2-4D59-89D3-A920702BAA7F}"/>
    <hyperlink ref="G157" location="$G$24" display="$G$24" xr:uid="{5892217A-A542-4702-8B44-BF2320F2913F}"/>
    <hyperlink ref="F158" location="$F$25" display="$F$25" xr:uid="{692B6F7F-5509-4FCD-97A6-A149ABAD105A}"/>
    <hyperlink ref="G158" location="$G$25" display="$G$25" xr:uid="{E2AB24D1-4DE5-427A-A25C-94025609AE8F}"/>
  </hyperlinks>
  <pageMargins left="0.7" right="0.7" top="0.78740157499999996" bottom="0.78740157499999996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134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63" t="s">
        <v>76</v>
      </c>
      <c r="G15" s="64"/>
      <c r="H15" s="64"/>
    </row>
    <row r="16" spans="5:8" x14ac:dyDescent="0.25">
      <c r="E16" s="14" t="s">
        <v>74</v>
      </c>
      <c r="F16" s="63" t="s">
        <v>37</v>
      </c>
      <c r="G16" s="64"/>
      <c r="H16" s="64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Planning</vt:lpstr>
      <vt:lpstr>tC5F28114EEBEA0BC0</vt:lpstr>
      <vt:lpstr>EbsSheet (Me)</vt:lpstr>
      <vt:lpstr>Analysis</vt:lpstr>
      <vt:lpstr>Settings</vt:lpstr>
      <vt:lpstr>Messages</vt:lpstr>
      <vt:lpstr>Task sheet template</vt:lpstr>
      <vt:lpstr>VSHEET_STOR_E65DEF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2020-05-08T22:16:46Z</dcterms:modified>
  <cp:category/>
  <cp:contentStatus/>
</cp:coreProperties>
</file>