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35BD13A6-4537-4100-A450-38D607BB856D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405" r:id="rId2"/>
    <sheet name="Analysis" sheetId="1004" r:id="rId3"/>
    <sheet name="Settings" sheetId="418" r:id="rId4"/>
    <sheet name="Messages" sheetId="1390" r:id="rId5"/>
    <sheet name="Task sheet template" sheetId="5" state="hidden" r:id="rId6"/>
    <sheet name="Version info" sheetId="3" r:id="rId7"/>
    <sheet name="EbsSheet template" sheetId="440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tc={E59F196A-2D17-4CE6-9BD0-A85A11E8FDD9}</author>
  </authors>
  <commentList>
    <comment ref="P18" authorId="0" shapeId="0" xr:uid="{E59F196A-2D17-4CE6-9BD0-A85A11E8FDD9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<sst xmlns="http://schemas.openxmlformats.org/spreadsheetml/2006/main" count="257" uniqueCount="192">
  <si>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</si>
  <si>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</si>
  <si>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</si>
  <si>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</si>
  <si>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</si>
  <si>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</si>
  <si>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</si>
  <si>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</si>
  <si>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</si>
  <si>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</si>
  <si>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</si>
  <si>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</si>
  <si>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</si>
  <si>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</si>
  <si>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</si>
  <si>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</si>
  <si>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</si>
  <si>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</si>
  <si>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</si>
  <si>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</si>
  <si>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</si>
  <si>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</si>
  <si>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</si>
  <si>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</si>
  <si>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</si>
  <si>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</si>
  <si>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</si>
  <si>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</si>
  <si>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</si>
  <si>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</si>
  <si>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</si>
  <si>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</si>
  <si>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</si>
  <si>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</si>
  <si>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</si>
  <si>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</si>
  <si>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</si>
  <si>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</si>
  <si>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</si>
  <si>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</si>
  <si>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</si>
  <si>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</si>
  <si>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</si>
  <si>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</si>
  <si>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</si>
  <si>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</si>
  <si>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</si>
  <si>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</si>
  <si>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</si>
  <si>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</si>
  <si>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</si>
  <si>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</si>
  <si>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</si>
  <si>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</si>
  <si>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</si>
  <si>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</si>
  <si>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</si>
  <si>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</si>
  <si>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</si>
  <si>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</si>
  <si>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</si>
  <si>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</si>
  <si>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</si>
  <si>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</si>
  <si>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</si>
  <si>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</si>
  <si>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</si>
  <si>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</si>
  <si>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</si>
  <si>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</si>
  <si>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</si>
  <si>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</si>
  <si>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</si>
  <si>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</si>
  <si>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</si>
  <si>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</si>
  <si>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</si>
  <si>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</si>
  <si>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</si>
  <si>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</si>
  <si>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</si>
  <si>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</si>
  <si>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</si>
  <si>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</si>
  <si>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</si>
  <si>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</si>
  <si>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</si>
  <si>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</si>
  <si>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</si>
  <si>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</si>
  <si>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</si>
  <si>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</si>
  <si>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</si>
  <si>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</si>
  <si>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</si>
  <si>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</si>
  <si>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</si>
  <si>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</si>
  <si>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</si>
  <si>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</si>
  <si>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</si>
  <si>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</si>
  <si>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</si>
  <si>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</si>
  <si>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</si>
  <si>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</si>
  <si>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</si>
  <si>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</si>
  <si>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</si>
  <si>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</si>
  <si>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</si>
  <si>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</si>
  <si>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</si>
  <si>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</si>
  <si>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</si>
  <si>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</si>
  <si>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</si>
  <si>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</si>
  <si>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</si>
  <si>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</si>
  <si>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</si>
  <si>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</si>
  <si>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</si>
  <si>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</si>
  <si>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</si>
  <si>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</si>
  <si>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</si>
  <si>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</si>
  <si>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</si>
  <si>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</si>
  <si>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</si>
  <si>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</si>
  <si>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</si>
  <si>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</si>
  <si>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</si>
  <si>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</si>
  <si>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</si>
  <si>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</si>
  <si>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</si>
  <si>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</si>
  <si>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</si>
  <si>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</si>
  <si>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</si>
  <si>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</si>
  <si>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</si>
  <si>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</si>
  <si>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</si>
  <si>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</si>
  <si>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</si>
  <si>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</si>
  <si>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</si>
  <si>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</si>
  <si>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</si>
  <si>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</si>
  <si>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</si>
  <si>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</si>
  <si>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</si>
  <si>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</si>
  <si>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</si>
  <si>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</si>
  <si>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</si>
  <si>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</si>
  <si>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</si>
  <si>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</si>
  <si>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</si>
  <si>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</si>
  <si>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</si>
  <si>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</si>
  <si>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</si>
  <si>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</si>
  <si>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</si>
  <si>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</si>
  <si>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</si>
  <si>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</si>
  <si>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</si>
  <si>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</si>
  <si>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</si>
  <si>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</si>
  <si>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</si>
  <si>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</si>
  <si>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Created on</t>
  </si>
  <si>
    <t>{20,000}</t>
  </si>
  <si>
    <t>e6A4E11B01EE3119EF</t>
  </si>
  <si>
    <t>tF80CEC512E3EC35CA</t>
  </si>
  <si>
    <t>tC6AF353DB1D9CF72B</t>
  </si>
  <si>
    <t>{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;0,250}</t>
  </si>
  <si>
    <t>{0,050;0,200;0,350;0,500;0,650;0,800;0,950}</t>
  </si>
  <si>
    <t>{0,250;0,250;0,250;0,250;0,250;0,250;0,250}</t>
  </si>
  <si>
    <t>{27/08/2020 08:15:00;27/08/2020 08:15:00;27/08/2020 08:15:00;27/08/2020 08:15:00;27/08/2020 08:15:00;27/08/2020 08:15:00;27/08/2020 08:15:00}</t>
  </si>
  <si>
    <t>{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;0,500}</t>
  </si>
  <si>
    <t>{0,500;0,500;0,500;0,500;0,500;0,500;0,500}</t>
  </si>
  <si>
    <t>{27/08/2020 08:30:00;27/08/2020 08:30:00;27/08/2020 08:30:00;27/08/2020 08:30:00;27/08/2020 08:30:00;27/08/2020 08:30:00;27/08/2020 08:30:00}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</si>
</sst>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0" fontId="4" fillId="4" borderId="2" xfId="3" applyFont="1" applyFill="1" applyBorder="1" applyAlignment="1">
      <alignment horizontal="left"/>
    </xf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14" fontId="6" fillId="0" borderId="0" xfId="1" applyNumberFormat="1" applyFill="1" applyAlignment="1">
      <alignment wrapText="1"/>
    </xf>
    <xf numFmtId="2" fontId="0" fillId="0" borderId="0" xfId="0" applyNumberFormat="1" applyFill="1" applyAlignment="1">
      <alignment wrapText="1"/>
    </xf>
    <xf numFmtId="22" fontId="0" fillId="0" borderId="0" xfId="0" applyNumberFormat="1" applyFill="1" applyAlignment="1">
      <alignment wrapText="1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26/08/2020 21:15:02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F76-49CB-AD13-440380174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1199-46D5-8B8B-2B64E12D6B4B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1199-46D5-8B8B-2B64E12D6B4B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44069.885439814818</c:v>
              </c:pt>
            </c:numLit>
          </c:xVal>
          <c:yVal>
            <c:numLit>
              <c:formatCode>General</c:formatCode>
              <c:ptCount val="1"/>
              <c:pt idx="0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1199-46D5-8B8B-2B64E12D6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857250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2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4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7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7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14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31" dataCellStyle="Standard"/>
    <tableColumn id="3" xr3:uid="{3AD21368-826B-4507-A159-BE8BE5B02C1F}" name="Indicator" dataDxfId="30" dataCellStyle="Spaltenebene_1"/>
    <tableColumn id="2" xr3:uid="{C139B307-7150-4838-B1FD-482AAB7B1208}" name="Task name" dataDxfId="29" dataCellStyle="Link"/>
    <tableColumn id="18" xr3:uid="{3B298737-E571-4F23-9C71-2BC3C2385355}" name="Comment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BF0671-8FE6-42D5-8874-7C95B9D3EED6}" name="EbsBaseData4326270421" displayName="EbsBaseData4326270421" ref="A18:H19" totalsRowShown="0">
  <autoFilter ref="A18:H19" xr:uid="{1948C160-1F52-48A7-8061-8AFF06D47134}"/>
  <tableColumns count="8">
    <tableColumn id="1" xr3:uid="{679123A7-C230-4642-9D8D-61A0AB250EF9}" name="EBS entry no."/>
    <tableColumn id="4" xr3:uid="{4BBD5E34-52B1-4E17-B74D-A9DFD8DA4CBB}" name="EBS run date" dataDxfId="55"/>
    <tableColumn id="8" xr3:uid="{FCAC5FB1-D4AF-436C-BB0A-C855C297B14D}" name="[Velocity pool]"/>
    <tableColumn id="2" xr3:uid="{BE078BCC-1881-4D6D-9D55-986B83CA6177}" name="Show pool?"/>
    <tableColumn id="3" xr3:uid="{1D28932A-B837-4DF7-949D-BE15FEC9640D}" name="[Propability support points]"/>
    <tableColumn id="5" xr3:uid="{0704308F-BA41-4041-A09A-94430FCEDCF9}" name="[Project time estimates]"/>
    <tableColumn id="6" xr3:uid="{9F629585-9FBF-438D-8973-D938E12C749B}" name="[Project date estimates]"/>
    <tableColumn id="7" xr3:uid="{30859941-B4C3-4D7B-B002-85BB057BD002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D69066-53DC-4EF5-8106-7921F2C09896}" name="EbsTaskData9592711222" displayName="EbsTaskData9592711222" ref="J18:T20" totalsRowShown="0">
  <autoFilter ref="J18:T20" xr:uid="{2297DC20-55A3-4C75-B785-3C4ABEF5CB9C}"/>
  <tableColumns count="11">
    <tableColumn id="1" xr3:uid="{BFF877FA-EDC1-4E0C-95A6-776852DF3F39}" name="Data entry no."/>
    <tableColumn id="10" xr3:uid="{5460463B-95CA-49BB-82BF-581B3758C08F}" name="tHASH"/>
    <tableColumn id="5" xr3:uid="{553BA270-BBC8-419E-93D3-AEC3C1984E78}" name="Logged Priority"/>
    <tableColumn id="7" xr3:uid="{DA520822-1454-4B0D-A0AA-2937515E872A}" name="Time spent so far" dataDxfId="54"/>
    <tableColumn id="4" xr3:uid="{4C334666-5FF6-4EA9-9DCD-9D5692153BAC}" name="User time estimate" dataDxfId="53"/>
    <tableColumn id="3" xr3:uid="{B89A523C-89DB-4CC8-9096-BFD1B34BB9CF}" name="[Monte Carlo estimate pool]"/>
    <tableColumn id="2" xr3:uid="{DD73444C-4BE9-4988-9B84-375C9E9A1A2E}" name="[Remaining time pool]"/>
    <tableColumn id="6" xr3:uid="{1AEE81E1-0CBB-4F89-AF2C-8B64AC16F53B}" name="[Accumulated time pool]"/>
    <tableColumn id="8" xr3:uid="{1F207371-9724-49F6-A826-986EC4864E6F}" name="[Propability support points]"/>
    <tableColumn id="9" xr3:uid="{A68756E3-FDF8-4B94-93C9-77D4E9C62E4E}" name="[Interpolated time estimates]"/>
    <tableColumn id="11" xr3:uid="{9F38126C-B3A8-4CD6-AAF1-616411B9AA5F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2" dataDxfId="50" headerRowBorderDxfId="51">
  <autoFilter ref="A8:D54" xr:uid="{8E9EC0C1-7901-48B6-A59A-1CE6ABEE7A55}"/>
  <tableColumns count="4">
    <tableColumn id="1" xr3:uid="{58BB2187-C79D-4A1A-A9A3-DA2F074C476C}" name="Split entry no." dataDxfId="49"/>
    <tableColumn id="2" xr3:uid="{A755482D-FFF4-43D8-8021-1956CE3A7021}" name="Split start" dataDxfId="48"/>
    <tableColumn id="3" xr3:uid="{FE0A0B8D-1F8A-4CEC-9FB3-C945A45F99BF}" name="Split end" dataDxfId="47"/>
    <tableColumn id="4" xr3:uid="{5443222D-0CE3-4625-9EDB-D13B87B6C388}" name="Time spent" dataDxfId="46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5" dataCellStyle="Link"/>
    <tableColumn id="9" xr3:uid="{0037D127-E2BA-445A-BC63-1395BA3AC441}" name="Calendar ID" dataDxfId="44" dataCellStyle="Link"/>
    <tableColumn id="10" xr3:uid="{37CA3B7B-8FF0-4042-97C6-E23A79A74325}" name="Store ID"/>
    <tableColumn id="6" xr3:uid="{044D8005-25C5-4D31-940A-B6DE4C6B0EA5}" name="WorkingDays" dataDxfId="4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2"/>
    <tableColumn id="8" xr3:uid="{1177B0FB-46B2-406D-B988-C64E0ABA6972}" name="AppointmentOffsetHours" dataDxfId="41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40"/>
    <tableColumn id="3" xr3:uid="{78DABF02-3853-48FF-81AD-5801C74BED1B}" name="End time" dataDxfId="39"/>
    <tableColumn id="4" xr3:uid="{76C994F9-216A-4848-9FB6-16BAF8B0EEEA}" name="Time delta in h" dataDxfId="38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7"/>
    <tableColumn id="3" xr3:uid="{A62B365F-400F-45A4-B789-FE7B5FDBD312}" name="EBS self time" dataDxfId="3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4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3"/>
    <tableColumn id="4" xr3:uid="{F9EDA55E-5206-49A7-A846-6A0B14C04CAF}" name="User time estimate" dataDxfId="32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59F196A-2D17-4CE6-9BD0-A85A11E8FDD9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E1" zoomScaleNormal="100" workbookViewId="0">
      <selection activeCell="J4" sqref="J4"/>
    </sheetView>
  </sheetViews>
  <sheetFormatPr baseColWidth="10" defaultColWidth="11.42578125" defaultRowHeight="15" outlineLevelCol="1" x14ac:dyDescent="0.25"/>
  <cols>
    <col min="1" max="1" width="10.42578125" style="7" hidden="1" customWidth="1" outlineLevel="1"/>
    <col min="2" max="2" width="13.5703125" style="39" bestFit="1" customWidth="1" collapsed="1"/>
    <col min="3" max="3" width="32.140625" style="10" customWidth="1"/>
    <col min="4" max="4" width="25.7109375" style="10" customWidth="1"/>
    <col min="6" max="6" width="9.85546875" style="8" customWidth="1"/>
    <col min="7" max="7" width="11.42578125" style="8" bestFit="1" customWidth="1"/>
    <col min="8" max="8" width="13" style="8" bestFit="1" customWidth="1"/>
    <col min="9" max="10" width="20.42578125" style="11" bestFit="1" customWidth="1"/>
    <col min="11" max="11" width="21.5703125" style="7" customWidth="1" outlineLevel="1"/>
    <col min="12" max="12" width="15" style="11" customWidth="1" outlineLevel="1"/>
    <col min="13" max="13" width="15.7109375" style="11" customWidth="1" outlineLevel="1"/>
    <col min="14" max="14" width="15.7109375" style="39" customWidth="1"/>
    <col min="15" max="15" width="13.5703125" customWidth="1" outlineLevel="1"/>
    <col min="16" max="16" width="11.42578125" customWidth="1" outlineLevel="1"/>
    <col min="17" max="17" width="20.28515625" style="7" customWidth="1" outlineLevel="1"/>
    <col min="18" max="18" width="15.7109375" style="39" customWidth="1"/>
    <col min="19" max="19" width="9.85546875" customWidth="1"/>
    <col min="20" max="20" width="15.85546875" customWidth="1"/>
    <col min="21" max="21" width="3.7109375" style="4" customWidth="1"/>
  </cols>
  <sheetData>
    <row r="1" spans="1:22" ht="65.25" customHeight="1" x14ac:dyDescent="0.25">
      <c r="A1" s="4"/>
      <c r="C1" s="9"/>
      <c r="D1" s="9"/>
      <c r="E1" s="20"/>
      <c r="F1" s="20"/>
      <c r="G1" s="20"/>
      <c r="H1" s="11"/>
      <c r="K1" s="4"/>
      <c r="O1" s="4"/>
      <c r="P1" s="4"/>
      <c r="Q1"/>
      <c r="U1"/>
    </row>
    <row r="2" spans="1:22" x14ac:dyDescent="0.25">
      <c r="A2" s="9"/>
      <c r="C2" s="9"/>
      <c r="D2" s="9"/>
      <c r="E2" s="9"/>
      <c r="F2" s="9"/>
      <c r="G2" s="9"/>
      <c r="H2" s="9"/>
      <c r="I2" s="9"/>
      <c r="J2" s="9"/>
      <c r="K2" s="9"/>
      <c r="L2" s="38" t="s">
        <v>78</v>
      </c>
      <c r="M2" s="38" t="s">
        <v>78</v>
      </c>
      <c r="O2" s="9"/>
      <c r="P2" s="9"/>
      <c r="Q2" s="9"/>
      <c r="U2"/>
    </row>
    <row r="3" spans="1:22" x14ac:dyDescent="0.25">
      <c r="A3" s="7" t="s">
        <v>12</v>
      </c>
      <c r="B3" s="39" t="s">
        <v>10</v>
      </c>
      <c r="C3" s="10" t="s">
        <v>3</v>
      </c>
      <c r="D3" s="10" t="s">
        <v>2</v>
      </c>
      <c r="E3" s="8" t="s">
        <v>22</v>
      </c>
      <c r="F3" s="8" t="s">
        <v>23</v>
      </c>
      <c r="G3" s="8" t="s">
        <v>24</v>
      </c>
      <c r="H3" s="11" t="s">
        <v>1</v>
      </c>
      <c r="I3" s="11" t="s">
        <v>79</v>
      </c>
      <c r="J3" s="19" t="s">
        <v>72</v>
      </c>
      <c r="K3" t="s">
        <v>16</v>
      </c>
      <c r="L3" s="8" t="s">
        <v>83</v>
      </c>
      <c r="M3" s="8" t="s">
        <v>77</v>
      </c>
      <c r="N3" s="39" t="s">
        <v>14</v>
      </c>
      <c r="O3" s="7" t="s">
        <v>15</v>
      </c>
      <c r="P3" t="s">
        <v>13</v>
      </c>
      <c r="Q3" t="s">
        <v>47</v>
      </c>
      <c r="U3"/>
    </row>
    <row r="4" spans="1:22" ht="15" customHeight="1" x14ac:dyDescent="0.25">
      <c r="A4" s="47"/>
      <c r="B4" s="48"/>
      <c r="C4" s="49"/>
      <c r="D4" s="49"/>
      <c r="E4" s="50"/>
      <c r="F4" s="47"/>
      <c r="G4" s="47"/>
      <c r="H4" s="47"/>
      <c r="I4" s="52"/>
      <c r="J4" s="52"/>
      <c r="K4" s="47"/>
      <c r="L4" s="52"/>
      <c r="M4" s="53"/>
      <c r="N4" s="51"/>
      <c r="O4" s="47"/>
      <c r="P4" s="47"/>
      <c r="Q4" s="47"/>
      <c r="U4"/>
    </row>
    <row r="5" spans="1:22" ht="15" customHeight="1" x14ac:dyDescent="0.25">
      <c r="A5" s="40"/>
      <c r="B5" s="36"/>
      <c r="C5" s="24"/>
      <c r="D5" s="24"/>
      <c r="E5" s="25"/>
      <c r="F5" s="40"/>
      <c r="G5" s="40"/>
      <c r="H5" s="40"/>
      <c r="I5" s="41"/>
      <c r="J5" s="40"/>
      <c r="K5" s="40"/>
      <c r="L5" s="40"/>
      <c r="M5" s="40"/>
      <c r="N5" s="37"/>
      <c r="O5" s="40"/>
      <c r="P5" s="40"/>
      <c r="Q5" s="40"/>
      <c r="U5"/>
    </row>
    <row r="6" spans="1:22" ht="15" customHeight="1" x14ac:dyDescent="0.25">
      <c r="A6" s="25"/>
      <c r="B6" s="36"/>
      <c r="C6" s="24"/>
      <c r="D6" s="24" t="s">
        <v>114</v>
      </c>
      <c r="F6" s="25"/>
      <c r="G6" s="25"/>
      <c r="H6" s="25"/>
      <c r="I6" s="25"/>
      <c r="J6" s="26"/>
      <c r="K6" s="25"/>
      <c r="L6" s="26"/>
      <c r="M6" s="26"/>
      <c r="N6" s="37"/>
      <c r="Q6" s="25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5" customFormat="1" x14ac:dyDescent="0.25">
      <c r="A10" s="7"/>
      <c r="B10" s="39"/>
      <c r="C10" s="10"/>
      <c r="D10" s="10"/>
      <c r="E10"/>
      <c r="F10" s="8"/>
      <c r="G10" s="8"/>
      <c r="H10" s="8"/>
      <c r="I10" s="11"/>
      <c r="J10" s="11"/>
      <c r="K10" s="7"/>
      <c r="L10" s="11"/>
      <c r="M10" s="11"/>
      <c r="N10" s="39"/>
      <c r="O10"/>
      <c r="P10"/>
      <c r="Q10" s="7"/>
      <c r="R10" s="43"/>
      <c r="S10" s="42"/>
      <c r="T10" s="42"/>
      <c r="U10" s="44"/>
    </row>
    <row r="11" spans="1:22" s="45" customFormat="1" x14ac:dyDescent="0.25">
      <c r="A11" s="7"/>
      <c r="B11" s="39"/>
      <c r="C11" s="12"/>
      <c r="D11" s="10"/>
      <c r="E11"/>
      <c r="F11" s="8"/>
      <c r="G11" s="8"/>
      <c r="H11" s="8"/>
      <c r="I11" s="11"/>
      <c r="J11" s="11"/>
      <c r="K11" s="7"/>
      <c r="L11" s="11"/>
      <c r="M11" s="11"/>
      <c r="N11" s="39"/>
      <c r="O11"/>
      <c r="P11"/>
      <c r="Q11" s="7"/>
      <c r="R11" s="43"/>
      <c r="S11" s="42"/>
      <c r="T11" s="42"/>
      <c r="U11" s="44"/>
      <c r="V11" s="46"/>
    </row>
    <row r="39" spans="22:22" x14ac:dyDescent="0.25">
      <c r="V39" t="s">
        <v>88</v>
      </c>
    </row>
  </sheetData>
  <dataConsolidate/>
  <conditionalFormatting sqref="B4">
    <cfRule type="containsText" dxfId="13" priority="7" operator="containsText" text="&lt;current">
      <formula>NOT(ISERROR(SEARCH("&lt;current",B4)))</formula>
    </cfRule>
  </conditionalFormatting>
  <conditionalFormatting sqref="H4">
    <cfRule type="containsText" dxfId="12" priority="2" operator="containsText" text="Note">
      <formula>NOT(ISERROR(SEARCH("Note",H4)))</formula>
    </cfRule>
    <cfRule type="containsText" dxfId="11" priority="8" operator="containsText" text="Done">
      <formula>NOT(ISERROR(SEARCH("Done",H4)))</formula>
    </cfRule>
    <cfRule type="containsText" dxfId="10" priority="9" operator="containsText" text="In progress">
      <formula>NOT(ISERROR(SEARCH("In progress",H4)))</formula>
    </cfRule>
    <cfRule type="containsText" dxfId="9" priority="10" operator="containsText" text="To do">
      <formula>NOT(ISERROR(SEARCH("To do",H4)))</formula>
    </cfRule>
  </conditionalFormatting>
  <conditionalFormatting sqref="N4">
    <cfRule type="cellIs" dxfId="8" priority="1" operator="lessThan">
      <formula>TODAY()</formula>
    </cfRule>
  </conditionalFormatting>
  <conditionalFormatting sqref="P4">
    <cfRule type="colorScale" priority="2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142D0098-4503-431C-A5B1-9F67A610E71E}">
      <formula1>"tag4"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E92B484D-5708-474E-B2B5-4D6A6BAED0F1}">
      <formula1>"tag6,tag5"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0947217C-504F-4CB4-804F-01DA95DFE1EE}">
      <formula1>"Me"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10A0E-4268-4B62-B545-7678BB226748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76</v>
      </c>
      <c r="G15" s="54"/>
      <c r="H15" s="54"/>
    </row>
    <row r="16" spans="5:8" x14ac:dyDescent="0.25">
      <c r="E16" s="15" t="s">
        <v>74</v>
      </c>
      <c r="F16" s="1" t="s">
        <v>37</v>
      </c>
      <c r="G16" s="54"/>
      <c r="H16" s="5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8">
        <v>44069.885439814818</v>
      </c>
      <c r="C19" t="s">
        <v>181</v>
      </c>
      <c r="D19" t="s">
        <v>27</v>
      </c>
      <c r="E19" t="s">
        <v>186</v>
      </c>
      <c r="F19" t="s">
        <v>190</v>
      </c>
      <c r="G19" t="s">
        <v>191</v>
      </c>
      <c r="H19" t="s">
        <v>182</v>
      </c>
      <c r="J19" t="s">
        <v>133</v>
      </c>
      <c r="K19" t="s">
        <v>184</v>
      </c>
      <c r="L19">
        <v>2</v>
      </c>
      <c r="M19" s="3">
        <v>0</v>
      </c>
      <c r="N19" s="3">
        <v>5</v>
      </c>
      <c r="O19" t="s">
        <v>185</v>
      </c>
      <c r="P19" t="s">
        <v>185</v>
      </c>
      <c r="Q19" t="s">
        <v>185</v>
      </c>
      <c r="R19" t="s">
        <v>186</v>
      </c>
      <c r="S19" t="s">
        <v>187</v>
      </c>
      <c r="T19" t="s">
        <v>188</v>
      </c>
    </row>
    <row r="20" spans="1:20" x14ac:dyDescent="0.25">
      <c r="B20" s="18"/>
      <c r="J20" t="s">
        <v>134</v>
      </c>
      <c r="K20" t="s">
        <v>183</v>
      </c>
      <c r="L20">
        <v>1</v>
      </c>
      <c r="M20" s="3">
        <v>0</v>
      </c>
      <c r="N20" s="3">
        <v>5</v>
      </c>
      <c r="O20" t="s">
        <v>185</v>
      </c>
      <c r="P20" t="s">
        <v>185</v>
      </c>
      <c r="Q20" t="s">
        <v>189</v>
      </c>
      <c r="R20" t="s">
        <v>186</v>
      </c>
      <c r="S20" t="s">
        <v>190</v>
      </c>
      <c r="T20" t="s">
        <v>191</v>
      </c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  <c r="M24" s="3"/>
      <c r="N24" s="3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B676EAC3-C606-4AE2-A08D-963724306F55}">
      <formula1>"Yes,No"</formula1>
    </dataValidation>
    <dataValidation type="list" allowBlank="1" showInputMessage="1" showErrorMessage="1" sqref="F16" xr:uid="{A1164FF2-3A42-4263-82E5-C17ABEE88769}">
      <formula1>"Time,Date"</formula1>
    </dataValidation>
    <dataValidation type="list" allowBlank="1" showInputMessage="1" showErrorMessage="1" sqref="F15:H15" xr:uid="{7BF91611-DC3D-4A95-9C3C-FEAE4D896A13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H9" sqref="H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1" t="s">
        <v>106</v>
      </c>
    </row>
    <row r="2" spans="1:4" x14ac:dyDescent="0.25">
      <c r="A2" s="11"/>
    </row>
    <row r="3" spans="1:4" x14ac:dyDescent="0.25">
      <c r="A3" t="s">
        <v>107</v>
      </c>
      <c r="B3" s="31">
        <v>43817.077002314814</v>
      </c>
      <c r="C3" s="29"/>
      <c r="D3" s="29"/>
    </row>
    <row r="4" spans="1:4" x14ac:dyDescent="0.25">
      <c r="A4" t="s">
        <v>108</v>
      </c>
      <c r="B4" s="31">
        <v>43862</v>
      </c>
      <c r="C4" s="29"/>
      <c r="D4" s="29"/>
    </row>
    <row r="5" spans="1:4" x14ac:dyDescent="0.25">
      <c r="A5" t="s">
        <v>109</v>
      </c>
      <c r="B5" s="28" t="s">
        <v>144</v>
      </c>
      <c r="C5" s="29"/>
      <c r="D5" s="29"/>
    </row>
    <row r="6" spans="1:4" ht="27" customHeight="1" x14ac:dyDescent="0.25"/>
    <row r="8" spans="1:4" ht="15.75" thickBot="1" x14ac:dyDescent="0.3">
      <c r="A8" s="30" t="s">
        <v>111</v>
      </c>
      <c r="B8" s="30" t="s">
        <v>105</v>
      </c>
      <c r="C8" s="35" t="s">
        <v>104</v>
      </c>
      <c r="D8" s="30" t="s">
        <v>110</v>
      </c>
    </row>
    <row r="9" spans="1:4" x14ac:dyDescent="0.25">
      <c r="A9" s="32" t="s">
        <v>133</v>
      </c>
      <c r="B9" s="33">
        <v>43817.077002314814</v>
      </c>
      <c r="C9" s="33">
        <v>43818</v>
      </c>
      <c r="D9" s="34">
        <v>0</v>
      </c>
    </row>
    <row r="10" spans="1:4" x14ac:dyDescent="0.25">
      <c r="A10" s="32" t="s">
        <v>134</v>
      </c>
      <c r="B10" s="33">
        <v>43818</v>
      </c>
      <c r="C10" s="33">
        <v>43819</v>
      </c>
      <c r="D10" s="34">
        <v>0</v>
      </c>
    </row>
    <row r="11" spans="1:4" x14ac:dyDescent="0.25">
      <c r="A11" s="32" t="s">
        <v>135</v>
      </c>
      <c r="B11" s="33">
        <v>43819</v>
      </c>
      <c r="C11" s="33">
        <v>43820</v>
      </c>
      <c r="D11" s="34">
        <v>0</v>
      </c>
    </row>
    <row r="12" spans="1:4" x14ac:dyDescent="0.25">
      <c r="A12" s="32" t="s">
        <v>136</v>
      </c>
      <c r="B12" s="33">
        <v>43820</v>
      </c>
      <c r="C12" s="33">
        <v>43821</v>
      </c>
      <c r="D12" s="34">
        <v>0</v>
      </c>
    </row>
    <row r="13" spans="1:4" x14ac:dyDescent="0.25">
      <c r="A13" s="32" t="s">
        <v>137</v>
      </c>
      <c r="B13" s="33">
        <v>43821</v>
      </c>
      <c r="C13" s="33">
        <v>43822</v>
      </c>
      <c r="D13" s="34">
        <v>0</v>
      </c>
    </row>
    <row r="14" spans="1:4" x14ac:dyDescent="0.25">
      <c r="A14" s="32" t="s">
        <v>138</v>
      </c>
      <c r="B14" s="33">
        <v>43822</v>
      </c>
      <c r="C14" s="33">
        <v>43823</v>
      </c>
      <c r="D14" s="34">
        <v>0</v>
      </c>
    </row>
    <row r="15" spans="1:4" x14ac:dyDescent="0.25">
      <c r="A15" s="32" t="s">
        <v>139</v>
      </c>
      <c r="B15" s="33">
        <v>43823</v>
      </c>
      <c r="C15" s="33">
        <v>43824</v>
      </c>
      <c r="D15" s="34">
        <v>0</v>
      </c>
    </row>
    <row r="16" spans="1:4" x14ac:dyDescent="0.25">
      <c r="A16" s="32" t="s">
        <v>140</v>
      </c>
      <c r="B16" s="33">
        <v>43824</v>
      </c>
      <c r="C16" s="33">
        <v>43825</v>
      </c>
      <c r="D16" s="34">
        <v>0</v>
      </c>
    </row>
    <row r="17" spans="1:4" x14ac:dyDescent="0.25">
      <c r="A17" s="32" t="s">
        <v>141</v>
      </c>
      <c r="B17" s="33">
        <v>43825</v>
      </c>
      <c r="C17" s="33">
        <v>43826</v>
      </c>
      <c r="D17" s="34">
        <v>0</v>
      </c>
    </row>
    <row r="18" spans="1:4" x14ac:dyDescent="0.25">
      <c r="A18" s="32" t="s">
        <v>142</v>
      </c>
      <c r="B18" s="33">
        <v>43826</v>
      </c>
      <c r="C18" s="33">
        <v>43827</v>
      </c>
      <c r="D18" s="34">
        <v>0</v>
      </c>
    </row>
    <row r="19" spans="1:4" x14ac:dyDescent="0.25">
      <c r="A19" s="32" t="s">
        <v>143</v>
      </c>
      <c r="B19" s="33">
        <v>43827</v>
      </c>
      <c r="C19" s="33">
        <v>43828</v>
      </c>
      <c r="D19" s="34">
        <v>0</v>
      </c>
    </row>
    <row r="20" spans="1:4" x14ac:dyDescent="0.25">
      <c r="A20" s="32" t="s">
        <v>145</v>
      </c>
      <c r="B20" s="33">
        <v>43828</v>
      </c>
      <c r="C20" s="33">
        <v>43829</v>
      </c>
      <c r="D20" s="34">
        <v>0</v>
      </c>
    </row>
    <row r="21" spans="1:4" x14ac:dyDescent="0.25">
      <c r="A21" s="32" t="s">
        <v>146</v>
      </c>
      <c r="B21" s="33">
        <v>43829</v>
      </c>
      <c r="C21" s="33">
        <v>43830</v>
      </c>
      <c r="D21" s="34">
        <v>0</v>
      </c>
    </row>
    <row r="22" spans="1:4" x14ac:dyDescent="0.25">
      <c r="A22" s="32" t="s">
        <v>147</v>
      </c>
      <c r="B22" s="33">
        <v>43830</v>
      </c>
      <c r="C22" s="33">
        <v>43831</v>
      </c>
      <c r="D22" s="34">
        <v>0</v>
      </c>
    </row>
    <row r="23" spans="1:4" x14ac:dyDescent="0.25">
      <c r="A23" s="32" t="s">
        <v>148</v>
      </c>
      <c r="B23" s="33">
        <v>43831</v>
      </c>
      <c r="C23" s="33">
        <v>43832</v>
      </c>
      <c r="D23" s="34">
        <v>0</v>
      </c>
    </row>
    <row r="24" spans="1:4" x14ac:dyDescent="0.25">
      <c r="A24" s="32" t="s">
        <v>149</v>
      </c>
      <c r="B24" s="33">
        <v>43832</v>
      </c>
      <c r="C24" s="33">
        <v>43833</v>
      </c>
      <c r="D24" s="34">
        <v>0</v>
      </c>
    </row>
    <row r="25" spans="1:4" x14ac:dyDescent="0.25">
      <c r="A25" s="32" t="s">
        <v>150</v>
      </c>
      <c r="B25" s="33">
        <v>43833</v>
      </c>
      <c r="C25" s="33">
        <v>43834</v>
      </c>
      <c r="D25" s="34">
        <v>0</v>
      </c>
    </row>
    <row r="26" spans="1:4" x14ac:dyDescent="0.25">
      <c r="A26" s="32" t="s">
        <v>151</v>
      </c>
      <c r="B26" s="33">
        <v>43834</v>
      </c>
      <c r="C26" s="33">
        <v>43835</v>
      </c>
      <c r="D26" s="34">
        <v>0</v>
      </c>
    </row>
    <row r="27" spans="1:4" x14ac:dyDescent="0.25">
      <c r="A27" s="32" t="s">
        <v>152</v>
      </c>
      <c r="B27" s="33">
        <v>43835</v>
      </c>
      <c r="C27" s="33">
        <v>43836</v>
      </c>
      <c r="D27" s="34">
        <v>0</v>
      </c>
    </row>
    <row r="28" spans="1:4" x14ac:dyDescent="0.25">
      <c r="A28" s="32" t="s">
        <v>153</v>
      </c>
      <c r="B28" s="33">
        <v>43836</v>
      </c>
      <c r="C28" s="33">
        <v>43837</v>
      </c>
      <c r="D28" s="34">
        <v>0</v>
      </c>
    </row>
    <row r="29" spans="1:4" x14ac:dyDescent="0.25">
      <c r="A29" s="32" t="s">
        <v>154</v>
      </c>
      <c r="B29" s="33">
        <v>43837</v>
      </c>
      <c r="C29" s="33">
        <v>43838</v>
      </c>
      <c r="D29" s="34">
        <v>0</v>
      </c>
    </row>
    <row r="30" spans="1:4" x14ac:dyDescent="0.25">
      <c r="A30" s="32" t="s">
        <v>155</v>
      </c>
      <c r="B30" s="33">
        <v>43838</v>
      </c>
      <c r="C30" s="33">
        <v>43839</v>
      </c>
      <c r="D30" s="34">
        <v>0</v>
      </c>
    </row>
    <row r="31" spans="1:4" x14ac:dyDescent="0.25">
      <c r="A31" s="32" t="s">
        <v>156</v>
      </c>
      <c r="B31" s="33">
        <v>43839</v>
      </c>
      <c r="C31" s="33">
        <v>43840</v>
      </c>
      <c r="D31" s="34">
        <v>0</v>
      </c>
    </row>
    <row r="32" spans="1:4" x14ac:dyDescent="0.25">
      <c r="A32" s="32" t="s">
        <v>157</v>
      </c>
      <c r="B32" s="33">
        <v>43840</v>
      </c>
      <c r="C32" s="33">
        <v>43841</v>
      </c>
      <c r="D32" s="34">
        <v>0</v>
      </c>
    </row>
    <row r="33" spans="1:4" x14ac:dyDescent="0.25">
      <c r="A33" s="32" t="s">
        <v>158</v>
      </c>
      <c r="B33" s="33">
        <v>43841</v>
      </c>
      <c r="C33" s="33">
        <v>43842</v>
      </c>
      <c r="D33" s="34">
        <v>0</v>
      </c>
    </row>
    <row r="34" spans="1:4" x14ac:dyDescent="0.25">
      <c r="A34" s="32" t="s">
        <v>159</v>
      </c>
      <c r="B34" s="33">
        <v>43842</v>
      </c>
      <c r="C34" s="33">
        <v>43843</v>
      </c>
      <c r="D34" s="34">
        <v>0</v>
      </c>
    </row>
    <row r="35" spans="1:4" x14ac:dyDescent="0.25">
      <c r="A35" s="32" t="s">
        <v>160</v>
      </c>
      <c r="B35" s="33">
        <v>43843</v>
      </c>
      <c r="C35" s="33">
        <v>43844</v>
      </c>
      <c r="D35" s="34">
        <v>0</v>
      </c>
    </row>
    <row r="36" spans="1:4" x14ac:dyDescent="0.25">
      <c r="A36" s="32" t="s">
        <v>161</v>
      </c>
      <c r="B36" s="33">
        <v>43844</v>
      </c>
      <c r="C36" s="33">
        <v>43845</v>
      </c>
      <c r="D36" s="34">
        <v>0</v>
      </c>
    </row>
    <row r="37" spans="1:4" x14ac:dyDescent="0.25">
      <c r="A37" s="32" t="s">
        <v>162</v>
      </c>
      <c r="B37" s="33">
        <v>43845</v>
      </c>
      <c r="C37" s="33">
        <v>43846</v>
      </c>
      <c r="D37" s="34">
        <v>0</v>
      </c>
    </row>
    <row r="38" spans="1:4" x14ac:dyDescent="0.25">
      <c r="A38" s="32" t="s">
        <v>163</v>
      </c>
      <c r="B38" s="33">
        <v>43846</v>
      </c>
      <c r="C38" s="33">
        <v>43847</v>
      </c>
      <c r="D38" s="34">
        <v>0</v>
      </c>
    </row>
    <row r="39" spans="1:4" x14ac:dyDescent="0.25">
      <c r="A39" s="32" t="s">
        <v>164</v>
      </c>
      <c r="B39" s="33">
        <v>43847</v>
      </c>
      <c r="C39" s="33">
        <v>43848</v>
      </c>
      <c r="D39" s="34">
        <v>0</v>
      </c>
    </row>
    <row r="40" spans="1:4" x14ac:dyDescent="0.25">
      <c r="A40" s="32" t="s">
        <v>165</v>
      </c>
      <c r="B40" s="33">
        <v>43848</v>
      </c>
      <c r="C40" s="33">
        <v>43849</v>
      </c>
      <c r="D40" s="34">
        <v>0</v>
      </c>
    </row>
    <row r="41" spans="1:4" x14ac:dyDescent="0.25">
      <c r="A41" s="32" t="s">
        <v>166</v>
      </c>
      <c r="B41" s="33">
        <v>43849</v>
      </c>
      <c r="C41" s="33">
        <v>43850</v>
      </c>
      <c r="D41" s="34">
        <v>0</v>
      </c>
    </row>
    <row r="42" spans="1:4" x14ac:dyDescent="0.25">
      <c r="A42" s="32" t="s">
        <v>167</v>
      </c>
      <c r="B42" s="33">
        <v>43850</v>
      </c>
      <c r="C42" s="33">
        <v>43851</v>
      </c>
      <c r="D42" s="34">
        <v>0</v>
      </c>
    </row>
    <row r="43" spans="1:4" x14ac:dyDescent="0.25">
      <c r="A43" s="32" t="s">
        <v>168</v>
      </c>
      <c r="B43" s="33">
        <v>43851</v>
      </c>
      <c r="C43" s="33">
        <v>43852</v>
      </c>
      <c r="D43" s="34">
        <v>0</v>
      </c>
    </row>
    <row r="44" spans="1:4" x14ac:dyDescent="0.25">
      <c r="A44" s="32" t="s">
        <v>169</v>
      </c>
      <c r="B44" s="33">
        <v>43852</v>
      </c>
      <c r="C44" s="33">
        <v>43853</v>
      </c>
      <c r="D44" s="34">
        <v>0</v>
      </c>
    </row>
    <row r="45" spans="1:4" x14ac:dyDescent="0.25">
      <c r="A45" s="32" t="s">
        <v>170</v>
      </c>
      <c r="B45" s="33">
        <v>43853</v>
      </c>
      <c r="C45" s="33">
        <v>43854</v>
      </c>
      <c r="D45" s="34">
        <v>0</v>
      </c>
    </row>
    <row r="46" spans="1:4" x14ac:dyDescent="0.25">
      <c r="A46" s="32" t="s">
        <v>171</v>
      </c>
      <c r="B46" s="33">
        <v>43854</v>
      </c>
      <c r="C46" s="33">
        <v>43855</v>
      </c>
      <c r="D46" s="34">
        <v>0</v>
      </c>
    </row>
    <row r="47" spans="1:4" x14ac:dyDescent="0.25">
      <c r="A47" s="32" t="s">
        <v>172</v>
      </c>
      <c r="B47" s="33">
        <v>43855</v>
      </c>
      <c r="C47" s="33">
        <v>43856</v>
      </c>
      <c r="D47" s="34">
        <v>0</v>
      </c>
    </row>
    <row r="48" spans="1:4" x14ac:dyDescent="0.25">
      <c r="A48" s="32" t="s">
        <v>173</v>
      </c>
      <c r="B48" s="33">
        <v>43856</v>
      </c>
      <c r="C48" s="33">
        <v>43857</v>
      </c>
      <c r="D48" s="34">
        <v>0</v>
      </c>
    </row>
    <row r="49" spans="1:4" x14ac:dyDescent="0.25">
      <c r="A49" s="32" t="s">
        <v>174</v>
      </c>
      <c r="B49" s="33">
        <v>43857</v>
      </c>
      <c r="C49" s="33">
        <v>43858</v>
      </c>
      <c r="D49" s="34">
        <v>0</v>
      </c>
    </row>
    <row r="50" spans="1:4" x14ac:dyDescent="0.25">
      <c r="A50" s="32" t="s">
        <v>175</v>
      </c>
      <c r="B50" s="33">
        <v>43858</v>
      </c>
      <c r="C50" s="33">
        <v>43859</v>
      </c>
      <c r="D50" s="34">
        <v>0</v>
      </c>
    </row>
    <row r="51" spans="1:4" x14ac:dyDescent="0.25">
      <c r="A51" s="32" t="s">
        <v>176</v>
      </c>
      <c r="B51" s="33">
        <v>43859</v>
      </c>
      <c r="C51" s="33">
        <v>43860</v>
      </c>
      <c r="D51" s="34">
        <v>0</v>
      </c>
    </row>
    <row r="52" spans="1:4" x14ac:dyDescent="0.25">
      <c r="A52" s="32" t="s">
        <v>177</v>
      </c>
      <c r="B52" s="33">
        <v>43860</v>
      </c>
      <c r="C52" s="33">
        <v>43861</v>
      </c>
      <c r="D52" s="34">
        <v>0</v>
      </c>
    </row>
    <row r="53" spans="1:4" x14ac:dyDescent="0.25">
      <c r="A53" s="32" t="s">
        <v>178</v>
      </c>
      <c r="B53" s="33">
        <v>43861</v>
      </c>
      <c r="C53" s="33">
        <v>43862</v>
      </c>
      <c r="D53" s="34">
        <v>0</v>
      </c>
    </row>
    <row r="54" spans="1:4" x14ac:dyDescent="0.25">
      <c r="A54" s="32" t="s">
        <v>179</v>
      </c>
      <c r="B54" s="33">
        <v>43862</v>
      </c>
      <c r="C54" s="33">
        <v>43862</v>
      </c>
      <c r="D54" s="34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A18" sqref="A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5" t="s">
        <v>25</v>
      </c>
    </row>
    <row r="2" spans="1:10" x14ac:dyDescent="0.25">
      <c r="H2" s="27" t="s">
        <v>103</v>
      </c>
    </row>
    <row r="3" spans="1:10" x14ac:dyDescent="0.25">
      <c r="A3" t="s">
        <v>15</v>
      </c>
      <c r="B3" s="3" t="s">
        <v>61</v>
      </c>
      <c r="C3" s="3" t="s">
        <v>89</v>
      </c>
      <c r="D3" s="3" t="s">
        <v>90</v>
      </c>
      <c r="E3" s="3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131</v>
      </c>
      <c r="C4" t="s">
        <v>129</v>
      </c>
      <c r="D4" t="s">
        <v>130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3">
        <v>0.25</v>
      </c>
      <c r="J4" s="3">
        <f>5/60</f>
        <v>8.3333333333333329E-2</v>
      </c>
    </row>
    <row r="5" spans="1:10" x14ac:dyDescent="0.25">
      <c r="B5" s="13"/>
      <c r="E5" s="14"/>
      <c r="F5" s="14"/>
      <c r="G5" s="14"/>
      <c r="I5" s="3"/>
      <c r="J5" s="3"/>
    </row>
    <row r="6" spans="1:10" x14ac:dyDescent="0.25">
      <c r="A6" t="s">
        <v>113</v>
      </c>
      <c r="B6" s="21" t="s">
        <v>112</v>
      </c>
      <c r="E6" s="14"/>
      <c r="F6" s="14"/>
      <c r="G6" s="14"/>
      <c r="I6" s="3"/>
      <c r="J6" s="3"/>
    </row>
    <row r="7" spans="1:10" x14ac:dyDescent="0.25">
      <c r="B7" s="6"/>
      <c r="C7" s="6"/>
      <c r="D7" s="6"/>
      <c r="E7" s="6"/>
    </row>
    <row r="8" spans="1:10" x14ac:dyDescent="0.25">
      <c r="A8" t="s">
        <v>80</v>
      </c>
      <c r="B8" s="21"/>
      <c r="C8" s="6"/>
      <c r="D8" s="6"/>
      <c r="E8" s="6"/>
    </row>
    <row r="9" spans="1:10" x14ac:dyDescent="0.25">
      <c r="A9" t="s">
        <v>81</v>
      </c>
      <c r="B9" s="23"/>
      <c r="C9" s="6"/>
      <c r="D9" s="6"/>
    </row>
    <row r="10" spans="1:10" x14ac:dyDescent="0.25">
      <c r="A10" t="s">
        <v>82</v>
      </c>
      <c r="B10" s="22"/>
      <c r="C10" s="6"/>
      <c r="D10" s="6"/>
      <c r="E10" s="6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3"/>
      <c r="E13" s="3"/>
    </row>
    <row r="14" spans="1:10" x14ac:dyDescent="0.25">
      <c r="B14" s="3" t="s">
        <v>93</v>
      </c>
      <c r="C14" s="13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1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2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5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3" t="s">
        <v>95</v>
      </c>
      <c r="C3" t="s">
        <v>4</v>
      </c>
    </row>
    <row r="4" spans="1:13" x14ac:dyDescent="0.25">
      <c r="A4" t="s">
        <v>0</v>
      </c>
      <c r="B4" s="3">
        <f>SUM(TimeEntries[Time delta in h])</f>
        <v>0</v>
      </c>
      <c r="C4" t="s">
        <v>4</v>
      </c>
    </row>
    <row r="5" spans="1:13" x14ac:dyDescent="0.25">
      <c r="A5" t="s">
        <v>14</v>
      </c>
      <c r="B5" s="6" t="s">
        <v>95</v>
      </c>
    </row>
    <row r="6" spans="1:13" x14ac:dyDescent="0.25">
      <c r="A6" t="s">
        <v>15</v>
      </c>
      <c r="B6" s="6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6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3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180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3" t="s">
        <v>70</v>
      </c>
      <c r="L15" t="s">
        <v>72</v>
      </c>
      <c r="M15" t="s">
        <v>73</v>
      </c>
    </row>
    <row r="16" spans="1:13" x14ac:dyDescent="0.25">
      <c r="B16" s="2"/>
      <c r="C16" s="2"/>
      <c r="D16" s="3">
        <f>MAX((TimeEntries[[#This Row],[End time]]-TimeEntries[[#This Row],[Start time]])*24,0)</f>
        <v>0</v>
      </c>
      <c r="J16" s="16"/>
      <c r="K16" s="3"/>
      <c r="L16" s="3">
        <f>SUM(TimeEntries[Time delta in h])</f>
        <v>0</v>
      </c>
      <c r="M16" s="17" t="e">
        <f>Tabelle7367[[#This Row],[EBS self time]]/Tabelle7367[[#This Row],[Total time]]</f>
        <v>#DIV/0!</v>
      </c>
    </row>
    <row r="17" spans="2:4" x14ac:dyDescent="0.25">
      <c r="B17" s="2"/>
      <c r="C17" s="2"/>
      <c r="D17" s="3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1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1" t="s">
        <v>122</v>
      </c>
    </row>
    <row r="9" spans="1:2" x14ac:dyDescent="0.25">
      <c r="A9" s="7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1" t="s">
        <v>125</v>
      </c>
    </row>
    <row r="17" spans="1:3" x14ac:dyDescent="0.25">
      <c r="B17" t="s">
        <v>126</v>
      </c>
    </row>
    <row r="18" spans="1:3" x14ac:dyDescent="0.25">
      <c r="A18" s="11" t="s">
        <v>98</v>
      </c>
      <c r="B18" s="11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1" t="s">
        <v>57</v>
      </c>
    </row>
    <row r="24" spans="1:3" x14ac:dyDescent="0.25">
      <c r="B24" t="s">
        <v>58</v>
      </c>
    </row>
    <row r="25" spans="1:3" x14ac:dyDescent="0.25">
      <c r="A25" s="11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1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1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1" t="s">
        <v>76</v>
      </c>
      <c r="G15" s="54"/>
      <c r="H15" s="54"/>
    </row>
    <row r="16" spans="5:8" x14ac:dyDescent="0.25">
      <c r="E16" s="15" t="s">
        <v>74</v>
      </c>
      <c r="F16" s="1" t="s">
        <v>37</v>
      </c>
      <c r="G16" s="54"/>
      <c r="H16" s="5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3" t="s">
        <v>39</v>
      </c>
      <c r="N18" s="3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3"/>
      <c r="N19" s="3"/>
    </row>
    <row r="20" spans="1:20" x14ac:dyDescent="0.25">
      <c r="B20" s="18"/>
      <c r="M20" s="3"/>
      <c r="N20" s="3"/>
    </row>
    <row r="21" spans="1:20" x14ac:dyDescent="0.25">
      <c r="B21" s="18"/>
      <c r="M21" s="3"/>
      <c r="N21" s="3"/>
    </row>
    <row r="22" spans="1:20" x14ac:dyDescent="0.25">
      <c r="B22" s="18"/>
      <c r="M22" s="3"/>
      <c r="N22" s="3"/>
    </row>
    <row r="23" spans="1:20" x14ac:dyDescent="0.25">
      <c r="B23" s="18"/>
      <c r="M23" s="3"/>
      <c r="N23" s="3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2020-08-26T21:47:17Z</dcterms:modified>
  <cp:category/>
  <cp:contentStatus/>
</cp:coreProperties>
</file>