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1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C1AE78DA-6ED7-4D76-8713-30F7A02CAF78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542BC5542C608ACDC" sheetId="1668" state="hidden" r:id="rId2"/>
    <sheet name="tAAF8231FB67247C24" sheetId="1669" state="hidden" r:id="rId3"/>
    <sheet name="t6E3BE59BE866319C8" sheetId="1670" state="hidden" r:id="rId4"/>
    <sheet name="tB8412E6758F96B878" sheetId="1671" state="hidden" r:id="rId5"/>
    <sheet name="EbsSheet (Me)" sheetId="1405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SHEET_STOR_E65DEF" sheetId="1397" state="hidden" r:id="rId11"/>
    <sheet name="Version info" sheetId="3" r:id="rId12"/>
    <sheet name="EbsSheet template" sheetId="440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5" i="1671" l="1"/>
  <c r="L15" i="1671"/>
  <c r="D15" i="1671"/>
  <c r="B4" i="1671" s="1"/>
  <c r="B11" i="1671" s="1"/>
  <c r="M15" i="1670"/>
  <c r="L15" i="1670"/>
  <c r="D15" i="1670"/>
  <c r="B4" i="1670" s="1"/>
  <c r="B11" i="1670" s="1"/>
  <c r="D26" i="1669"/>
  <c r="D25" i="1669"/>
  <c r="D24" i="1669"/>
  <c r="D23" i="1669"/>
  <c r="D22" i="1669"/>
  <c r="M21" i="1669"/>
  <c r="L21" i="1669"/>
  <c r="D21" i="1669"/>
  <c r="L20" i="1669"/>
  <c r="M20" i="1669" s="1"/>
  <c r="D20" i="1669"/>
  <c r="L19" i="1669"/>
  <c r="M19" i="1669" s="1"/>
  <c r="D19" i="1669"/>
  <c r="L18" i="1669"/>
  <c r="M18" i="1669" s="1"/>
  <c r="D18" i="1669"/>
  <c r="M17" i="1669"/>
  <c r="L17" i="1669"/>
  <c r="D17" i="1669"/>
  <c r="L16" i="1669"/>
  <c r="M16" i="1669" s="1"/>
  <c r="D16" i="1669"/>
  <c r="L15" i="1669"/>
  <c r="M15" i="1669" s="1"/>
  <c r="D15" i="1669"/>
  <c r="B4" i="1669" s="1"/>
  <c r="B11" i="1669" s="1"/>
  <c r="M21" i="1668"/>
  <c r="L21" i="1668"/>
  <c r="M20" i="1668"/>
  <c r="L20" i="1668"/>
  <c r="M19" i="1668"/>
  <c r="L19" i="1668"/>
  <c r="M18" i="1668"/>
  <c r="L18" i="1668"/>
  <c r="M17" i="1668"/>
  <c r="L17" i="1668"/>
  <c r="M16" i="1668"/>
  <c r="L16" i="1668"/>
  <c r="M15" i="1668"/>
  <c r="L15" i="1668"/>
  <c r="B11" i="1668"/>
  <c r="B4" i="1668"/>
  <c r="M68" i="1397"/>
  <c r="L68" i="1397"/>
  <c r="L67" i="1397"/>
  <c r="M67" i="1397" s="1"/>
  <c r="L66" i="1397"/>
  <c r="M66" i="1397" s="1"/>
  <c r="L65" i="1397"/>
  <c r="M65" i="1397" s="1"/>
  <c r="L64" i="1397"/>
  <c r="M64" i="1397" s="1"/>
  <c r="L63" i="1397"/>
  <c r="M63" i="1397" s="1"/>
  <c r="D63" i="1397"/>
  <c r="L62" i="1397"/>
  <c r="M62" i="1397" s="1"/>
  <c r="D62" i="1397"/>
  <c r="L45" i="1397"/>
  <c r="M45" i="1397" s="1"/>
  <c r="L44" i="1397"/>
  <c r="M44" i="1397" s="1"/>
  <c r="L43" i="1397"/>
  <c r="M43" i="1397" s="1"/>
  <c r="L42" i="1397"/>
  <c r="M42" i="1397" s="1"/>
  <c r="M41" i="1397"/>
  <c r="L41" i="1397"/>
  <c r="D41" i="1397"/>
  <c r="L40" i="1397"/>
  <c r="M40" i="1397" s="1"/>
  <c r="D40" i="1397"/>
  <c r="L39" i="1397"/>
  <c r="M39" i="1397" s="1"/>
  <c r="D39" i="1397"/>
  <c r="L22" i="1397"/>
  <c r="M22" i="1397" s="1"/>
  <c r="L21" i="1397"/>
  <c r="M21" i="1397" s="1"/>
  <c r="L20" i="1397"/>
  <c r="M20" i="1397" s="1"/>
  <c r="L19" i="1397"/>
  <c r="M19" i="1397" s="1"/>
  <c r="L18" i="1397"/>
  <c r="M18" i="1397" s="1"/>
  <c r="D18" i="1397"/>
  <c r="L17" i="1397"/>
  <c r="M17" i="1397" s="1"/>
  <c r="D17" i="1397"/>
  <c r="L16" i="1397"/>
  <c r="M16" i="1397" s="1"/>
  <c r="D16" i="1397"/>
  <c r="B51" i="1397" l="1"/>
  <c r="B58" i="1397" s="1"/>
  <c r="B28" i="1397"/>
  <c r="B35" i="1397" s="1"/>
  <c r="B5" i="1397"/>
  <c r="B12" i="1397" s="1"/>
  <c r="J4" i="418" l="1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<sst xmlns="http://schemas.openxmlformats.org/spreadsheetml/2006/main" count="708" uniqueCount="238">
  <si>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</si>
  <si>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</si>
  <si>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</si>
  <si>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</si>
  <si>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</si>
  <si>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</si>
  <si>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</si>
  <si>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</si>
  <si>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</si>
  <si>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</si>
  <si>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</si>
  <si>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</si>
  <si>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</si>
  <si>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</si>
  <si>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</si>
  <si>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</si>
  <si>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</si>
  <si>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</si>
  <si>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</si>
  <si>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</si>
  <si>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</si>
  <si>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</si>
  <si>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</si>
  <si>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</si>
  <si>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</si>
  <si>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</si>
  <si>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</si>
  <si>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</si>
  <si>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</si>
  <si>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</si>
  <si>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</si>
  <si>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</si>
  <si>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</si>
  <si>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</si>
  <si>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</si>
  <si>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</si>
  <si>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</si>
  <si>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</si>
  <si>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</si>
  <si>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</si>
  <si>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</si>
  <si>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</si>
  <si>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</si>
  <si>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</si>
  <si>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</si>
  <si>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</si>
  <si>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</si>
  <si>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</si>
  <si>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</si>
  <si>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</si>
  <si>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</si>
  <si>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</si>
  <si>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</si>
  <si>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</si>
  <si>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</si>
  <si>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</si>
  <si>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</si>
  <si>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</si>
  <si>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</si>
  <si>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</si>
  <si>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</si>
  <si>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</si>
  <si>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</si>
  <si>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</si>
  <si>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</si>
  <si>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</si>
  <si>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</si>
  <si>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</si>
  <si>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</si>
  <si>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</si>
  <si>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</si>
  <si>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</si>
  <si>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</si>
  <si>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</si>
  <si>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</si>
  <si>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</si>
  <si>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</si>
  <si>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</si>
  <si>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</si>
  <si>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</si>
  <si>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</si>
  <si>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</si>
  <si>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</si>
  <si>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</si>
  <si>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</si>
  <si>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</si>
  <si>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</si>
  <si>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</si>
  <si>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</si>
  <si>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</si>
  <si>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</si>
  <si>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</si>
  <si>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</si>
  <si>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</si>
  <si>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</si>
  <si>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</si>
  <si>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</si>
  <si>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</si>
  <si>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</si>
  <si>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</si>
  <si>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</si>
  <si>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</si>
  <si>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</si>
  <si>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</si>
  <si>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</si>
  <si>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</si>
  <si>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</si>
  <si>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</si>
  <si>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</si>
  <si>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</si>
  <si>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</si>
  <si>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</si>
  <si>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</si>
  <si>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</si>
  <si>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</si>
  <si>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</si>
  <si>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</si>
  <si>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</si>
  <si>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</si>
  <si>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</si>
  <si>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</si>
  <si>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</si>
  <si>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</si>
  <si>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</si>
  <si>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</si>
  <si>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</si>
  <si>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</si>
  <si>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</si>
  <si>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</si>
  <si>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</si>
  <si>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</si>
  <si>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</si>
  <si>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</si>
  <si>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VIRTUAL_SHEET_NAME</t>
  </si>
  <si>
    <t>VIRTUAL_SHEET_RANGE_ROWS</t>
  </si>
  <si>
    <t>VIRTUAL_SHEET_RANGE_COLS</t>
  </si>
  <si>
    <t>Take bags</t>
  </si>
  <si>
    <t>Done</t>
  </si>
  <si>
    <t>Take two</t>
  </si>
  <si>
    <t>{%Tag 1;%Tag 3}</t>
  </si>
  <si>
    <t>{important;preparation}</t>
  </si>
  <si>
    <t>#000001</t>
  </si>
  <si>
    <t>SetPlainDelta()</t>
  </si>
  <si>
    <t>SetCalendarDelta()</t>
  </si>
  <si>
    <t>#000002</t>
  </si>
  <si>
    <t>#000003</t>
  </si>
  <si>
    <t>#000004</t>
  </si>
  <si>
    <t>#000005</t>
  </si>
  <si>
    <t>#000006</t>
  </si>
  <si>
    <t>#000007</t>
  </si>
  <si>
    <t>Take umbrella</t>
  </si>
  <si>
    <t>{%Tag 3}</t>
  </si>
  <si>
    <t>{preparation}</t>
  </si>
  <si>
    <t>In progress</t>
  </si>
  <si>
    <t>Buy pineapples</t>
  </si>
  <si>
    <t>Pineapples are well hidden</t>
  </si>
  <si>
    <t>{%Tag 2;%Tag 3}</t>
  </si>
  <si>
    <t>{fruit;food}</t>
  </si>
  <si>
    <t>#000008</t>
  </si>
  <si>
    <t>#000009</t>
  </si>
  <si>
    <t>#000010</t>
  </si>
  <si>
    <t>#000011</t>
  </si>
  <si>
    <t>Buy strawberries</t>
  </si>
  <si>
    <t>t1B16087FBAFA8F2DD</t>
  </si>
  <si>
    <t>tAAF8231FB67247C24</t>
  </si>
  <si>
    <t>t542BC5542C608ACDC</t>
  </si>
  <si>
    <t>t4397B9B5873422F48</t>
  </si>
  <si>
    <t>preparation</t>
  </si>
  <si>
    <t>food</t>
  </si>
  <si>
    <t>fruit</t>
  </si>
  <si>
    <t>important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</si>
  <si>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</si>
  <si>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</si>
  <si>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</si>
  <si>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</si>
  <si>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</si>
  <si>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</si>
  <si>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</si>
  <si>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</si>
  <si>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</si>
  <si>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</si>
  <si>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</si>
  <si>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</si>
  <si>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</si>
  <si>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</si>
  <si>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</si>
  <si>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</si>
  <si>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</si>
  <si>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</si>
  <si>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</si>
  <si>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</si>
  <si>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</si>
  <si>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</si>
  <si>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</si>
  <si>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</si>
  <si>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</si>
  <si>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</si>
  <si>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</si>
  <si>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</si>
  <si>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</si>
  <si>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</si>
  <si>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</si>
  <si>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</si>
  <si>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</si>
  <si>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</si>
  <si>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</si>
  <si>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</si>
  <si>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</si>
  <si>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</si>
  <si>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</si>
  <si>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</si>
  <si>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</si>
  <si>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tD542D62BAFACEB254</t>
  </si>
  <si>
    <t>Erdnüsse kaufen</t>
  </si>
  <si>
    <t>{%Tag 1;%Tag 2}</t>
  </si>
  <si>
    <t>{fruit;fruit}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</si>
  <si>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</si>
  <si>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</si>
  <si>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</si>
  <si>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</si>
  <si>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</si>
  <si>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</si>
  <si>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</si>
  <si>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</si>
  <si>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</si>
  <si>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&lt;ENTER_ESTIMATE&gt;</t>
  </si>
  <si>
    <t>hi</t>
  </si>
  <si>
    <t>tB8412E6758F96B878</t>
  </si>
  <si>
    <t>t6E3BE59BE866319C8</t>
  </si>
  <si>
    <t>this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</si>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</sst>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6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22" fontId="3" fillId="0" borderId="0" xfId="0" applyNumberFormat="1" applyFont="1"/>
    <xf numFmtId="0" fontId="7" fillId="10" borderId="0" xfId="2" applyFont="1" applyFill="1"/>
    <xf numFmtId="0" fontId="7" fillId="0" borderId="0" xfId="0" applyFont="1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2" fontId="7" fillId="0" borderId="0" xfId="0" applyNumberFormat="1" applyFont="1" applyFill="1" applyAlignment="1">
      <alignment wrapText="1"/>
    </xf>
    <xf numFmtId="22" fontId="7" fillId="0" borderId="0" xfId="0" applyNumberFormat="1" applyFont="1" applyFill="1" applyAlignment="1">
      <alignment wrapText="1"/>
    </xf>
    <xf numFmtId="0" fontId="0" fillId="0" borderId="0" xfId="0" applyFill="1" applyAlignment="1">
      <alignment wrapText="1"/>
    </xf>
    <xf numFmtId="2" fontId="0" fillId="0" borderId="0" xfId="0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0" fontId="7" fillId="0" borderId="0" xfId="0" applyFont="1" applyFill="1" applyAlignment="1"/>
    <xf numFmtId="2" fontId="0" fillId="0" borderId="0" xfId="0" applyNumberFormat="1" applyFill="1" applyAlignment="1"/>
    <xf numFmtId="22" fontId="0" fillId="0" borderId="0" xfId="0" applyNumberFormat="1" applyFill="1" applyAlignment="1"/>
    <xf numFmtId="14" fontId="6" fillId="0" borderId="0" xfId="1" applyNumberForma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08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7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7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7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7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7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10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6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7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7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7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7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8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10" totalsRowShown="0" dataDxfId="101">
  <autoFilter ref="A3:Q10" xr:uid="{520F3973-795E-47E6-97CD-1C1265CA838A}">
    <filterColumn colId="7">
      <filters>
        <filter val="In progress"/>
        <filter val="To do"/>
      </filters>
    </filterColumn>
  </autoFilter>
  <sortState xmlns:xlrd2="http://schemas.microsoft.com/office/spreadsheetml/2017/richdata2" ref="A4:Q10">
    <sortCondition descending="1" ref="P3:P10"/>
  </sortState>
  <tableColumns count="17">
    <tableColumn id="1" xr3:uid="{78BB2EF9-C626-4B0D-94B3-1781BE57C67F}" name="Task no." dataDxfId="100" dataCellStyle="Standard"/>
    <tableColumn id="3" xr3:uid="{3AD21368-826B-4507-A159-BE8BE5B02C1F}" name="Indicator" dataDxfId="99" dataCellStyle="Spaltenebene_1"/>
    <tableColumn id="2" xr3:uid="{C139B307-7150-4838-B1FD-482AAB7B1208}" name="Task name" dataDxfId="98" dataCellStyle="Link"/>
    <tableColumn id="18" xr3:uid="{3B298737-E571-4F23-9C71-2BC3C2385355}" name="Comment" dataDxfId="97" dataCellStyle="Link"/>
    <tableColumn id="4" xr3:uid="{E2EAEAF6-33EC-4D8C-B42E-C249C36E3D3C}" name="%Tag 1" dataDxfId="96" dataCellStyle="Standard"/>
    <tableColumn id="5" xr3:uid="{1E4EAD98-8B30-4F09-AA64-D7613D00651F}" name="%Tag 2" dataDxfId="95" dataCellStyle="Standard"/>
    <tableColumn id="6" xr3:uid="{9E1E50BB-6DA2-47A1-BB20-8C9FAC4B0DB5}" name="%Tag 3" dataDxfId="94" dataCellStyle="Standard"/>
    <tableColumn id="10" xr3:uid="{85CEF83B-6217-49AE-8974-E4D5953E2637}" name="Kanban list" dataDxfId="93" dataCellStyle="Standard"/>
    <tableColumn id="11" xr3:uid="{E542542F-D34F-488A-95AF-76A724785E5A}" name="User time estimate" dataDxfId="92" dataCellStyle="Standard"/>
    <tableColumn id="12" xr3:uid="{7DA005F8-D924-4031-B65E-6C6F60E3212D}" name="Total time" dataDxfId="91" dataCellStyle="Standard"/>
    <tableColumn id="16" xr3:uid="{209AEE68-BDAE-4E8C-BCF6-6EEA4F9A7FDE}" name="Finished on" dataDxfId="90" dataCellStyle="Standard"/>
    <tableColumn id="8" xr3:uid="{727785B7-29B9-493D-A20B-C319B38E1DF3}" name="EBS 50% time" dataDxfId="89" dataCellStyle="Standard"/>
    <tableColumn id="9" xr3:uid="{B12BA9B8-3C81-408C-AFE4-25993FD8491D}" name="EBS 50% date" dataDxfId="88" dataCellStyle="Standard"/>
    <tableColumn id="20" xr3:uid="{DAE27A09-2EB0-4A47-A9F0-48ED802D8570}" name="Due date" dataDxfId="87" dataCellStyle="Spaltenebene_1"/>
    <tableColumn id="19" xr3:uid="{7A8CB495-6AE9-4A1E-AC5B-8B6487C84135}" name="Contributor" dataDxfId="86" dataCellStyle="Standard"/>
    <tableColumn id="17" xr3:uid="{EF767A93-0B38-4A66-A27B-92321C0E655C}" name="Priority" dataDxfId="85" dataCellStyle="Standard"/>
    <tableColumn id="15" xr3:uid="{2ADBC76B-EB88-4BCD-8956-7B4B22C5A3D4}" name="tHASH" dataDxfId="84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D646FD4F-9707-479F-835A-06F2B09A3283}" name="TimeEntries619314966825416075871031131311431611731912032212332512632812933113233413533713834014131325435675871051171351471651771952072252372552671325436921396081951771891992212312414962991111751872052172352472712913673874114234474674954975696036196351121" displayName="TimeEntries619314966825416075871031131311431611731912032212332512632812933113233413533713834014131325435675871051171351471651771952072252372552671325436921396081951771891992212312414962991111751872052172352472712913673874114234474674954975696036196351121" ref="A14:G15" insertRow="1" totalsRowShown="0">
  <autoFilter ref="A14:G15" xr:uid="{2B036EE4-44E0-4E3E-B3FD-BAD22CEB9CC4}"/>
  <tableColumns count="7">
    <tableColumn id="1" xr3:uid="{3213FB5D-B310-4EBF-AF0F-2F69E4A29B38}" name="Time entry no."/>
    <tableColumn id="2" xr3:uid="{A92FCA6D-77BA-46F7-A1F9-464810F6D924}" name="Start time" dataDxfId="83"/>
    <tableColumn id="3" xr3:uid="{DB8405B9-82FE-42DB-923C-149251B32349}" name="End time" dataDxfId="82"/>
    <tableColumn id="4" xr3:uid="{5FB2AFEE-ADEE-47D1-94A4-EF48E27F7BA0}" name="Time delta in h" dataDxfId="81"/>
    <tableColumn id="5" xr3:uid="{F1F44D53-08C0-4F59-8428-5090F0847D2E}" name="Indicator"/>
    <tableColumn id="6" xr3:uid="{9D26DFED-572D-406A-B7A7-2EAE0541E0F9}" name="Action1" dataDxfId="80" dataCellStyle="Link"/>
    <tableColumn id="7" xr3:uid="{7AB0F1CB-D60E-4176-8D26-0C9D9424193E}" name="Action2" dataDxfId="79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A76780C-5449-4192-9084-FA509F593397}" name="Tabelle7367720325068926426176881041141321441621741922042222342522642822943123243423543723844024141426445776881061181361481661781962082262382562681426447022406182961781902002222322425063100112176188206218236248272292368388412424448468496498570604620631122" displayName="Tabelle7367720325068926426176881041141321441621741922042222342522642822943123243423543723844024141426445776881061181361481661781962082262382562681426447022406182961781902002222322425063100112176188206218236248272292368388412424448468496498570604620631122" ref="I14:M21" totalsRowShown="0">
  <autoFilter ref="I14:M21" xr:uid="{2EDF8100-8761-45F6-9100-94099814D6DD}"/>
  <tableColumns count="5">
    <tableColumn id="1" xr3:uid="{F1AEB750-BBB5-440B-B403-CD1C89B8145C}" name="Comparison entry no."/>
    <tableColumn id="2" xr3:uid="{27AA9AE0-4D1E-4FD4-8B61-265AFD87AABE}" name="Propability Support point" dataDxfId="78"/>
    <tableColumn id="3" xr3:uid="{8508F4B9-FEAE-4F16-95B6-C2927D7754FE}" name="EBS self time" dataDxfId="77"/>
    <tableColumn id="4" xr3:uid="{B7F875C6-8D45-4F6D-BBD5-DE9EF296803A}" name="Total time">
      <calculatedColumnFormula>#REF!</calculatedColumnFormula>
    </tableColumn>
    <tableColumn id="5" xr3:uid="{C7B8FE4D-C727-42DC-9878-A79FA29387E9}" name="Total time / Your estimate" dataDxfId="76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84B586EA-3D2E-4CAE-8AF1-A387362AF776}" name="TimeEntries821435675153345697995107121135151165181195211225241255271285301315331345361375391405421173347647995109125139155169185199215229245259275172945561533587593173187215227436093109171185201215231245265289319321361385407421441465555565601611615631125" displayName="TimeEntries821435675153345697995107121135151165181195211225241255271285301315331345361375391405421173347647995109125139155169185199215229245259275172945561533587593173187215227436093109171185201215231245265289319321361385407421441465555565601611615631125" ref="A14:G26" totalsRowShown="0">
  <autoFilter ref="A14:G26" xr:uid="{AF000323-8A34-4382-A161-EFAE07D24CE7}"/>
  <tableColumns count="7">
    <tableColumn id="1" xr3:uid="{31B26348-6B22-4CE8-9E47-A429C23BC8D0}" name="Time entry no."/>
    <tableColumn id="2" xr3:uid="{63C4D88E-6CE0-4925-A3D1-4D1E8F2092A9}" name="Start time" dataDxfId="75"/>
    <tableColumn id="3" xr3:uid="{179AA153-45B1-4497-B0F6-7DCF006B4542}" name="End time" dataDxfId="74"/>
    <tableColumn id="4" xr3:uid="{DCD645F8-0D1A-4163-B2AD-BC09778E81EE}" name="Time delta in h" dataDxfId="73">
      <calculatedColumnFormula>MAX((C15-B15)*24,0)</calculatedColumnFormula>
    </tableColumn>
    <tableColumn id="5" xr3:uid="{383C1147-2F9E-42EF-8757-E24E8EACD51C}" name="Indicator"/>
    <tableColumn id="6" xr3:uid="{7C304C20-B02B-44E6-B1FD-5484B07E2297}" name="Action1" dataDxfId="72" dataCellStyle="Link"/>
    <tableColumn id="7" xr3:uid="{49D3EB9F-B6D0-4447-87AC-E7E83AA72581}" name="Action2" dataDxfId="71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3E6E0426-6D15-49F0-9FEC-0F8049D67CA7}" name="Tabelle7367922445776163446708096108122136152166182196212226242256272286302316332346362376392406422183448658096110126140156170186200216230246260276183046571634597694174188216228446194110172186202216232246266290320322362386408422442466556566602612616631126" displayName="Tabelle7367922445776163446708096108122136152166182196212226242256272286302316332346362376392406422183448658096110126140156170186200216230246260276183046571634597694174188216228446194110172186202216232246266290320322362386408422442466556566602612616631126" ref="I14:M21" totalsRowShown="0">
  <autoFilter ref="I14:M21" xr:uid="{53D84D0B-4F6A-4F2B-BAEF-A8A3C5824EFF}"/>
  <tableColumns count="5">
    <tableColumn id="1" xr3:uid="{2B79A37E-D62A-43AD-A003-1DAC35BA3B54}" name="Comparison entry no."/>
    <tableColumn id="2" xr3:uid="{32F4FC04-E5BB-418D-8C56-97E39E8CB425}" name="Propability Support point" dataDxfId="70"/>
    <tableColumn id="3" xr3:uid="{D0858EDA-A8A9-4629-98C6-FCCA24E06D5A}" name="EBS self time" dataDxfId="69"/>
    <tableColumn id="4" xr3:uid="{EB6DE496-BF38-442C-920D-BBF22C9B09AE}" name="Total time">
      <calculatedColumnFormula>#REF!</calculatedColumnFormula>
    </tableColumn>
    <tableColumn id="5" xr3:uid="{9DFC2EB1-F406-4240-9135-853666AAD937}" name="Total time / Your estimate" dataDxfId="68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A5E1576D-53C2-4668-8E8E-6A0BA15ADBFC}" name="TimeEntries27193147627999113129" displayName="TimeEntries27193147627999113129" ref="A14:G15" totalsRowShown="0">
  <autoFilter ref="A14:G15" xr:uid="{346D060E-24CD-4C8F-872A-A2533DFD8A16}"/>
  <tableColumns count="7">
    <tableColumn id="1" xr3:uid="{D202E767-BA16-4627-ADA4-E9E414724489}" name="Time entry no."/>
    <tableColumn id="2" xr3:uid="{3ED46A4D-DA81-49EA-8CFC-5F91B9E5F2FA}" name="Start time" dataDxfId="67"/>
    <tableColumn id="3" xr3:uid="{11DB5734-7A73-4905-B82A-52F5F10E3419}" name="End time" dataDxfId="66"/>
    <tableColumn id="4" xr3:uid="{887CDD4E-2B77-401C-9F1E-AE2EA5D8B2DE}" name="Time delta in h" dataDxfId="65">
      <calculatedColumnFormula>MAX((C15-B15)*24,0)</calculatedColumnFormula>
    </tableColumn>
    <tableColumn id="5" xr3:uid="{07E286CF-2694-4F41-BA27-A30C632E50E7}" name="Indicator"/>
    <tableColumn id="6" xr3:uid="{97B1A7E4-CB63-4F41-B830-35DBB8E75F5B}" name="Action1"/>
    <tableColumn id="7" xr3:uid="{C2D0AD6E-17BB-4FAD-A59B-7568D561F88F}" name="Action2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FFD806F-1D7A-444B-90B0-3A1FB8627C15}" name="Tabelle7367282032486380100114130" displayName="Tabelle7367282032486380100114130" ref="I14:M15" totalsRowShown="0">
  <autoFilter ref="I14:M15" xr:uid="{EF78610A-D9C8-4292-B303-EDFA30F4C821}"/>
  <tableColumns count="5">
    <tableColumn id="1" xr3:uid="{FC3A1458-7EC7-4783-A4F5-A5FF1CE86C65}" name="Comparison entry no."/>
    <tableColumn id="2" xr3:uid="{186A52F5-DCD4-4A7D-8A93-E2EE2492EB32}" name="Propability Support point" dataDxfId="64"/>
    <tableColumn id="3" xr3:uid="{0FF5D50D-15CF-4E5F-8884-2FDB7E542488}" name="EBS self time" dataDxfId="63"/>
    <tableColumn id="4" xr3:uid="{94F4F6E7-E27E-4E16-9138-ECD9AD1DC782}" name="Total time">
      <calculatedColumnFormula>#REF!</calculatedColumnFormula>
    </tableColumn>
    <tableColumn id="5" xr3:uid="{4E825C73-6526-440D-A7C7-89F9D19AC585}" name="Total time / Your estimate" dataDxfId="62">
      <calculatedColumnFormula>Tabelle7367282032486380100114130[[#This Row],[EBS self time]]/Tabelle7367282032486380100114130[[#This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FFAE549E-2637-470B-899C-080FDC7B4D9C}" name="TimeEntries251735496681103115133" displayName="TimeEntries251735496681103115133" ref="A14:G15" totalsRowShown="0">
  <autoFilter ref="A14:G15" xr:uid="{F1CAC626-3684-4434-B58D-D18B3420DBC0}"/>
  <tableColumns count="7">
    <tableColumn id="1" xr3:uid="{9006B9B9-5B9F-4F87-84BB-FE381D271BAA}" name="Time entry no."/>
    <tableColumn id="2" xr3:uid="{552B2B52-9900-4116-B768-1C4EBA179373}" name="Start time" dataDxfId="61"/>
    <tableColumn id="3" xr3:uid="{1CB835C9-66F7-4FCF-B582-DF192805D8DD}" name="End time" dataDxfId="60"/>
    <tableColumn id="4" xr3:uid="{AF6F5009-A8A7-4952-B72B-8EC954F11D3B}" name="Time delta in h" dataDxfId="59">
      <calculatedColumnFormula>MAX((C15-B15)*24,0)</calculatedColumnFormula>
    </tableColumn>
    <tableColumn id="5" xr3:uid="{91CA04A1-4083-49AF-969F-985E229F6C34}" name="Indicator"/>
    <tableColumn id="6" xr3:uid="{C5CBB875-3001-4524-82C6-1A221C18A54A}" name="Action1"/>
    <tableColumn id="7" xr3:uid="{A88B0394-0B55-4ED2-9441-F9B2631C625B}" name="Action2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10921F24-C83B-4D00-A3A6-82774C4D0B3B}" name="Tabelle7367261836506882104116134" displayName="Tabelle7367261836506882104116134" ref="I14:M15" totalsRowShown="0">
  <autoFilter ref="I14:M15" xr:uid="{A831FC2D-5A4F-4219-B8BF-EB1504C7E62A}"/>
  <tableColumns count="5">
    <tableColumn id="1" xr3:uid="{7C18A383-BDF1-4B6F-8F0C-E3EE88767040}" name="Comparison entry no."/>
    <tableColumn id="2" xr3:uid="{6FE2A2A7-6482-4919-A801-6BD2DDB15947}" name="Propability Support point" dataDxfId="58"/>
    <tableColumn id="3" xr3:uid="{D44801BD-05E6-4426-A49B-499C4D687715}" name="EBS self time" dataDxfId="57"/>
    <tableColumn id="4" xr3:uid="{849C0301-096D-4483-B125-440BA11FC395}" name="Total time">
      <calculatedColumnFormula>#REF!</calculatedColumnFormula>
    </tableColumn>
    <tableColumn id="5" xr3:uid="{62B7329C-75EC-4A98-B609-AC247BF3F9F0}" name="Total time / Your estimate" dataDxfId="56">
      <calculatedColumnFormula>Tabelle7367261836506882104116134[[#This Row],[EBS self time]]/Tabelle7367261836506882104116134[[#This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3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2"/>
    <tableColumn id="4" xr3:uid="{BD24E662-9F4E-4C61-82B5-EAD94B1901CC}" name="User time estimate" dataDxfId="51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0" dataDxfId="48" headerRowBorderDxfId="49">
  <autoFilter ref="A8:D54" xr:uid="{8E9EC0C1-7901-48B6-A59A-1CE6ABEE7A55}"/>
  <tableColumns count="4">
    <tableColumn id="1" xr3:uid="{58BB2187-C79D-4A1A-A9A3-DA2F074C476C}" name="Split entry no." dataDxfId="47"/>
    <tableColumn id="2" xr3:uid="{A755482D-FFF4-43D8-8021-1956CE3A7021}" name="Split start" dataDxfId="46"/>
    <tableColumn id="3" xr3:uid="{FE0A0B8D-1F8A-4CEC-9FB3-C945A45F99BF}" name="Split end" dataDxfId="45"/>
    <tableColumn id="4" xr3:uid="{5443222D-0CE3-4625-9EDB-D13B87B6C388}" name="Time spent" dataDxfId="44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3" dataCellStyle="Link"/>
    <tableColumn id="9" xr3:uid="{0037D127-E2BA-445A-BC63-1395BA3AC441}" name="Calendar ID" dataDxfId="42" dataCellStyle="Link"/>
    <tableColumn id="10" xr3:uid="{37CA3B7B-8FF0-4042-97C6-E23A79A74325}" name="Store ID"/>
    <tableColumn id="6" xr3:uid="{044D8005-25C5-4D31-940A-B6DE4C6B0EA5}" name="WorkingDays" dataDxfId="4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0"/>
    <tableColumn id="8" xr3:uid="{1177B0FB-46B2-406D-B988-C64E0ABA6972}" name="AppointmentOffsetHours" dataDxfId="39">
      <calculatedColumnFormula>5/60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34"/>
    <tableColumn id="3" xr3:uid="{78DABF02-3853-48FF-81AD-5801C74BED1B}" name="End time" dataDxfId="33"/>
    <tableColumn id="4" xr3:uid="{76C994F9-216A-4848-9FB6-16BAF8B0EEEA}" name="Time delta in h" dataDxfId="32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1"/>
    <tableColumn id="3" xr3:uid="{A62B365F-400F-45A4-B789-FE7B5FDBD312}" name="EBS self time" dataDxfId="30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9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EE592E16-FDEF-498C-89B4-4E1735A3EABF}" name="TimeEntries19376275851031171332152252973136233953718510311713314716317719320722323725326728329734735942944562814362871011411576217585" displayName="TimeEntries19376275851031171332152252973136233953718510311713314716317719320722323725326728329734735942944562814362871011411576217585" ref="A15:G18" totalsRowShown="0">
  <autoFilter ref="A15:G18" xr:uid="{6D35F26A-211E-4A5D-9742-69CABF0A626C}"/>
  <tableColumns count="7">
    <tableColumn id="1" xr3:uid="{8683865F-2097-4608-9C7F-573EC0152A38}" name="Time entry no."/>
    <tableColumn id="2" xr3:uid="{5433FFFC-904F-4092-B2CD-E560F88D2430}" name="Start time" dataDxfId="28"/>
    <tableColumn id="3" xr3:uid="{61511154-EFFA-4D2B-92C2-9DB9881C6F4B}" name="End time" dataDxfId="27"/>
    <tableColumn id="4" xr3:uid="{A166D3AA-A757-412E-A7BE-BB976BE66BAD}" name="Time delta in h" dataDxfId="26">
      <calculatedColumnFormula>MAX((C16-B16)*24,0)</calculatedColumnFormula>
    </tableColumn>
    <tableColumn id="5" xr3:uid="{647CFF0B-AE47-4F61-839A-0B0181D2AE7C}" name="Indicator"/>
    <tableColumn id="6" xr3:uid="{CBDF44AB-43E6-44AC-84D1-90FFDDDB821D}" name="Action1" dataDxfId="25" dataCellStyle="Link"/>
    <tableColumn id="7" xr3:uid="{E283EA6C-D266-464C-950B-0D2902BCBD55}" name="Action2" dataDxfId="24" dataCellStyle="Link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F87F19B-DC66-4BD7-A733-8E82AE377D3D}" name="Tabelle736720386376861041181342162262983147244054728610411813414816417819420822423825426828429834836043044663824463881021421587227686" displayName="Tabelle736720386376861041181342162262983147244054728610411813414816417819420822423825426828429834836043044663824463881021421587227686" ref="I15:M22" totalsRowShown="0">
  <autoFilter ref="I15:M22" xr:uid="{23CED8E7-4DD5-48A2-9C8E-A3C68BAE6527}"/>
  <tableColumns count="5">
    <tableColumn id="1" xr3:uid="{F5DEFC41-5704-4CBA-8654-DFE0CC411E1A}" name="Comparison entry no."/>
    <tableColumn id="2" xr3:uid="{50692F31-FE0F-4D39-A2F8-6B55B4680201}" name="Propability Support point" dataDxfId="23"/>
    <tableColumn id="3" xr3:uid="{1F6828DD-DAAF-4917-9891-91163121FC93}" name="EBS self time" dataDxfId="22"/>
    <tableColumn id="4" xr3:uid="{47FABD6F-18DA-4FDF-A197-CBFA9EFE0D58}" name="Total time">
      <calculatedColumnFormula>#REF!</calculatedColumnFormula>
    </tableColumn>
    <tableColumn id="5" xr3:uid="{8FA7ECF8-4E6B-4633-BA48-E4097A7033AD}" name="Total time / Your estimate" dataDxfId="21">
      <calculatedColumnFormula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calculatedColumnFormula>
    </tableColumn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FF79ABC1-D873-48B0-BE91-BE5C4050E605}" name="TimeEntries21375169951051251351391571992172292472712831719213960739310712713961953739110712513915917119320323725527182339667791105121135207221279289132543567587107119137149167179197209227239257269287299339355411421435625377997123133132391109" displayName="TimeEntries21375169951051251351391571992172292472712831719213960739310712713961953739110712513915917119320323725527182339667791105121135207221279289132543567587107119137149167179197209227239257269287299339355411421435625377997123133132391109" ref="A38:G41" totalsRowShown="0">
  <autoFilter ref="A38:G41" xr:uid="{6C424A1A-BC3D-4E8E-A6C2-98F6B92FFE7A}"/>
  <tableColumns count="7">
    <tableColumn id="1" xr3:uid="{C1544C81-62C5-48A9-BF76-9F2002F3E6F1}" name="Time entry no."/>
    <tableColumn id="2" xr3:uid="{357C944C-7811-4AD7-9A4E-F4B6751C029B}" name="Start time" dataDxfId="20"/>
    <tableColumn id="3" xr3:uid="{7C48C4C9-C335-4D50-8A83-0C83468A7857}" name="End time" dataDxfId="19"/>
    <tableColumn id="4" xr3:uid="{C85243A1-46CF-4375-99C0-6A384B81DA00}" name="Time delta in h" dataDxfId="18">
      <calculatedColumnFormula>MAX((C39-B39)*24,0)</calculatedColumnFormula>
    </tableColumn>
    <tableColumn id="5" xr3:uid="{98350C68-61F3-4438-AEE6-57932F61023F}" name="Indicator"/>
    <tableColumn id="6" xr3:uid="{7414A004-9405-4786-A3FD-F9B07BF828B4}" name="Action1" dataDxfId="17" dataCellStyle="Link"/>
    <tableColumn id="7" xr3:uid="{3B88DBA5-D562-472C-BBE7-5456D57440F4}" name="Action2" dataDxfId="16" dataCellStyle="Link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492E5EEE-C79A-436F-AA9C-2EEB60506C4C}" name="Tabelle736722385270961061261361401582002182302482722841820224061749410812814072054749210812614016017219420423825627292440687892106122136208222280290142644577688108120138150168180198210228240258270288300340356412422445726388098124134142492110" displayName="Tabelle736722385270961061261361401582002182302482722841820224061749410812814072054749210812614016017219420423825627292440687892106122136208222280290142644577688108120138150168180198210228240258270288300340356412422445726388098124134142492110" ref="I38:M45" totalsRowShown="0">
  <autoFilter ref="I38:M45" xr:uid="{83548254-629F-4CCA-A711-C634DBBBC7F1}"/>
  <tableColumns count="5">
    <tableColumn id="1" xr3:uid="{6AEC0AC9-F712-4083-AC60-A96C44151614}" name="Comparison entry no."/>
    <tableColumn id="2" xr3:uid="{7330226E-E9B6-43B0-8288-E1D3AD533313}" name="Propability Support point" dataDxfId="15"/>
    <tableColumn id="3" xr3:uid="{8361CCBA-9FA1-4806-BB2B-49118895B80A}" name="EBS self time" dataDxfId="14"/>
    <tableColumn id="4" xr3:uid="{0251B81D-A76F-4F23-8B14-861D7626BBB5}" name="Total time">
      <calculatedColumnFormula>#REF!</calculatedColumnFormula>
    </tableColumn>
    <tableColumn id="5" xr3:uid="{9CD630D1-8C9D-46FA-BAAC-4B68A0885392}" name="Total time / Your estimate" dataDxfId="13">
      <calculatedColumnFormula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8E3677CB-A274-46ED-B339-A54AD901D10B}" name="TimeEntries217355162621395673991091291391591691891992192292492592792893093193393493693793994098214151738310311313314316317319320322323325326382141518235164165183203223315681105163181193211223241253285337381399417429461521533593607627639657669687699711111" displayName="TimeEntries217355162621395673991091291391591691891992192292492592792893093193393493693793994098214151738310311313314316317319320322323325326382141518235164165183203223315681105163181193211223241253285337381399417429461521533593607627639657669687699711111" ref="A61:G63" totalsRowShown="0">
  <autoFilter ref="A61:G63" xr:uid="{138EC610-7013-4022-A90D-A2321AC51A79}"/>
  <tableColumns count="7">
    <tableColumn id="1" xr3:uid="{68479260-20CE-468F-B725-BD6A3A05AD56}" name="Time entry no."/>
    <tableColumn id="2" xr3:uid="{A0B89797-2131-4474-9FD0-0D2403642EA0}" name="Start time" dataDxfId="12"/>
    <tableColumn id="3" xr3:uid="{3DEAA936-5F4A-4B0B-8A90-FCFAA4AB751E}" name="End time" dataDxfId="11"/>
    <tableColumn id="4" xr3:uid="{C3B13153-06BD-4D8F-B0F3-3852CE8DB1D7}" name="Time delta in h" dataDxfId="10">
      <calculatedColumnFormula>MAX((C62-B62)*24,0)</calculatedColumnFormula>
    </tableColumn>
    <tableColumn id="5" xr3:uid="{557BE567-DFD1-4D75-8176-5734F38E2FF6}" name="Indicator"/>
    <tableColumn id="6" xr3:uid="{E6E1CF5F-D8AA-4572-8840-2C27D9A26100}" name="Action1" dataDxfId="9" dataCellStyle="Link"/>
    <tableColumn id="7" xr3:uid="{35C71616-7FBD-4447-B86D-2F64603C1808}" name="Action2" dataDxfId="8" dataCellStyle="Link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3F5B37AD-FB3F-431D-BD99-A14BCE8FA1A9}" name="Tabelle7367518365263722405774100110130140160170190200220230250260280290310320340350370380400410922425274841041141341441641741942042242342542649224252924526516618420422432578210616418219421222424225428633838240041843046252253459460862864065867068870071112" displayName="Tabelle7367518365263722405774100110130140160170190200220230250260280290310320340350370380400410922425274841041141341441641741942042242342542649224252924526516618420422432578210616418219421222424225428633838240041843046252253459460862864065867068870071112" ref="I61:M68" totalsRowShown="0">
  <autoFilter ref="I61:M68" xr:uid="{75C0EDBB-17E4-43D5-BB12-371EC7805601}"/>
  <tableColumns count="5">
    <tableColumn id="1" xr3:uid="{B68C72E8-385B-4010-9900-0609634FC4AF}" name="Comparison entry no."/>
    <tableColumn id="2" xr3:uid="{4AABB77D-8430-498E-8531-860BEAAB6AE8}" name="Propability Support point" dataDxfId="7"/>
    <tableColumn id="3" xr3:uid="{A7E72245-FC70-4A95-AE03-76267E7A6EDA}" name="EBS self time" dataDxfId="6"/>
    <tableColumn id="4" xr3:uid="{50A0B8BD-9023-42CE-90B1-5C50E656EFB0}" name="Total time">
      <calculatedColumnFormula>#REF!</calculatedColumnFormula>
    </tableColumn>
    <tableColumn id="5" xr3:uid="{A395D709-C5EC-4AE9-BB14-8B764333A693}" name="Total time / Your estimate" dataDxfId="5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G16" sqref="G16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hidden="1" customHeight="1" x14ac:dyDescent="0.25">
      <c r="A4" s="43" t="s">
        <v>141</v>
      </c>
      <c r="B4" s="44"/>
      <c r="C4" s="45" t="s">
        <v>150</v>
      </c>
      <c r="D4" s="45"/>
      <c r="E4" s="43"/>
      <c r="F4" s="43"/>
      <c r="G4" s="43" t="s">
        <v>167</v>
      </c>
      <c r="H4" s="43" t="s">
        <v>137</v>
      </c>
      <c r="I4" s="46">
        <v>0.5</v>
      </c>
      <c r="J4" s="46">
        <v>0.75</v>
      </c>
      <c r="K4" s="47">
        <v>43877.967650462961</v>
      </c>
      <c r="L4" s="46" t="s">
        <v>95</v>
      </c>
      <c r="M4" s="47" t="s">
        <v>95</v>
      </c>
      <c r="N4" s="44" t="s">
        <v>95</v>
      </c>
      <c r="O4" s="43" t="s">
        <v>19</v>
      </c>
      <c r="P4" s="43" t="s">
        <v>95</v>
      </c>
      <c r="Q4" s="43" t="s">
        <v>163</v>
      </c>
      <c r="U4"/>
    </row>
    <row r="5" spans="1:22" ht="15" hidden="1" customHeight="1" x14ac:dyDescent="0.25">
      <c r="A5" s="48" t="s">
        <v>148</v>
      </c>
      <c r="B5" s="44"/>
      <c r="C5" s="45" t="s">
        <v>136</v>
      </c>
      <c r="D5" s="45" t="s">
        <v>138</v>
      </c>
      <c r="E5" s="43" t="s">
        <v>170</v>
      </c>
      <c r="F5" s="48"/>
      <c r="G5" s="48" t="s">
        <v>167</v>
      </c>
      <c r="H5" s="48" t="s">
        <v>137</v>
      </c>
      <c r="I5" s="49">
        <v>1</v>
      </c>
      <c r="J5" s="49">
        <v>0.50000000005820799</v>
      </c>
      <c r="K5" s="50">
        <v>43876.756701388891</v>
      </c>
      <c r="L5" s="48" t="s">
        <v>95</v>
      </c>
      <c r="M5" s="48" t="s">
        <v>95</v>
      </c>
      <c r="N5" s="44" t="s">
        <v>95</v>
      </c>
      <c r="O5" s="48" t="s">
        <v>19</v>
      </c>
      <c r="P5" s="48" t="s">
        <v>95</v>
      </c>
      <c r="Q5" s="48" t="s">
        <v>166</v>
      </c>
      <c r="U5"/>
    </row>
    <row r="6" spans="1:22" ht="15" hidden="1" customHeight="1" x14ac:dyDescent="0.25">
      <c r="A6" s="51" t="s">
        <v>158</v>
      </c>
      <c r="B6" s="52"/>
      <c r="C6" s="53" t="s">
        <v>213</v>
      </c>
      <c r="D6" s="53"/>
      <c r="E6" s="54" t="s">
        <v>169</v>
      </c>
      <c r="F6" s="51" t="s">
        <v>169</v>
      </c>
      <c r="G6" s="51"/>
      <c r="H6" s="51" t="s">
        <v>137</v>
      </c>
      <c r="I6" s="55">
        <v>5</v>
      </c>
      <c r="J6" s="55">
        <v>0.50888888875488203</v>
      </c>
      <c r="K6" s="56">
        <v>43940.764502314814</v>
      </c>
      <c r="L6" s="51" t="s">
        <v>95</v>
      </c>
      <c r="M6" s="51" t="s">
        <v>95</v>
      </c>
      <c r="N6" s="57"/>
      <c r="O6" s="51" t="s">
        <v>19</v>
      </c>
      <c r="P6" s="51" t="s">
        <v>95</v>
      </c>
      <c r="Q6" s="51" t="s">
        <v>212</v>
      </c>
      <c r="U6"/>
    </row>
    <row r="7" spans="1:22" ht="15" customHeight="1" x14ac:dyDescent="0.25">
      <c r="A7" s="48" t="s">
        <v>161</v>
      </c>
      <c r="B7" s="44"/>
      <c r="C7" s="45" t="s">
        <v>226</v>
      </c>
      <c r="D7" s="45"/>
      <c r="E7" s="43"/>
      <c r="F7" s="48"/>
      <c r="G7" s="48"/>
      <c r="H7" s="48" t="s">
        <v>94</v>
      </c>
      <c r="I7" s="49" t="s">
        <v>225</v>
      </c>
      <c r="J7" s="49">
        <v>0</v>
      </c>
      <c r="K7" s="48" t="s">
        <v>95</v>
      </c>
      <c r="L7" s="48" t="s">
        <v>95</v>
      </c>
      <c r="M7" s="48" t="s">
        <v>95</v>
      </c>
      <c r="N7" s="44"/>
      <c r="O7" s="48" t="s">
        <v>19</v>
      </c>
      <c r="P7" s="48">
        <v>5</v>
      </c>
      <c r="Q7" s="48" t="s">
        <v>228</v>
      </c>
      <c r="U7"/>
    </row>
    <row r="8" spans="1:22" ht="15" customHeight="1" x14ac:dyDescent="0.25">
      <c r="A8" s="48" t="s">
        <v>160</v>
      </c>
      <c r="B8" s="44"/>
      <c r="C8" s="45" t="s">
        <v>229</v>
      </c>
      <c r="D8" s="45"/>
      <c r="E8" s="43"/>
      <c r="F8" s="48"/>
      <c r="G8" s="48"/>
      <c r="H8" s="48" t="s">
        <v>94</v>
      </c>
      <c r="I8" s="49" t="s">
        <v>225</v>
      </c>
      <c r="J8" s="49">
        <v>0</v>
      </c>
      <c r="K8" s="48" t="s">
        <v>95</v>
      </c>
      <c r="L8" s="48" t="s">
        <v>95</v>
      </c>
      <c r="M8" s="48" t="s">
        <v>95</v>
      </c>
      <c r="N8" s="44"/>
      <c r="O8" s="48" t="s">
        <v>19</v>
      </c>
      <c r="P8" s="48">
        <v>4</v>
      </c>
      <c r="Q8" s="48" t="s">
        <v>227</v>
      </c>
      <c r="U8"/>
    </row>
    <row r="9" spans="1:22" ht="15" customHeight="1" x14ac:dyDescent="0.25">
      <c r="A9" s="48" t="s">
        <v>146</v>
      </c>
      <c r="B9" s="44"/>
      <c r="C9" s="45" t="s">
        <v>162</v>
      </c>
      <c r="D9" s="45"/>
      <c r="E9" s="43"/>
      <c r="F9" s="48" t="s">
        <v>169</v>
      </c>
      <c r="G9" s="48" t="s">
        <v>168</v>
      </c>
      <c r="H9" s="48" t="s">
        <v>94</v>
      </c>
      <c r="I9" s="49">
        <v>5</v>
      </c>
      <c r="J9" s="49">
        <v>0</v>
      </c>
      <c r="K9" s="48" t="s">
        <v>95</v>
      </c>
      <c r="L9" s="49">
        <v>1.5045000000000002</v>
      </c>
      <c r="M9" s="50">
        <v>44046.396018518521</v>
      </c>
      <c r="N9" s="44" t="s">
        <v>95</v>
      </c>
      <c r="O9" s="48" t="s">
        <v>19</v>
      </c>
      <c r="P9" s="48">
        <v>2</v>
      </c>
      <c r="Q9" s="48" t="s">
        <v>165</v>
      </c>
      <c r="U9"/>
    </row>
    <row r="10" spans="1:22" s="60" customFormat="1" x14ac:dyDescent="0.25">
      <c r="A10" s="48" t="s">
        <v>145</v>
      </c>
      <c r="B10" s="44"/>
      <c r="C10" s="45" t="s">
        <v>154</v>
      </c>
      <c r="D10" s="45" t="s">
        <v>155</v>
      </c>
      <c r="E10" s="43"/>
      <c r="F10" s="48" t="s">
        <v>169</v>
      </c>
      <c r="G10" s="48" t="s">
        <v>168</v>
      </c>
      <c r="H10" s="48" t="s">
        <v>153</v>
      </c>
      <c r="I10" s="49">
        <v>0.25</v>
      </c>
      <c r="J10" s="49">
        <v>2.7502777775516698</v>
      </c>
      <c r="K10" s="48" t="s">
        <v>95</v>
      </c>
      <c r="L10" s="49">
        <v>1.5045000000000002</v>
      </c>
      <c r="M10" s="50">
        <v>44046.396018518521</v>
      </c>
      <c r="N10" s="44" t="s">
        <v>95</v>
      </c>
      <c r="O10" s="48" t="s">
        <v>19</v>
      </c>
      <c r="P10" s="48">
        <v>1</v>
      </c>
      <c r="Q10" s="48" t="s">
        <v>164</v>
      </c>
      <c r="R10" s="58"/>
      <c r="S10" s="54"/>
      <c r="T10" s="54"/>
      <c r="U10" s="59"/>
    </row>
    <row r="11" spans="1:22" s="60" customFormat="1" x14ac:dyDescent="0.25">
      <c r="A11" s="39"/>
      <c r="B11" s="35"/>
      <c r="C11" s="23"/>
      <c r="D11" s="23"/>
      <c r="E11" s="24"/>
      <c r="F11" s="39"/>
      <c r="G11" s="39"/>
      <c r="H11" s="39"/>
      <c r="I11" s="40"/>
      <c r="J11" s="39"/>
      <c r="K11" s="39"/>
      <c r="L11" s="39"/>
      <c r="M11" s="39"/>
      <c r="N11" s="36"/>
      <c r="O11" s="39"/>
      <c r="P11" s="39"/>
      <c r="Q11" s="39"/>
      <c r="R11" s="58"/>
      <c r="S11" s="54"/>
      <c r="T11" s="54"/>
      <c r="U11" s="59"/>
      <c r="V11" s="61"/>
    </row>
    <row r="12" spans="1:22" x14ac:dyDescent="0.25">
      <c r="A12" s="24"/>
      <c r="B12" s="35"/>
      <c r="C12" s="23"/>
      <c r="D12" s="23" t="s">
        <v>114</v>
      </c>
      <c r="F12" s="24"/>
      <c r="G12" s="24"/>
      <c r="H12" s="24"/>
      <c r="I12" s="24"/>
      <c r="J12" s="25"/>
      <c r="K12" s="24"/>
      <c r="L12" s="25"/>
      <c r="M12" s="25"/>
      <c r="N12" s="36"/>
      <c r="Q12" s="24"/>
    </row>
    <row r="17" spans="3:3" x14ac:dyDescent="0.25">
      <c r="C17" s="11"/>
    </row>
    <row r="39" spans="22:22" x14ac:dyDescent="0.25">
      <c r="V39" t="s">
        <v>88</v>
      </c>
    </row>
  </sheetData>
  <dataConsolidate/>
  <conditionalFormatting sqref="B4:B10">
    <cfRule type="containsText" dxfId="107" priority="7" operator="containsText" text="&lt;current">
      <formula>NOT(ISERROR(SEARCH("&lt;current",B4)))</formula>
    </cfRule>
  </conditionalFormatting>
  <conditionalFormatting sqref="H4:H10">
    <cfRule type="containsText" dxfId="106" priority="2" operator="containsText" text="Note">
      <formula>NOT(ISERROR(SEARCH("Note",H4)))</formula>
    </cfRule>
    <cfRule type="containsText" dxfId="105" priority="8" operator="containsText" text="Done">
      <formula>NOT(ISERROR(SEARCH("Done",H4)))</formula>
    </cfRule>
    <cfRule type="containsText" dxfId="104" priority="9" operator="containsText" text="In progress">
      <formula>NOT(ISERROR(SEARCH("In progress",H4)))</formula>
    </cfRule>
    <cfRule type="containsText" dxfId="103" priority="10" operator="containsText" text="To do">
      <formula>NOT(ISERROR(SEARCH("To do",H4)))</formula>
    </cfRule>
  </conditionalFormatting>
  <conditionalFormatting sqref="N4:N10">
    <cfRule type="cellIs" dxfId="102" priority="1" operator="lessThan">
      <formula>TODAY()</formula>
    </cfRule>
  </conditionalFormatting>
  <conditionalFormatting sqref="P4:P10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10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10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0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10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10" xr:uid="{F32ADCD5-9D8D-4CCE-8AA4-B6EAC1E91473}">
      <formula1>"important,fruit"</formula1>
    </dataValidation>
  </dataValidations>
  <hyperlinks>
    <hyperlink ref="C4" location="Planning!A1" display="Planning!A1" xr:uid="{5B5CD1D8-E8BD-4F86-9D8D-50B9A9632EE8}"/>
    <hyperlink ref="C10" location="Planning!A1" display="Planning!A1" xr:uid="{BC42D341-749E-4974-9703-6AF2E3023CA9}"/>
    <hyperlink ref="C9" location="Planning!A1" display="Planning!A1" xr:uid="{2E2E1D78-1291-4A8A-B39B-9D84FE2709E6}"/>
    <hyperlink ref="C5" location="Planning!A1" display="Planning!A1" xr:uid="{0E674BE9-9519-43F9-BD03-7C270522C598}"/>
    <hyperlink ref="C6" location="Planning!A1" display="Planning!A1" xr:uid="{194470B7-4288-42F7-BC98-28556DD7119C}"/>
    <hyperlink ref="C8" location="Planning!A1" display="Planning!A1" xr:uid="{189502B0-7A17-4566-B8D2-D6B8CFD9C97E}"/>
    <hyperlink ref="C7" location="Planning!A1" display="Planning!A1" xr:uid="{212B2B04-851C-4C24-BB1E-3776F54D4ACC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D95B-A198-4506-B4A6-FD493D7E37D5}">
  <sheetPr codeName="TaskSheetTemplate1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162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41" t="s">
        <v>95</v>
      </c>
    </row>
    <row r="6" spans="1:13" x14ac:dyDescent="0.25">
      <c r="A6" t="s">
        <v>15</v>
      </c>
      <c r="B6" s="41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41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165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96</v>
      </c>
      <c r="B12" t="s">
        <v>156</v>
      </c>
    </row>
    <row r="13" spans="1:13" x14ac:dyDescent="0.25">
      <c r="A13" t="s">
        <v>97</v>
      </c>
      <c r="B13" t="s">
        <v>157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141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16" spans="1:13" x14ac:dyDescent="0.25">
      <c r="B16" s="1"/>
      <c r="C16" s="1"/>
      <c r="D16" s="2"/>
      <c r="G16" s="23"/>
      <c r="I16" t="s">
        <v>144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17" spans="9:13" x14ac:dyDescent="0.25">
      <c r="I17" t="s">
        <v>145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18" spans="9:13" x14ac:dyDescent="0.25">
      <c r="I18" t="s">
        <v>146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19" spans="9:13" x14ac:dyDescent="0.25">
      <c r="I19" t="s">
        <v>147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20" spans="9:13" x14ac:dyDescent="0.25">
      <c r="I20" t="s">
        <v>148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  <row r="21" spans="9:13" x14ac:dyDescent="0.25">
      <c r="I21" t="s">
        <v>149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Tabelle7367720325068926426176881041141321441621741922042222342522642822943123243423543723844024141426445776881061181361481661781962082262382562681426447022406182961781902002222322425063100112176188206218236248272292368388412424448468496498570604620631122[[#This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time]]/Tabelle7367720325068926426176881041141321441621741922042222342522642822943123243423543723844024141426445776881061181361481661781962082262382562681426447022406182961781902002222322425063100112176188206218236248272292368388412424448468496498570604620631122[[#This Row],[Total time]]</f>
        <v>#REF!</v>
      </c>
    </row>
  </sheetData>
  <dataConsolidate/>
  <hyperlinks>
    <hyperlink ref="A1" location="Planning!A1" display="Go back to 'Planning' sheet" xr:uid="{D887267A-23F5-487B-AB5C-F272E45D1F8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E0434-D963-4103-B313-0E040B6C1688}">
  <sheetPr codeName="TaskSheetTemplate2"/>
  <dimension ref="A1:M26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154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2.7502777775516734</v>
      </c>
      <c r="C4" t="s">
        <v>4</v>
      </c>
    </row>
    <row r="5" spans="1:13" x14ac:dyDescent="0.25">
      <c r="A5" t="s">
        <v>14</v>
      </c>
      <c r="B5" s="41" t="s">
        <v>95</v>
      </c>
    </row>
    <row r="6" spans="1:13" x14ac:dyDescent="0.25">
      <c r="A6" t="s">
        <v>15</v>
      </c>
      <c r="B6" s="41" t="s">
        <v>19</v>
      </c>
    </row>
    <row r="7" spans="1:13" x14ac:dyDescent="0.25">
      <c r="A7" t="s">
        <v>1</v>
      </c>
      <c r="B7" t="s">
        <v>153</v>
      </c>
    </row>
    <row r="8" spans="1:13" x14ac:dyDescent="0.25">
      <c r="A8" t="s">
        <v>16</v>
      </c>
      <c r="B8" s="41" t="s">
        <v>95</v>
      </c>
    </row>
    <row r="9" spans="1:13" x14ac:dyDescent="0.25">
      <c r="A9" t="s">
        <v>2</v>
      </c>
      <c r="B9" t="s">
        <v>155</v>
      </c>
    </row>
    <row r="10" spans="1:13" x14ac:dyDescent="0.25">
      <c r="A10" t="s">
        <v>47</v>
      </c>
      <c r="B10" t="s">
        <v>164</v>
      </c>
    </row>
    <row r="11" spans="1:13" x14ac:dyDescent="0.25">
      <c r="A11" t="s">
        <v>5</v>
      </c>
      <c r="B11" s="2">
        <f>B3/B4</f>
        <v>9.0899909107563917E-2</v>
      </c>
      <c r="C11" t="s">
        <v>6</v>
      </c>
    </row>
    <row r="12" spans="1:13" x14ac:dyDescent="0.25">
      <c r="A12" t="s">
        <v>96</v>
      </c>
      <c r="B12" t="s">
        <v>156</v>
      </c>
    </row>
    <row r="13" spans="1:13" x14ac:dyDescent="0.25">
      <c r="A13" t="s">
        <v>97</v>
      </c>
      <c r="B13" t="s">
        <v>157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141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2" t="s">
        <v>142</v>
      </c>
      <c r="G15" s="23" t="s">
        <v>143</v>
      </c>
      <c r="I15" t="s">
        <v>141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16" spans="1:13" x14ac:dyDescent="0.25">
      <c r="A16" t="s">
        <v>144</v>
      </c>
      <c r="B16" s="1">
        <v>43877.685219907406</v>
      </c>
      <c r="C16" s="1">
        <v>43877.695636574077</v>
      </c>
      <c r="D16" s="2">
        <f t="shared" si="0"/>
        <v>0.25000000011641532</v>
      </c>
      <c r="F16" s="42" t="s">
        <v>142</v>
      </c>
      <c r="G16" s="23" t="s">
        <v>143</v>
      </c>
      <c r="I16" t="s">
        <v>144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17" spans="1:13" x14ac:dyDescent="0.25">
      <c r="A17" t="s">
        <v>145</v>
      </c>
      <c r="B17" s="1">
        <v>43877.685219907406</v>
      </c>
      <c r="C17" s="1">
        <v>43877.695636574077</v>
      </c>
      <c r="D17" s="2">
        <f t="shared" si="0"/>
        <v>0.25000000011641532</v>
      </c>
      <c r="F17" s="42" t="s">
        <v>142</v>
      </c>
      <c r="G17" s="23" t="s">
        <v>143</v>
      </c>
      <c r="I17" t="s">
        <v>145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18" spans="1:13" x14ac:dyDescent="0.25">
      <c r="A18" t="s">
        <v>146</v>
      </c>
      <c r="B18" s="1">
        <v>43877.685231481482</v>
      </c>
      <c r="C18" s="1">
        <v>43877.695648148147</v>
      </c>
      <c r="D18" s="2">
        <f t="shared" si="0"/>
        <v>0.24999999994179234</v>
      </c>
      <c r="F18" s="42" t="s">
        <v>142</v>
      </c>
      <c r="G18" s="23" t="s">
        <v>143</v>
      </c>
      <c r="I18" t="s">
        <v>146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19" spans="1:13" x14ac:dyDescent="0.25">
      <c r="A19" t="s">
        <v>147</v>
      </c>
      <c r="B19" s="1">
        <v>43877.685231481482</v>
      </c>
      <c r="C19" s="1">
        <v>43877.695648148147</v>
      </c>
      <c r="D19" s="2">
        <f t="shared" si="0"/>
        <v>0.24999999994179234</v>
      </c>
      <c r="F19" s="42" t="s">
        <v>142</v>
      </c>
      <c r="G19" s="23" t="s">
        <v>143</v>
      </c>
      <c r="I19" t="s">
        <v>147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20" spans="1:13" x14ac:dyDescent="0.25">
      <c r="A20" t="s">
        <v>148</v>
      </c>
      <c r="B20" s="1">
        <v>43877.685231481482</v>
      </c>
      <c r="C20" s="1">
        <v>43877.695648148147</v>
      </c>
      <c r="D20" s="2">
        <f t="shared" si="0"/>
        <v>0.24999999994179234</v>
      </c>
      <c r="F20" s="42" t="s">
        <v>142</v>
      </c>
      <c r="G20" s="23" t="s">
        <v>143</v>
      </c>
      <c r="I20" t="s">
        <v>148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21" spans="1:13" x14ac:dyDescent="0.25">
      <c r="A21" t="s">
        <v>149</v>
      </c>
      <c r="B21" s="1">
        <v>43877.685231481482</v>
      </c>
      <c r="C21" s="1">
        <v>43877.695648148147</v>
      </c>
      <c r="D21" s="2">
        <f t="shared" si="0"/>
        <v>0.24999999994179234</v>
      </c>
      <c r="F21" s="42" t="s">
        <v>142</v>
      </c>
      <c r="G21" s="23" t="s">
        <v>143</v>
      </c>
      <c r="I21" t="s">
        <v>149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Tabelle7367922445776163446708096108122136152166182196212226242256272286302316332346362376392406422183448658096110126140156170186200216230246260276183046571634597694174188216228446194110172186202216232246266290320322362386408422442466556566602612616631126[[#This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time]]/Tabelle7367922445776163446708096108122136152166182196212226242256272286302316332346362376392406422183448658096110126140156170186200216230246260276183046571634597694174188216228446194110172186202216232246266290320322362386408422442466556566602612616631126[[#This Row],[Total time]]</f>
        <v>#REF!</v>
      </c>
    </row>
    <row r="22" spans="1:13" x14ac:dyDescent="0.25">
      <c r="A22" t="s">
        <v>158</v>
      </c>
      <c r="B22" s="1">
        <v>43877.685231481482</v>
      </c>
      <c r="C22" s="1">
        <v>43877.695648148147</v>
      </c>
      <c r="D22" s="2">
        <f t="shared" si="0"/>
        <v>0.24999999994179234</v>
      </c>
      <c r="F22" s="42" t="s">
        <v>142</v>
      </c>
      <c r="G22" s="23" t="s">
        <v>143</v>
      </c>
    </row>
    <row r="23" spans="1:13" x14ac:dyDescent="0.25">
      <c r="A23" t="s">
        <v>159</v>
      </c>
      <c r="B23" s="1">
        <v>43877.685243055559</v>
      </c>
      <c r="C23" s="1">
        <v>43877.695659722223</v>
      </c>
      <c r="D23" s="2">
        <f t="shared" si="0"/>
        <v>0.24999999994179234</v>
      </c>
      <c r="F23" s="42" t="s">
        <v>142</v>
      </c>
      <c r="G23" s="23" t="s">
        <v>143</v>
      </c>
    </row>
    <row r="24" spans="1:13" x14ac:dyDescent="0.25">
      <c r="A24" t="s">
        <v>160</v>
      </c>
      <c r="B24" s="1">
        <v>43877.685243055559</v>
      </c>
      <c r="C24" s="1">
        <v>43877.695659722223</v>
      </c>
      <c r="D24" s="2">
        <f t="shared" si="0"/>
        <v>0.24999999994179234</v>
      </c>
      <c r="F24" s="42" t="s">
        <v>142</v>
      </c>
      <c r="G24" s="23" t="s">
        <v>143</v>
      </c>
    </row>
    <row r="25" spans="1:13" x14ac:dyDescent="0.25">
      <c r="A25" t="s">
        <v>161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2" t="s">
        <v>142</v>
      </c>
      <c r="G25" s="23" t="s">
        <v>143</v>
      </c>
    </row>
    <row r="26" spans="1:13" x14ac:dyDescent="0.25">
      <c r="A26" t="s">
        <v>177</v>
      </c>
      <c r="B26" s="1">
        <v>43960.015763888892</v>
      </c>
      <c r="C26" s="1">
        <v>43960.026180555556</v>
      </c>
      <c r="D26" s="2">
        <f>MAX((C26-B26)*24,0)</f>
        <v>0.24999999994179234</v>
      </c>
      <c r="F26" s="42" t="s">
        <v>142</v>
      </c>
      <c r="G26" s="23" t="s">
        <v>143</v>
      </c>
    </row>
  </sheetData>
  <dataConsolidate/>
  <hyperlinks>
    <hyperlink ref="A1" location="Planning!A1" display="Go back to 'Planning' sheet" xr:uid="{2BF71D49-AB8C-48D8-90B8-9A9FA5162A6C}"/>
    <hyperlink ref="F15" location="$F$15" display="$F$15" xr:uid="{6294CFA3-6C5D-453D-B24D-359B634B5369}"/>
    <hyperlink ref="G15" location="$G$15" display="$G$15" xr:uid="{4C1CD021-EA04-4C51-845B-D52C416E3C2D}"/>
    <hyperlink ref="F16" location="$F$16" display="$F$16" xr:uid="{3680AD0E-90D9-4935-AC8F-A74BB6E5E211}"/>
    <hyperlink ref="G16" location="$G$16" display="$G$16" xr:uid="{F6D4CE3F-C645-430D-AB26-E827ADF090AF}"/>
    <hyperlink ref="F17" location="$F$17" display="$F$17" xr:uid="{8F4C2A1D-9947-4D3E-B76E-F5A7DA343DCF}"/>
    <hyperlink ref="G17" location="$G$17" display="$G$17" xr:uid="{ACD34A17-4169-4450-9C9C-0ADB4F31F83B}"/>
    <hyperlink ref="F18" location="$F$18" display="$F$18" xr:uid="{35B4B637-3229-402F-B968-149368CA472E}"/>
    <hyperlink ref="G18" location="$G$18" display="$G$18" xr:uid="{F794707E-4A0C-4444-B01C-87D0B0398B5A}"/>
    <hyperlink ref="F19" location="$F$19" display="$F$19" xr:uid="{6907F511-8D59-45EA-9748-8C5D603A47B5}"/>
    <hyperlink ref="G19" location="$G$19" display="$G$19" xr:uid="{23A00C40-92E6-4723-90CC-011759042A9E}"/>
    <hyperlink ref="F20" location="$F$20" display="$F$20" xr:uid="{95FA10C3-94BD-4CC6-B300-11CCB4149D08}"/>
    <hyperlink ref="G20" location="$G$20" display="$G$20" xr:uid="{37977C12-30AE-4414-8789-A8327CE75DD3}"/>
    <hyperlink ref="F21" location="$F$21" display="$F$21" xr:uid="{B5020DCA-1A18-4D8D-A048-17ED97FDFC2A}"/>
    <hyperlink ref="G21" location="$G$21" display="$G$21" xr:uid="{941DF89A-CE9D-4E7C-AAA9-FE3B0858DDC4}"/>
    <hyperlink ref="F22" location="$F$22" display="$F$22" xr:uid="{038D20F6-ED87-4C0E-86F8-50B2BFAFD27C}"/>
    <hyperlink ref="G22" location="$G$22" display="$G$22" xr:uid="{05691559-7E1C-4785-BFE6-FA8507704DB1}"/>
    <hyperlink ref="F23" location="$F$23" display="$F$23" xr:uid="{9C35A1D5-AD43-40EA-AED9-309FCF0E64CC}"/>
    <hyperlink ref="G23" location="$G$23" display="$G$23" xr:uid="{9241487F-112F-4D24-AC17-007C4D2E6ACA}"/>
    <hyperlink ref="F24" location="$F$24" display="$F$24" xr:uid="{AAAC3994-2D34-49B7-BC57-61C529E44301}"/>
    <hyperlink ref="G24" location="$G$24" display="$G$24" xr:uid="{CEC72441-F007-48FC-8A01-863C808305AA}"/>
    <hyperlink ref="F25" location="$F$25" display="$F$25" xr:uid="{5DE6E17F-6F66-4CC9-94F6-B43ED81CB514}"/>
    <hyperlink ref="G25" location="$G$25" display="$G$25" xr:uid="{4ECFF949-2379-4162-B73E-EEDF87AEB97B}"/>
    <hyperlink ref="F26" location="$F$26" display="$F$26" xr:uid="{43AC1448-502B-4BB4-8228-F72B75859453}"/>
    <hyperlink ref="G26" location="$G$26" display="$G$26" xr:uid="{8B2CF2A3-9979-4573-8E30-8341E050520C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5502-50C5-4F13-A1EA-DE9B7DF79B0B}">
  <sheetPr codeName="TaskSheetTemplate3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226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228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 t="e">
        <f>#REF!</f>
        <v>#REF!</v>
      </c>
      <c r="M15" s="16" t="e">
        <f>Tabelle7367282032486380100114130[[#This Row],[EBS self time]]/Tabelle7367282032486380100114130[[#This Row],[Total time]]</f>
        <v>#REF!</v>
      </c>
    </row>
  </sheetData>
  <dataConsolidate/>
  <hyperlinks>
    <hyperlink ref="A1" location="Planning!A1" display="Go back to 'Planning' sheet" xr:uid="{96636C60-AB48-46E3-9102-CBEC8C65AC31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B5123-A427-432C-B298-9DC7B1B8485A}">
  <sheetPr codeName="TaskSheetTemplate4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229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227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 t="e">
        <f>#REF!</f>
        <v>#REF!</v>
      </c>
      <c r="M15" s="16" t="e">
        <f>Tabelle7367261836506882104116134[[#This Row],[EBS self time]]/Tabelle7367261836506882104116134[[#This Row],[Total time]]</f>
        <v>#REF!</v>
      </c>
    </row>
  </sheetData>
  <dataConsolidate/>
  <hyperlinks>
    <hyperlink ref="A1" location="Planning!A1" display="Go back to 'Planning' sheet" xr:uid="{7AF0A998-66AD-4C00-8FC7-297C173421E5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9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62" t="s">
        <v>219</v>
      </c>
      <c r="G15" s="63"/>
      <c r="H15" s="63"/>
    </row>
    <row r="16" spans="5:8" x14ac:dyDescent="0.25">
      <c r="E16" s="14" t="s">
        <v>74</v>
      </c>
      <c r="F16" s="62" t="s">
        <v>37</v>
      </c>
      <c r="G16" s="63"/>
      <c r="H16" s="6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141</v>
      </c>
      <c r="B19" s="17">
        <v>43878.817696759259</v>
      </c>
      <c r="C19" t="s">
        <v>175</v>
      </c>
      <c r="D19" t="s">
        <v>27</v>
      </c>
      <c r="E19" t="s">
        <v>171</v>
      </c>
      <c r="F19" t="s">
        <v>172</v>
      </c>
      <c r="G19" t="s">
        <v>173</v>
      </c>
      <c r="H19" t="s">
        <v>174</v>
      </c>
      <c r="J19" t="s">
        <v>141</v>
      </c>
      <c r="K19" t="s">
        <v>165</v>
      </c>
      <c r="L19">
        <v>2</v>
      </c>
      <c r="M19" s="2">
        <v>0</v>
      </c>
      <c r="N19" s="2">
        <v>5</v>
      </c>
      <c r="O19" t="s">
        <v>234</v>
      </c>
      <c r="P19" t="s">
        <v>234</v>
      </c>
      <c r="Q19" t="s">
        <v>234</v>
      </c>
      <c r="R19" t="s">
        <v>171</v>
      </c>
      <c r="S19" t="s">
        <v>235</v>
      </c>
      <c r="T19" t="s">
        <v>236</v>
      </c>
    </row>
    <row r="20" spans="1:20" x14ac:dyDescent="0.25">
      <c r="A20" t="s">
        <v>144</v>
      </c>
      <c r="B20" s="17">
        <v>43940.766226851854</v>
      </c>
      <c r="C20" t="s">
        <v>218</v>
      </c>
      <c r="D20" t="s">
        <v>27</v>
      </c>
      <c r="E20" t="s">
        <v>171</v>
      </c>
      <c r="F20" t="s">
        <v>220</v>
      </c>
      <c r="G20" t="s">
        <v>221</v>
      </c>
      <c r="H20" t="s">
        <v>217</v>
      </c>
      <c r="J20" t="s">
        <v>144</v>
      </c>
      <c r="K20" t="s">
        <v>164</v>
      </c>
      <c r="L20">
        <v>1</v>
      </c>
      <c r="M20" s="2">
        <v>2.7502777775516698</v>
      </c>
      <c r="N20" s="2">
        <v>0.25</v>
      </c>
      <c r="O20" t="s">
        <v>237</v>
      </c>
      <c r="P20" t="s">
        <v>216</v>
      </c>
      <c r="Q20" t="s">
        <v>234</v>
      </c>
      <c r="R20" t="s">
        <v>171</v>
      </c>
      <c r="S20" t="s">
        <v>235</v>
      </c>
      <c r="T20" t="s">
        <v>236</v>
      </c>
    </row>
    <row r="21" spans="1:20" x14ac:dyDescent="0.25">
      <c r="A21" t="s">
        <v>145</v>
      </c>
      <c r="B21" s="17">
        <v>43959.961782407408</v>
      </c>
      <c r="C21" t="s">
        <v>218</v>
      </c>
      <c r="D21" t="s">
        <v>27</v>
      </c>
      <c r="E21" t="s">
        <v>171</v>
      </c>
      <c r="F21" t="s">
        <v>223</v>
      </c>
      <c r="G21" t="s">
        <v>224</v>
      </c>
      <c r="H21" t="s">
        <v>222</v>
      </c>
      <c r="M21" s="2"/>
      <c r="N21" s="2"/>
    </row>
    <row r="22" spans="1:20" x14ac:dyDescent="0.25">
      <c r="A22" t="s">
        <v>146</v>
      </c>
      <c r="B22" s="17">
        <v>44041.479814814818</v>
      </c>
      <c r="C22" t="s">
        <v>218</v>
      </c>
      <c r="D22" t="s">
        <v>27</v>
      </c>
      <c r="E22" t="s">
        <v>171</v>
      </c>
      <c r="F22" t="s">
        <v>231</v>
      </c>
      <c r="G22" t="s">
        <v>232</v>
      </c>
      <c r="H22" t="s">
        <v>230</v>
      </c>
      <c r="M22" s="2"/>
      <c r="N22" s="2"/>
    </row>
    <row r="23" spans="1:20" x14ac:dyDescent="0.25">
      <c r="A23" t="s">
        <v>147</v>
      </c>
      <c r="B23" s="17">
        <v>44044.481226851851</v>
      </c>
      <c r="C23" t="s">
        <v>218</v>
      </c>
      <c r="D23" t="s">
        <v>27</v>
      </c>
      <c r="E23" t="s">
        <v>171</v>
      </c>
      <c r="F23" t="s">
        <v>235</v>
      </c>
      <c r="G23" t="s">
        <v>236</v>
      </c>
      <c r="H23" t="s">
        <v>233</v>
      </c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</sheetData>
  <mergeCells count="2">
    <mergeCell ref="F15:H15"/>
    <mergeCell ref="F16:H16"/>
  </mergeCells>
  <conditionalFormatting sqref="D35:D1048576 D33 D1:D31">
    <cfRule type="containsText" dxfId="55" priority="1" operator="containsText" text="No">
      <formula>NOT(ISERROR(SEARCH("No",D1)))</formula>
    </cfRule>
    <cfRule type="containsText" dxfId="54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176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141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144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145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146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147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148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149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158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159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160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161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177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178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179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180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181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182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183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184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185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186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187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188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189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190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191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192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193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194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195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196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197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198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199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200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201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202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203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204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205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206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207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208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209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210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211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D5" sqref="D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38" priority="1" operator="containsText" text="Verbose">
      <formula>NOT(ISERROR(SEARCH("Verbose",E4)))</formula>
    </cfRule>
    <cfRule type="containsText" dxfId="37" priority="2" operator="containsText" text="Info">
      <formula>NOT(ISERROR(SEARCH("Info",E4)))</formula>
    </cfRule>
    <cfRule type="containsText" dxfId="36" priority="3" operator="containsText" text="Warning">
      <formula>NOT(ISERROR(SEARCH("Warning",E4)))</formula>
    </cfRule>
    <cfRule type="containsText" dxfId="35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80F5-A4B3-4998-9B96-139C344798F9}">
  <sheetPr codeName="Tabelle1"/>
  <dimension ref="A1:M68"/>
  <sheetViews>
    <sheetView topLeftCell="A134" workbookViewId="0">
      <selection activeCell="A133" sqref="A133:M153"/>
    </sheetView>
  </sheetViews>
  <sheetFormatPr baseColWidth="10" defaultRowHeight="15" x14ac:dyDescent="0.25"/>
  <sheetData>
    <row r="1" spans="1:13" x14ac:dyDescent="0.25">
      <c r="A1" t="s">
        <v>133</v>
      </c>
      <c r="B1" t="s">
        <v>212</v>
      </c>
      <c r="C1" t="s">
        <v>134</v>
      </c>
      <c r="D1">
        <v>21</v>
      </c>
      <c r="E1" t="s">
        <v>135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213</v>
      </c>
    </row>
    <row r="4" spans="1:13" x14ac:dyDescent="0.25">
      <c r="A4" t="s">
        <v>79</v>
      </c>
      <c r="B4" s="2">
        <v>5</v>
      </c>
      <c r="C4" t="s">
        <v>4</v>
      </c>
    </row>
    <row r="5" spans="1:13" x14ac:dyDescent="0.25">
      <c r="A5" t="s">
        <v>0</v>
      </c>
      <c r="B5" s="2">
        <f>SUM(D:D)</f>
        <v>64.75888888881309</v>
      </c>
      <c r="C5" t="s">
        <v>4</v>
      </c>
    </row>
    <row r="6" spans="1:13" x14ac:dyDescent="0.25">
      <c r="A6" t="s">
        <v>14</v>
      </c>
      <c r="B6" s="5" t="s">
        <v>95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137</v>
      </c>
    </row>
    <row r="9" spans="1:13" x14ac:dyDescent="0.25">
      <c r="A9" t="s">
        <v>16</v>
      </c>
      <c r="B9" s="5">
        <v>43940.764502314814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212</v>
      </c>
    </row>
    <row r="12" spans="1:13" x14ac:dyDescent="0.25">
      <c r="A12" t="s">
        <v>5</v>
      </c>
      <c r="B12" s="2">
        <f>B4/B5</f>
        <v>7.7209477892443201E-2</v>
      </c>
      <c r="C12" t="s">
        <v>6</v>
      </c>
    </row>
    <row r="13" spans="1:13" x14ac:dyDescent="0.25">
      <c r="A13" t="s">
        <v>96</v>
      </c>
      <c r="B13" t="s">
        <v>214</v>
      </c>
    </row>
    <row r="14" spans="1:13" x14ac:dyDescent="0.25">
      <c r="A14" t="s">
        <v>97</v>
      </c>
      <c r="B14" t="s">
        <v>215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141</v>
      </c>
      <c r="B16" s="1">
        <v>43940.76189814815</v>
      </c>
      <c r="C16" s="1">
        <v>43940.76226851852</v>
      </c>
      <c r="D16" s="2">
        <f>MAX((C16-B16)*24,0)</f>
        <v>8.8888888712972403E-3</v>
      </c>
      <c r="F16" s="42" t="s">
        <v>142</v>
      </c>
      <c r="G16" s="23" t="s">
        <v>143</v>
      </c>
      <c r="I16" t="s">
        <v>141</v>
      </c>
      <c r="J16" s="15">
        <v>0.05</v>
      </c>
      <c r="K16" s="2">
        <v>2.5</v>
      </c>
      <c r="L16" s="2" t="e">
        <f>#REF!</f>
        <v>#REF!</v>
      </c>
      <c r="M16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17" spans="1:13" x14ac:dyDescent="0.25">
      <c r="A17" t="s">
        <v>144</v>
      </c>
      <c r="B17" s="1">
        <v>43940.754074074073</v>
      </c>
      <c r="C17" s="1">
        <v>43940.764490740738</v>
      </c>
      <c r="D17" s="2">
        <f>MAX((C17-B17)*24,0)</f>
        <v>0.24999999994179234</v>
      </c>
      <c r="F17" s="42" t="s">
        <v>142</v>
      </c>
      <c r="G17" s="23" t="s">
        <v>143</v>
      </c>
      <c r="I17" t="s">
        <v>144</v>
      </c>
      <c r="J17" s="15">
        <v>0.2</v>
      </c>
      <c r="K17" s="2">
        <v>2.5</v>
      </c>
      <c r="L17" s="2" t="e">
        <f>#REF!</f>
        <v>#REF!</v>
      </c>
      <c r="M17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18" spans="1:13" x14ac:dyDescent="0.25">
      <c r="A18" t="s">
        <v>145</v>
      </c>
      <c r="B18" s="1">
        <v>43940.75408564815</v>
      </c>
      <c r="C18" s="1">
        <v>43940.764502314814</v>
      </c>
      <c r="D18" s="2">
        <f>MAX((C18-B18)*24,0)</f>
        <v>0.24999999994179234</v>
      </c>
      <c r="F18" s="42" t="s">
        <v>142</v>
      </c>
      <c r="G18" s="23" t="s">
        <v>143</v>
      </c>
      <c r="I18" t="s">
        <v>145</v>
      </c>
      <c r="J18" s="15">
        <v>0.35</v>
      </c>
      <c r="K18" s="2">
        <v>2.5</v>
      </c>
      <c r="L18" s="2" t="e">
        <f>#REF!</f>
        <v>#REF!</v>
      </c>
      <c r="M18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19" spans="1:13" x14ac:dyDescent="0.25">
      <c r="I19" t="s">
        <v>146</v>
      </c>
      <c r="J19" s="15">
        <v>0.5</v>
      </c>
      <c r="K19" s="2">
        <v>7.4962518740629678</v>
      </c>
      <c r="L19" s="2" t="e">
        <f>#REF!</f>
        <v>#REF!</v>
      </c>
      <c r="M19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20" spans="1:13" x14ac:dyDescent="0.25">
      <c r="I20" t="s">
        <v>147</v>
      </c>
      <c r="J20" s="15">
        <v>0.65</v>
      </c>
      <c r="K20" s="2">
        <v>7.4962518740629678</v>
      </c>
      <c r="L20" s="2" t="e">
        <f>#REF!</f>
        <v>#REF!</v>
      </c>
      <c r="M20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21" spans="1:13" x14ac:dyDescent="0.25">
      <c r="I21" t="s">
        <v>148</v>
      </c>
      <c r="J21" s="15">
        <v>0.8</v>
      </c>
      <c r="K21" s="2">
        <v>7.4962518740629678</v>
      </c>
      <c r="L21" s="2" t="e">
        <f>#REF!</f>
        <v>#REF!</v>
      </c>
      <c r="M21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22" spans="1:13" x14ac:dyDescent="0.25">
      <c r="I22" t="s">
        <v>149</v>
      </c>
      <c r="J22" s="15">
        <v>0.95</v>
      </c>
      <c r="K22" s="2">
        <v>7.4962518740629678</v>
      </c>
      <c r="L22" s="2" t="e">
        <f>#REF!</f>
        <v>#REF!</v>
      </c>
      <c r="M22" s="16" t="e">
        <f>Tabelle736720386376861041181342162262983147244054728610411813414816417819420822423825426828429834836043044663824463881021421587227686[[#This Row],[EBS self time]]/Tabelle736720386376861041181342162262983147244054728610411813414816417819420822423825426828429834836043044663824463881021421587227686[[#This Row],[Total time]]</f>
        <v>#REF!</v>
      </c>
    </row>
    <row r="24" spans="1:13" x14ac:dyDescent="0.25">
      <c r="A24" t="s">
        <v>133</v>
      </c>
      <c r="B24" t="s">
        <v>163</v>
      </c>
      <c r="C24" t="s">
        <v>134</v>
      </c>
      <c r="D24">
        <v>21</v>
      </c>
      <c r="E24" t="s">
        <v>135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150</v>
      </c>
    </row>
    <row r="27" spans="1:13" x14ac:dyDescent="0.25">
      <c r="A27" t="s">
        <v>79</v>
      </c>
      <c r="B27" s="2">
        <v>0.5</v>
      </c>
      <c r="C27" t="s">
        <v>4</v>
      </c>
    </row>
    <row r="28" spans="1:13" x14ac:dyDescent="0.25">
      <c r="A28" t="s">
        <v>0</v>
      </c>
      <c r="B28" s="2">
        <f>SUM(D:D)</f>
        <v>64.75888888881309</v>
      </c>
      <c r="C28" t="s">
        <v>4</v>
      </c>
    </row>
    <row r="29" spans="1:13" x14ac:dyDescent="0.25">
      <c r="A29" t="s">
        <v>14</v>
      </c>
      <c r="B29" s="41" t="s">
        <v>95</v>
      </c>
    </row>
    <row r="30" spans="1:13" x14ac:dyDescent="0.25">
      <c r="A30" t="s">
        <v>15</v>
      </c>
      <c r="B30" s="41" t="s">
        <v>19</v>
      </c>
    </row>
    <row r="31" spans="1:13" x14ac:dyDescent="0.25">
      <c r="A31" t="s">
        <v>1</v>
      </c>
      <c r="B31" t="s">
        <v>137</v>
      </c>
    </row>
    <row r="32" spans="1:13" x14ac:dyDescent="0.25">
      <c r="A32" t="s">
        <v>16</v>
      </c>
      <c r="B32" s="41">
        <v>43877.967650462961</v>
      </c>
    </row>
    <row r="33" spans="1:13" x14ac:dyDescent="0.25">
      <c r="A33" t="s">
        <v>2</v>
      </c>
    </row>
    <row r="34" spans="1:13" x14ac:dyDescent="0.25">
      <c r="A34" t="s">
        <v>47</v>
      </c>
      <c r="B34" t="s">
        <v>163</v>
      </c>
    </row>
    <row r="35" spans="1:13" x14ac:dyDescent="0.25">
      <c r="A35" t="s">
        <v>5</v>
      </c>
      <c r="B35" s="2">
        <f>B27/B28</f>
        <v>7.7209477892443206E-3</v>
      </c>
      <c r="C35" t="s">
        <v>6</v>
      </c>
    </row>
    <row r="36" spans="1:13" x14ac:dyDescent="0.25">
      <c r="A36" t="s">
        <v>96</v>
      </c>
      <c r="B36" t="s">
        <v>151</v>
      </c>
    </row>
    <row r="37" spans="1:13" x14ac:dyDescent="0.25">
      <c r="A37" t="s">
        <v>97</v>
      </c>
      <c r="B37" t="s">
        <v>152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141</v>
      </c>
      <c r="B39" s="1">
        <v>43877.957233796296</v>
      </c>
      <c r="C39" s="1">
        <v>43877.967650462961</v>
      </c>
      <c r="D39" s="2">
        <f>MAX((C39-B39)*24,0)</f>
        <v>0.24999999994179234</v>
      </c>
      <c r="F39" s="42" t="s">
        <v>142</v>
      </c>
      <c r="G39" s="23" t="s">
        <v>143</v>
      </c>
      <c r="I39" t="s">
        <v>141</v>
      </c>
      <c r="J39" s="15">
        <v>0.05</v>
      </c>
      <c r="K39" s="2">
        <v>0.05</v>
      </c>
      <c r="L39" s="2" t="e">
        <f>#REF!</f>
        <v>#REF!</v>
      </c>
      <c r="M39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0" spans="1:13" x14ac:dyDescent="0.25">
      <c r="A40" t="s">
        <v>144</v>
      </c>
      <c r="B40" s="1">
        <v>43877.957696759258</v>
      </c>
      <c r="C40" s="1">
        <v>43877.968113425923</v>
      </c>
      <c r="D40" s="2">
        <f>MAX((C40-B40)*24,0)</f>
        <v>0.24999999994179234</v>
      </c>
      <c r="F40" s="42" t="s">
        <v>142</v>
      </c>
      <c r="G40" s="23" t="s">
        <v>143</v>
      </c>
      <c r="I40" t="s">
        <v>144</v>
      </c>
      <c r="J40" s="15">
        <v>0.2</v>
      </c>
      <c r="K40" s="2">
        <v>0.05</v>
      </c>
      <c r="L40" s="2" t="e">
        <f>#REF!</f>
        <v>#REF!</v>
      </c>
      <c r="M40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1" spans="1:13" x14ac:dyDescent="0.25">
      <c r="A41" t="s">
        <v>145</v>
      </c>
      <c r="B41" s="1">
        <v>43877.957719907405</v>
      </c>
      <c r="C41" s="1">
        <v>43877.968136574076</v>
      </c>
      <c r="D41" s="2">
        <f>MAX((C41-B41)*24,0)</f>
        <v>0.25000000011641532</v>
      </c>
      <c r="F41" s="42" t="s">
        <v>142</v>
      </c>
      <c r="G41" s="23" t="s">
        <v>143</v>
      </c>
      <c r="I41" t="s">
        <v>145</v>
      </c>
      <c r="J41" s="15">
        <v>0.35</v>
      </c>
      <c r="K41" s="2">
        <v>0.05</v>
      </c>
      <c r="L41" s="2" t="e">
        <f>#REF!</f>
        <v>#REF!</v>
      </c>
      <c r="M41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2" spans="1:13" x14ac:dyDescent="0.25">
      <c r="I42" t="s">
        <v>146</v>
      </c>
      <c r="J42" s="15">
        <v>0.5</v>
      </c>
      <c r="K42" s="2">
        <v>0.05</v>
      </c>
      <c r="L42" s="2" t="e">
        <f>#REF!</f>
        <v>#REF!</v>
      </c>
      <c r="M42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3" spans="1:13" x14ac:dyDescent="0.25">
      <c r="I43" t="s">
        <v>147</v>
      </c>
      <c r="J43" s="15">
        <v>0.65</v>
      </c>
      <c r="K43" s="2">
        <v>0.05</v>
      </c>
      <c r="L43" s="2" t="e">
        <f>#REF!</f>
        <v>#REF!</v>
      </c>
      <c r="M43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4" spans="1:13" x14ac:dyDescent="0.25">
      <c r="I44" t="s">
        <v>148</v>
      </c>
      <c r="J44" s="15">
        <v>0.8</v>
      </c>
      <c r="K44" s="2">
        <v>0.05</v>
      </c>
      <c r="L44" s="2" t="e">
        <f>#REF!</f>
        <v>#REF!</v>
      </c>
      <c r="M44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5" spans="1:13" x14ac:dyDescent="0.25">
      <c r="I45" t="s">
        <v>149</v>
      </c>
      <c r="J45" s="15">
        <v>0.95</v>
      </c>
      <c r="K45" s="2">
        <v>0.05</v>
      </c>
      <c r="L45" s="2" t="e">
        <f>#REF!</f>
        <v>#REF!</v>
      </c>
      <c r="M45" s="16" t="e">
        <f>Tabelle736722385270961061261361401582002182302482722841820224061749410812814072054749210812614016017219420423825627292440687892106122136208222280290142644577688108120138150168180198210228240258270288300340356412422445726388098124134142492110[[#This Row],[EBS self time]]/Tabelle736722385270961061261361401582002182302482722841820224061749410812814072054749210812614016017219420423825627292440687892106122136208222280290142644577688108120138150168180198210228240258270288300340356412422445726388098124134142492110[[#This Row],[Total time]]</f>
        <v>#REF!</v>
      </c>
    </row>
    <row r="47" spans="1:13" x14ac:dyDescent="0.25">
      <c r="A47" t="s">
        <v>133</v>
      </c>
      <c r="B47" t="s">
        <v>166</v>
      </c>
      <c r="C47" t="s">
        <v>134</v>
      </c>
      <c r="D47">
        <v>21</v>
      </c>
      <c r="E47" t="s">
        <v>135</v>
      </c>
      <c r="F47">
        <v>13</v>
      </c>
    </row>
    <row r="48" spans="1:13" x14ac:dyDescent="0.25">
      <c r="A48" s="4" t="s">
        <v>25</v>
      </c>
    </row>
    <row r="49" spans="1:13" x14ac:dyDescent="0.25">
      <c r="A49" t="s">
        <v>3</v>
      </c>
      <c r="B49" t="s">
        <v>136</v>
      </c>
    </row>
    <row r="50" spans="1:13" x14ac:dyDescent="0.25">
      <c r="A50" t="s">
        <v>79</v>
      </c>
      <c r="B50" s="2">
        <v>1</v>
      </c>
      <c r="C50" t="s">
        <v>4</v>
      </c>
    </row>
    <row r="51" spans="1:13" x14ac:dyDescent="0.25">
      <c r="A51" t="s">
        <v>0</v>
      </c>
      <c r="B51" s="2">
        <f>SUM(D:D)</f>
        <v>64.75888888881309</v>
      </c>
      <c r="C51" t="s">
        <v>4</v>
      </c>
    </row>
    <row r="52" spans="1:13" x14ac:dyDescent="0.25">
      <c r="A52" t="s">
        <v>14</v>
      </c>
      <c r="B52" s="41" t="s">
        <v>95</v>
      </c>
    </row>
    <row r="53" spans="1:13" x14ac:dyDescent="0.25">
      <c r="A53" t="s">
        <v>15</v>
      </c>
      <c r="B53" s="41" t="s">
        <v>19</v>
      </c>
    </row>
    <row r="54" spans="1:13" x14ac:dyDescent="0.25">
      <c r="A54" t="s">
        <v>1</v>
      </c>
      <c r="B54" t="s">
        <v>137</v>
      </c>
    </row>
    <row r="55" spans="1:13" x14ac:dyDescent="0.25">
      <c r="A55" t="s">
        <v>16</v>
      </c>
      <c r="B55" s="41">
        <v>43876.756701388891</v>
      </c>
    </row>
    <row r="56" spans="1:13" x14ac:dyDescent="0.25">
      <c r="A56" t="s">
        <v>2</v>
      </c>
      <c r="B56" t="s">
        <v>138</v>
      </c>
    </row>
    <row r="57" spans="1:13" x14ac:dyDescent="0.25">
      <c r="A57" t="s">
        <v>47</v>
      </c>
      <c r="B57" t="s">
        <v>166</v>
      </c>
    </row>
    <row r="58" spans="1:13" x14ac:dyDescent="0.25">
      <c r="A58" t="s">
        <v>5</v>
      </c>
      <c r="B58" s="2">
        <f>B50/B51</f>
        <v>1.5441895578488641E-2</v>
      </c>
      <c r="C58" t="s">
        <v>6</v>
      </c>
    </row>
    <row r="59" spans="1:13" x14ac:dyDescent="0.25">
      <c r="A59" t="s">
        <v>96</v>
      </c>
      <c r="B59" t="s">
        <v>139</v>
      </c>
    </row>
    <row r="60" spans="1:13" x14ac:dyDescent="0.25">
      <c r="A60" t="s">
        <v>97</v>
      </c>
      <c r="B60" t="s">
        <v>140</v>
      </c>
    </row>
    <row r="61" spans="1:13" x14ac:dyDescent="0.25">
      <c r="A61" t="s">
        <v>11</v>
      </c>
      <c r="B61" t="s">
        <v>7</v>
      </c>
      <c r="C61" t="s">
        <v>8</v>
      </c>
      <c r="D61" t="s">
        <v>9</v>
      </c>
      <c r="E61" t="s">
        <v>10</v>
      </c>
      <c r="F61" t="s">
        <v>86</v>
      </c>
      <c r="G61" t="s">
        <v>87</v>
      </c>
      <c r="I61" t="s">
        <v>71</v>
      </c>
      <c r="J61" s="15" t="s">
        <v>69</v>
      </c>
      <c r="K61" s="2" t="s">
        <v>70</v>
      </c>
      <c r="L61" t="s">
        <v>72</v>
      </c>
      <c r="M61" t="s">
        <v>73</v>
      </c>
    </row>
    <row r="62" spans="1:13" x14ac:dyDescent="0.25">
      <c r="A62" t="s">
        <v>141</v>
      </c>
      <c r="B62" s="1">
        <v>43876.74627314815</v>
      </c>
      <c r="C62" s="1">
        <v>43876.756689814814</v>
      </c>
      <c r="D62" s="2">
        <f>MAX((C62-B62)*24,0)</f>
        <v>0.24999999994179234</v>
      </c>
      <c r="F62" s="42" t="s">
        <v>142</v>
      </c>
      <c r="G62" s="23" t="s">
        <v>143</v>
      </c>
      <c r="I62" t="s">
        <v>141</v>
      </c>
      <c r="J62" s="15">
        <v>0.05</v>
      </c>
      <c r="K62" s="2">
        <v>0.1</v>
      </c>
      <c r="L62" s="2" t="e">
        <f>#REF!</f>
        <v>#REF!</v>
      </c>
      <c r="M62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3" spans="1:13" x14ac:dyDescent="0.25">
      <c r="A63" t="s">
        <v>144</v>
      </c>
      <c r="B63" s="1">
        <v>43876.74628472222</v>
      </c>
      <c r="C63" s="1">
        <v>43876.756701388891</v>
      </c>
      <c r="D63" s="2">
        <f>MAX((C63-B63)*24,0)</f>
        <v>0.25000000011641532</v>
      </c>
      <c r="F63" s="42" t="s">
        <v>142</v>
      </c>
      <c r="G63" s="23" t="s">
        <v>143</v>
      </c>
      <c r="I63" t="s">
        <v>144</v>
      </c>
      <c r="J63" s="15">
        <v>0.2</v>
      </c>
      <c r="K63" s="2">
        <v>0.1</v>
      </c>
      <c r="L63" s="2" t="e">
        <f>#REF!</f>
        <v>#REF!</v>
      </c>
      <c r="M63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4" spans="1:13" x14ac:dyDescent="0.25">
      <c r="I64" t="s">
        <v>145</v>
      </c>
      <c r="J64" s="15">
        <v>0.35</v>
      </c>
      <c r="K64" s="2">
        <v>0.1</v>
      </c>
      <c r="L64" s="2" t="e">
        <f>#REF!</f>
        <v>#REF!</v>
      </c>
      <c r="M64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5" spans="9:13" x14ac:dyDescent="0.25">
      <c r="I65" t="s">
        <v>146</v>
      </c>
      <c r="J65" s="15">
        <v>0.5</v>
      </c>
      <c r="K65" s="2">
        <v>0.1</v>
      </c>
      <c r="L65" s="2" t="e">
        <f>#REF!</f>
        <v>#REF!</v>
      </c>
      <c r="M65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6" spans="9:13" x14ac:dyDescent="0.25">
      <c r="I66" t="s">
        <v>147</v>
      </c>
      <c r="J66" s="15">
        <v>0.65</v>
      </c>
      <c r="K66" s="2">
        <v>0.1</v>
      </c>
      <c r="L66" s="2" t="e">
        <f>#REF!</f>
        <v>#REF!</v>
      </c>
      <c r="M66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7" spans="9:13" x14ac:dyDescent="0.25">
      <c r="I67" t="s">
        <v>148</v>
      </c>
      <c r="J67" s="15">
        <v>0.8</v>
      </c>
      <c r="K67" s="2">
        <v>0.1</v>
      </c>
      <c r="L67" s="2" t="e">
        <f>#REF!</f>
        <v>#REF!</v>
      </c>
      <c r="M67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  <row r="68" spans="9:13" x14ac:dyDescent="0.25">
      <c r="I68" t="s">
        <v>149</v>
      </c>
      <c r="J68" s="15">
        <v>0.95</v>
      </c>
      <c r="K68" s="2">
        <v>0.1</v>
      </c>
      <c r="L68" s="2" t="e">
        <f>#REF!</f>
        <v>#REF!</v>
      </c>
      <c r="M68" s="16" t="e">
        <f>Tabelle7367518365263722405774100110130140160170190200220230250260280290310320340350370380400410922425274841041141341441641741942042242342542649224252924526516618420422432578210616418219421222424225428633838240041843046252253459460862864065867068870071112[[#This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time]]/Tabelle7367518365263722405774100110130140160170190200220230250260280290310320340350370380400410922425274841041141341441641741942042242342542649224252924526516618420422432578210616418219421222424225428633838240041843046252253459460862864065867068870071112[[#This Row],[Total time]]</f>
        <v>#REF!</v>
      </c>
    </row>
  </sheetData>
  <hyperlinks>
    <hyperlink ref="A2" location="Planning!A1" display="Go back to 'Planning' sheet" xr:uid="{B25BA9F3-00D5-4F0A-B119-2E71EEFDE418}"/>
    <hyperlink ref="F16" location="$F$15" display="$F$15" xr:uid="{BB8BCF9F-F135-4A83-81C0-22C80946932C}"/>
    <hyperlink ref="G16" location="$G$15" display="$G$15" xr:uid="{C7DBD716-0AD2-4D64-A933-23753AD2DF96}"/>
    <hyperlink ref="F17" location="$F$16" display="$F$16" xr:uid="{D85B32CF-FFA9-4DDC-9D5C-EE62081A44C8}"/>
    <hyperlink ref="G17" location="$G$16" display="$G$16" xr:uid="{A3AEE1FD-B707-4946-BEBD-17AC3640997C}"/>
    <hyperlink ref="F18" location="$F$17" display="$F$17" xr:uid="{50EB22CD-4977-4A51-9252-68CB55D811C2}"/>
    <hyperlink ref="G18" location="$G$17" display="$G$17" xr:uid="{6F79775E-6B59-47C4-99F4-78A6C3CA89A9}"/>
    <hyperlink ref="A25" location="Planning!A1" display="Go back to 'Planning' sheet" xr:uid="{074BAFD5-AE35-4BFC-BD27-91ED0084C1DE}"/>
    <hyperlink ref="F39" location="$F$15" display="$F$15" xr:uid="{576C7DD3-81EC-4BE8-95FB-E781BD160293}"/>
    <hyperlink ref="G39" location="$G$15" display="$G$15" xr:uid="{E9F6307A-AD32-4A9F-A372-329F081FDE9A}"/>
    <hyperlink ref="F40" location="$F$16" display="$F$16" xr:uid="{0AC1A1F4-A514-489E-A800-71646242FCF1}"/>
    <hyperlink ref="G40" location="$G$16" display="$G$16" xr:uid="{E4224522-A598-4634-8567-95B04ECEF742}"/>
    <hyperlink ref="F41" location="$F$17" display="$F$17" xr:uid="{73E55DC3-2846-4FA9-A0A1-2980C9D92EAD}"/>
    <hyperlink ref="G41" location="$G$17" display="$G$17" xr:uid="{6AA1DE53-7141-4C78-A15A-3EE43E5492D7}"/>
    <hyperlink ref="A48" location="Planning!A1" display="Go back to 'Planning' sheet" xr:uid="{0099CD2D-8413-4A48-9B1B-C9F267C3D844}"/>
    <hyperlink ref="F62" location="$F$15" display="$F$15" xr:uid="{7E9BBD3B-DB6C-49A5-89D4-4197963263EA}"/>
    <hyperlink ref="G62" location="$G$15" display="$G$15" xr:uid="{225DDC5A-F6B7-4B96-9321-DC783917295E}"/>
    <hyperlink ref="F63" location="$F$16" display="$F$16" xr:uid="{89D8757F-1983-46D3-9087-0055722B8D72}"/>
    <hyperlink ref="G63" location="$G$16" display="$G$16" xr:uid="{61CD8371-B17F-410F-B35B-629B281D2F2A}"/>
  </hyperlinks>
  <pageMargins left="0.7" right="0.7" top="0.78740157499999996" bottom="0.78740157499999996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62" t="s">
        <v>76</v>
      </c>
      <c r="G15" s="63"/>
      <c r="H15" s="63"/>
    </row>
    <row r="16" spans="5:8" x14ac:dyDescent="0.25">
      <c r="E16" s="14" t="s">
        <v>74</v>
      </c>
      <c r="F16" s="62" t="s">
        <v>37</v>
      </c>
      <c r="G16" s="63"/>
      <c r="H16" s="6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Planning</vt:lpstr>
      <vt:lpstr>t542BC5542C608ACDC</vt:lpstr>
      <vt:lpstr>tAAF8231FB67247C24</vt:lpstr>
      <vt:lpstr>t6E3BE59BE866319C8</vt:lpstr>
      <vt:lpstr>tB8412E6758F96B878</vt:lpstr>
      <vt:lpstr>EbsSheet (Me)</vt:lpstr>
      <vt:lpstr>Analysis</vt:lpstr>
      <vt:lpstr>Settings</vt:lpstr>
      <vt:lpstr>Messages</vt:lpstr>
      <vt:lpstr>Task sheet template</vt:lpstr>
      <vt:lpstr>VSHEET_STOR_E65DEF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2020-08-01T10:22:50Z</dcterms:modified>
  <cp:category/>
  <cp:contentStatus/>
</cp:coreProperties>
</file>