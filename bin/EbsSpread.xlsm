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5.xml" ContentType="application/vnd.ms-excel.controlproperties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drawings/drawing6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7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hs\code\ebs_spread\bin\"/>
    </mc:Choice>
  </mc:AlternateContent>
  <xr:revisionPtr revIDLastSave="0" documentId="13_ncr:1_{1D43CD66-B821-4DD9-9793-6A30385126CB}" xr6:coauthVersionLast="45" xr6:coauthVersionMax="45" xr10:uidLastSave="{00000000-0000-0000-0000-000000000000}"/>
  <bookViews>
    <workbookView xWindow="-108" yWindow="-108" windowWidth="23256" windowHeight="12576" tabRatio="813" firstSheet="1" activeTab="1" xr2:uid="{DAA936AD-5BF0-425A-A8EF-49858B3BE9B8}"/>
  </bookViews>
  <sheets>
    <sheet name="VSHEET_STOR_7E980E" sheetId="1432" state="hidden" r:id="rId1"/>
    <sheet name="Planning" sheetId="1" r:id="rId2"/>
    <sheet name="EbsSheet (Me)" sheetId="1430" r:id="rId3"/>
    <sheet name="Analysis" sheetId="1004" r:id="rId4"/>
    <sheet name="Settings" sheetId="418" r:id="rId5"/>
    <sheet name="Messages" sheetId="1390" r:id="rId6"/>
    <sheet name="Task sheet template" sheetId="5" state="hidden" r:id="rId7"/>
    <sheet name="Version info" sheetId="3" r:id="rId8"/>
    <sheet name="List validation data" sheetId="1425" state="hidden" r:id="rId9"/>
    <sheet name="EbsSheet template" sheetId="440" state="hidden" r:id="rId10"/>
  </sheets>
  <functionGroups builtInGroupCount="19"/>
  <definedNames>
    <definedName name="_Tag_1Vdata">'List validation data'!$D$3:$D$5</definedName>
    <definedName name="_Tag_2Vdata">'List validation data'!$C$3</definedName>
    <definedName name="_Tag_3Vdata">'List validation data'!$A$3:$A$23</definedName>
    <definedName name="ContributorVdata">'List validation data'!$B$3</definedName>
    <definedName name="Kanban_listVdata">'List validation data'!$E$3:$E$23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60" i="1432" l="1"/>
  <c r="M160" i="1432" s="1"/>
  <c r="M159" i="1432"/>
  <c r="L159" i="1432"/>
  <c r="L158" i="1432"/>
  <c r="M158" i="1432" s="1"/>
  <c r="L157" i="1432"/>
  <c r="M157" i="1432" s="1"/>
  <c r="L156" i="1432"/>
  <c r="M156" i="1432" s="1"/>
  <c r="M155" i="1432"/>
  <c r="L155" i="1432"/>
  <c r="D155" i="1432"/>
  <c r="M154" i="1432"/>
  <c r="L154" i="1432"/>
  <c r="D154" i="1432"/>
  <c r="B148" i="1432" s="1"/>
  <c r="B141" i="1432"/>
  <c r="D129" i="1432" l="1"/>
  <c r="B116" i="1432" s="1"/>
  <c r="D104" i="1432"/>
  <c r="B91" i="1432" s="1"/>
  <c r="D81" i="1432"/>
  <c r="D80" i="1432"/>
  <c r="D79" i="1432"/>
  <c r="L79" i="1432" l="1"/>
  <c r="M79" i="1432" s="1"/>
  <c r="L82" i="1432"/>
  <c r="M82" i="1432" s="1"/>
  <c r="L85" i="1432"/>
  <c r="M85" i="1432" s="1"/>
  <c r="L129" i="1432"/>
  <c r="M129" i="1432" s="1"/>
  <c r="L133" i="1432"/>
  <c r="M133" i="1432" s="1"/>
  <c r="L134" i="1432"/>
  <c r="M134" i="1432" s="1"/>
  <c r="L132" i="1432"/>
  <c r="M132" i="1432" s="1"/>
  <c r="L131" i="1432"/>
  <c r="M131" i="1432" s="1"/>
  <c r="L135" i="1432"/>
  <c r="M135" i="1432" s="1"/>
  <c r="B123" i="1432"/>
  <c r="L130" i="1432"/>
  <c r="M130" i="1432" s="1"/>
  <c r="B98" i="1432"/>
  <c r="L107" i="1432"/>
  <c r="M107" i="1432" s="1"/>
  <c r="L108" i="1432"/>
  <c r="M108" i="1432" s="1"/>
  <c r="L109" i="1432"/>
  <c r="M109" i="1432" s="1"/>
  <c r="L110" i="1432"/>
  <c r="M110" i="1432" s="1"/>
  <c r="L104" i="1432"/>
  <c r="M104" i="1432" s="1"/>
  <c r="L105" i="1432"/>
  <c r="M105" i="1432" s="1"/>
  <c r="L106" i="1432"/>
  <c r="M106" i="1432" s="1"/>
  <c r="L83" i="1432"/>
  <c r="M83" i="1432" s="1"/>
  <c r="L80" i="1432"/>
  <c r="M80" i="1432" s="1"/>
  <c r="L84" i="1432"/>
  <c r="M84" i="1432" s="1"/>
  <c r="B66" i="1432"/>
  <c r="B73" i="1432"/>
  <c r="L81" i="1432"/>
  <c r="M81" i="1432" s="1"/>
  <c r="D59" i="1432"/>
  <c r="D58" i="1432"/>
  <c r="B45" i="1432" s="1"/>
  <c r="D38" i="1432"/>
  <c r="B32" i="1432" s="1"/>
  <c r="D18" i="1432"/>
  <c r="B12" i="1432" s="1"/>
  <c r="B52" i="1432" l="1"/>
  <c r="B25" i="1432"/>
  <c r="B5" i="1432"/>
  <c r="D17" i="5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tc={1091B406-9F52-4589-8D93-67E9BCF9C841}</author>
  </authors>
  <commentList>
    <comment ref="P18" authorId="0" shapeId="0" xr:uid="{1091B406-9F52-4589-8D93-67E9BCF9C841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time estimate of the remaining time</t>
      </text>
    </comment>
  </commentList>
</comments>
</file>

<file path=xl/sharedStrings.xml><?xml version="1.0" encoding="utf-8"?>
<sst xmlns="http://schemas.openxmlformats.org/spreadsheetml/2006/main" count="735" uniqueCount="247">
  <si>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</si>
  <si>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</si>
  <si>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</si>
  <si>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</si>
  <si>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</si>
  <si>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</si>
  <si>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</si>
  <si>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</si>
  <si>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</si>
  <si>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</si>
  <si>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</si>
  <si>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</si>
  <si>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</si>
  <si>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</si>
  <si>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</si>
  <si>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</si>
  <si>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</si>
  <si>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</si>
  <si>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</si>
  <si>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</si>
  <si>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</si>
  <si>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</si>
  <si>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</si>
  <si>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</si>
  <si>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</si>
  <si>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</si>
  <si>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</si>
  <si>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</si>
  <si>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</si>
  <si>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</si>
  <si>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</si>
  <si>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</si>
  <si>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</si>
  <si>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</si>
  <si>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</si>
  <si>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</si>
  <si>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</si>
  <si>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</si>
  <si>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</si>
  <si>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</si>
  <si>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</si>
  <si>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</si>
  <si>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</si>
  <si>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</si>
  <si>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</si>
  <si>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</si>
  <si>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</si>
  <si>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</si>
  <si>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</si>
  <si>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</si>
  <si>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</si>
  <si>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</si>
  <si>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</si>
  <si>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</si>
  <si>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</si>
  <si>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</si>
  <si>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</si>
  <si>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</si>
  <si>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</si>
  <si>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</si>
  <si>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</si>
  <si>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</si>
  <si>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</si>
  <si>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</si>
  <si>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</si>
  <si>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</si>
  <si>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</si>
  <si>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</si>
  <si>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</si>
  <si>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</si>
  <si>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</si>
  <si>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</si>
  <si>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</si>
  <si>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</si>
  <si>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</si>
  <si>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</si>
  <si>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</si>
  <si>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</si>
  <si>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</si>
  <si>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</si>
  <si>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</si>
  <si>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</si>
  <si>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</si>
  <si>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</si>
  <si>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</si>
  <si>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</si>
  <si>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</si>
  <si>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</si>
  <si>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</si>
  <si>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</si>
  <si>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</si>
  <si>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</si>
  <si>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</si>
  <si>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</si>
  <si>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</si>
  <si>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</si>
  <si>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</si>
  <si>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</si>
  <si>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</si>
  <si>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</si>
  <si>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</si>
  <si>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</si>
  <si>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</si>
  <si>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</si>
  <si>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</si>
  <si>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</si>
  <si>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</si>
  <si>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</si>
  <si>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</si>
  <si>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</si>
  <si>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</si>
  <si>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</si>
  <si>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</si>
  <si>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</si>
  <si>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</si>
  <si>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</si>
  <si>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</si>
  <si>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</si>
  <si>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</si>
  <si>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</si>
  <si>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</si>
  <si>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</si>
  <si>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</si>
  <si>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</si>
  <si>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</si>
  <si>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</si>
  <si>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</si>
  <si>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</si>
  <si>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</si>
  <si>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</si>
  <si>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</si>
  <si>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</si>
  <si>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</si>
  <si>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</si>
  <si>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</si>
  <si>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</si>
  <si>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</si>
  <si>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</si>
  <si>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</si>
  <si>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</si>
  <si>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</si>
  <si>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</si>
  <si>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</si>
  <si>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</si>
  <si>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</si>
  <si>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</si>
  <si>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</si>
  <si>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Satrotec</t>
  </si>
  <si>
    <t>Weiterbildung</t>
  </si>
  <si>
    <t>VBA</t>
  </si>
  <si>
    <t>mv;Sprint6</t>
  </si>
  <si>
    <t>Sprint6</t>
  </si>
  <si>
    <t>Sprint8</t>
  </si>
  <si>
    <t>Sprint7</t>
  </si>
  <si>
    <t>Sprint 9</t>
  </si>
  <si>
    <t>Sprint 10</t>
  </si>
  <si>
    <t>Tiso</t>
  </si>
  <si>
    <t>Sprint 11</t>
  </si>
  <si>
    <t>Sprint 12</t>
  </si>
  <si>
    <t>Sprint 14</t>
  </si>
  <si>
    <t>Sprint 17</t>
  </si>
  <si>
    <t>Sprint 13</t>
  </si>
  <si>
    <t>Sprint 18</t>
  </si>
  <si>
    <t>Sprint 19</t>
  </si>
  <si>
    <t>Prozess;Sprint 19</t>
  </si>
  <si>
    <t>EBS 80% date</t>
  </si>
  <si>
    <t>#3</t>
  </si>
  <si>
    <t>#4</t>
  </si>
  <si>
    <t>#5</t>
  </si>
  <si>
    <t>te</t>
  </si>
  <si>
    <t>v1.200</t>
  </si>
  <si>
    <t>\\my.mail@provider.com\Calendar</t>
  </si>
  <si>
    <t>0000000038A1BB1005E5101AA1BB058002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</si>
  <si>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00000000F593AB5CD8A4614C8B14C1E4C84EFB870100D67807C5E37E4B47A653892DF42F73BD00000000010D0000</t>
  </si>
  <si>
    <t>TryCatch handler now handles all kind of errors. Users do not have to enter debugging mode</t>
  </si>
  <si>
    <t xml:space="preserve">Change calendar standard: Use optional events as 'busy'-time </t>
  </si>
  <si>
    <t>Clipboard is now cleared when data is copied</t>
  </si>
  <si>
    <t>Improved stability and error handling</t>
  </si>
  <si>
    <t>Long-running operations can be stopped via progress bar</t>
  </si>
  <si>
    <t>Implement feature to auto-format task list</t>
  </si>
  <si>
    <t>Tasks now have  a creation date internally stored for extended analysis</t>
  </si>
  <si>
    <t>Change appearance of task list: Add more space and prevent long fields textoverflow with spacer columns</t>
  </si>
  <si>
    <t>Progress bars indicate state of long-running operations</t>
  </si>
  <si>
    <t>Task order is now preserved when tasks are exported and imported again</t>
  </si>
  <si>
    <t>Time of meta tasks can now be shared: Track time on one meta task and split time on all visible tasks afterwards </t>
  </si>
  <si>
    <t>t5D6D3C17A703516B0</t>
  </si>
  <si>
    <t>.</t>
  </si>
  <si>
    <t>Buy strawberries</t>
  </si>
  <si>
    <t>t56897537B7D0EB0ED</t>
  </si>
  <si>
    <t>Buy apples</t>
  </si>
  <si>
    <t>tE95456FD28B05D24F</t>
  </si>
  <si>
    <t>#000003</t>
  </si>
  <si>
    <t>Buy soy beans</t>
  </si>
  <si>
    <t>t17D002B34366981BE</t>
  </si>
  <si>
    <t>#000004</t>
  </si>
  <si>
    <t>Have a chat with the store owner</t>
  </si>
  <si>
    <t>fruits</t>
  </si>
  <si>
    <t>{%Tag 1}</t>
  </si>
  <si>
    <t>{fruits}</t>
  </si>
  <si>
    <t>other</t>
  </si>
  <si>
    <t>{other}</t>
  </si>
  <si>
    <t>important</t>
  </si>
  <si>
    <t>{%Tag 1;%Tag 2}</t>
  </si>
  <si>
    <t>{fruits;important}</t>
  </si>
  <si>
    <t>{%Tag 2}</t>
  </si>
  <si>
    <t>{important}</t>
  </si>
  <si>
    <t>SetPlainDelta()</t>
  </si>
  <si>
    <t>SetCalendarDelta()</t>
  </si>
  <si>
    <t>{0,050;0,200;0,350;0,500;0,650;0,800;0,950}</t>
  </si>
  <si>
    <t>tEB5070FA0A50A1350</t>
  </si>
  <si>
    <t>#000005</t>
  </si>
  <si>
    <t>Find shopping cart</t>
  </si>
  <si>
    <t>VIRTUAL_SHEET_NAME</t>
  </si>
  <si>
    <t>VIRTUAL_SHEET_RANGE_ROWS</t>
  </si>
  <si>
    <t>VIRTUAL_SHEET_RANGE_COLS</t>
  </si>
  <si>
    <t>#000006</t>
  </si>
  <si>
    <t>#000007</t>
  </si>
  <si>
    <t>t27A0206F6E4FA6801</t>
  </si>
  <si>
    <t>Buy rice</t>
  </si>
  <si>
    <t>{4,829;5,979;9,142;13,454;13,454;17,767;18,557}</t>
  </si>
  <si>
    <t>{02/09/2020 12:49:45;02/09/2020 13:58:45;02/09/2020 17:08:30;03/09/2020 10:57:15;03/09/2020 10:57:15;03/09/2020 15:16:00;03/09/2020 16:03:26}</t>
  </si>
  <si>
    <t>e3560A743F45056773</t>
  </si>
  <si>
    <t>{0,516;2,000;2,000}</t>
  </si>
  <si>
    <t>t75D774E7EE48EF5A9</t>
  </si>
  <si>
    <t>Take a milk carton</t>
  </si>
  <si>
    <t>Watch best before note</t>
  </si>
  <si>
    <t>{0.050;0.200;0.350;0.500;0.650;0.800;0.950}</t>
  </si>
  <si>
    <t>eB8FBAEFE90EA66B2F</t>
  </si>
  <si>
    <t>{0.516;2.000;2.000}</t>
  </si>
  <si>
    <t>{1.500;1.500;1.500;1.500;1.500;1.500;1.500;1.500;1.500;5.814;1.500;5.814;5.814;5.814;1.500;5.814;1.500;1.500;1.500;1.500;1.500;1.500;5.814;5.814;1.500;1.500;1.500;1.500;1.500;1.500;1.500;1.500;1.500;1.500;5.814;1.500;1.500;1.500;1.500;1.500;1.500;5.814;5.814;5.814;1.500;5.814;5.814;1.500;1.500;1.500}</t>
  </si>
  <si>
    <t>{1.250;1.250;1.250;1.250;1.250;1.250;1.250;1.250;1.250;5.564;1.250;5.564;5.564;5.564;1.250;5.564;1.250;1.250;1.250;1.250;1.250;1.250;5.564;5.564;1.250;1.250;1.250;1.250;1.250;1.250;1.250;1.250;1.250;1.250;5.564;1.250;1.250;1.250;1.250;1.250;1.250;5.564;5.564;5.564;1.250;5.564;5.564;1.250;1.250;1.250}</t>
  </si>
  <si>
    <t>{1.250;1.250;1.250;1.250;1.250;5.564;5.564}</t>
  </si>
  <si>
    <t>{26/11/2020 14:23:41;26/11/2020 14:23:41;26/11/2020 14:23:41;26/11/2020 14:23:41;26/11/2020 14:23:41;27/11/2020 08:12:31;27/11/2020 08:12:31}</t>
  </si>
  <si>
    <t>{1.000;3.876;1.000;1.000;3.876;1.000;1.000;3.876;1.000;1.000;3.876;3.876;1.000;1.000;1.000;1.000;1.000;1.000;1.000;1.000;1.000;1.000;1.000;1.000;3.876;1.000;1.000;1.000;3.876;3.876;1.000;1.000;1.000;1.000;1.000;1.000;1.000;3.876;1.000;1.000;1.000;1.000;1.000;3.876;1.000;1.000;3.876;1.000;1.000;1.000}</t>
  </si>
  <si>
    <t>{0.579;3.455;0.579;0.579;3.455;0.579;0.579;3.455;0.579;0.579;3.455;3.455;0.579;0.579;0.579;0.579;0.579;0.579;0.579;0.579;0.579;0.579;0.579;0.579;3.455;0.579;0.579;0.579;3.455;3.455;0.579;0.579;0.579;0.579;0.579;0.579;0.579;3.455;0.579;0.579;0.579;0.579;0.579;3.455;0.579;0.579;3.455;0.579;0.579;0.579}</t>
  </si>
  <si>
    <t>{1.829;4.705;1.829;1.829;4.705;1.829;1.829;4.705;1.829;6.143;4.705;9.019;6.143;6.143;1.829;6.143;1.829;1.829;1.829;1.829;1.829;1.829;6.143;6.143;4.705;1.829;1.829;1.829;4.705;4.705;1.829;1.829;1.829;1.829;6.143;1.829;1.829;4.705;1.829;1.829;1.829;6.143;6.143;9.019;1.829;6.143;9.019;1.829;1.829;1.829}</t>
  </si>
  <si>
    <t>{1.829;1.829;1.829;1.829;4.705;6.143;6.934}</t>
  </si>
  <si>
    <t>{26/11/2020 14:58:26;26/11/2020 14:58:26;26/11/2020 14:58:26;26/11/2020 14:58:26;26/11/2020 17:50:59;27/11/2020 08:47:16;27/11/2020 09:34:43}</t>
  </si>
  <si>
    <t>{3.000;3.000;3.000;3.000;3.000;3.000;11.628;3.000;3.000;11.628;11.628;3.000;3.000;3.000;3.000;3.000;11.628;11.628;3.000;3.000;3.000;3.000;3.000;3.000;3.000;3.000;3.000;3.000;3.000;11.628;3.000;11.628;11.628;3.000;11.628;3.000;11.628;3.000;3.000;3.000;3.000;3.000;3.000;3.000;11.628;3.000;11.628;3.000;3.000;11.628}</t>
  </si>
  <si>
    <t>{4.829;7.705;4.829;4.829;7.705;4.829;13.457;7.705;4.829;17.771;16.333;12.019;9.143;9.143;4.829;9.143;13.457;13.457;4.829;4.829;4.829;4.829;9.143;9.143;7.705;4.829;4.829;4.829;7.705;16.333;4.829;13.457;13.457;4.829;17.771;4.829;13.457;7.705;4.829;4.829;4.829;9.143;9.143;12.019;13.457;9.143;20.647;4.829;4.829;13.457}</t>
  </si>
  <si>
    <t>{4.829;4.829;4.829;7.705;9.143;13.457;16.728}</t>
  </si>
  <si>
    <t>{26/11/2020 17:58:26;26/11/2020 17:58:26;26/11/2020 17:58:26;27/11/2020 10:20:59;27/11/2020 11:47:16;27/11/2020 16:06:06;30/11/2020 08:52:24}</t>
  </si>
  <si>
    <t>{0.484;0.125;0.125;0.125;0.125;0.484;0.484;0.125;0.125;0.125;0.125;0.125;0.125;0.125;0.125;0.125;0.125;0.125;0.125;0.484;0.484;0.125;0.125;0.484;0.484;0.125;0.125;0.125;0.125;0.125;0.484;0.484;0.125;0.125;0.125;0.125;0.125;0.125;0.125;0.125;0.125;0.125;0.484;0.484;0.125;0.125;0.484;0.125;0.125;0.125}</t>
  </si>
  <si>
    <t>{5.314;7.830;4.954;4.954;7.830;5.314;13.942;7.830;4.954;17.896;16.458;12.144;9.268;9.268;4.954;9.268;13.582;13.582;4.954;5.314;5.314;4.954;9.268;9.628;8.190;4.954;4.954;4.954;7.830;16.458;5.314;13.942;13.582;4.954;17.896;4.954;13.582;7.830;4.954;4.954;4.954;9.268;9.628;12.504;13.582;9.268;21.131;4.954;4.954;13.582}</t>
  </si>
  <si>
    <t>{4.954;4.954;5.314;7.920;9.421;13.582;16.853}</t>
  </si>
  <si>
    <t>{26/11/2020 18:05:56;26/11/2020 18:05:56;26/11/2020 18:27:30;27/11/2020 10:33:53;27/11/2020 12:03:56;27/11/2020 16:13:36;30/11/2020 08:59:54}</t>
  </si>
  <si>
    <t>fast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</si>
</sst>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93D07B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9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13" fillId="0" borderId="0" xfId="0" applyFo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7" fillId="0" borderId="0" xfId="2" applyFont="1" applyFill="1" applyAlignment="1">
      <alignment horizontal="left" vertical="center" indent="1"/>
    </xf>
    <xf numFmtId="0" fontId="7" fillId="0" borderId="0" xfId="0" applyFont="1" applyFill="1" applyAlignment="1">
      <alignment horizontal="left" vertical="center" indent="1"/>
    </xf>
    <xf numFmtId="0" fontId="6" fillId="0" borderId="0" xfId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0" borderId="0" xfId="1" applyFont="1" applyFill="1" applyAlignment="1">
      <alignment horizontal="left" vertical="center" indent="1"/>
    </xf>
    <xf numFmtId="2" fontId="7" fillId="0" borderId="0" xfId="0" applyNumberFormat="1" applyFont="1" applyFill="1" applyAlignment="1">
      <alignment horizontal="left" vertical="center" indent="1"/>
    </xf>
    <xf numFmtId="14" fontId="14" fillId="0" borderId="0" xfId="1" applyNumberFormat="1" applyFont="1" applyFill="1" applyAlignment="1">
      <alignment horizontal="left" vertical="center" indent="1"/>
    </xf>
    <xf numFmtId="0" fontId="7" fillId="10" borderId="0" xfId="2" applyFont="1" applyFill="1"/>
    <xf numFmtId="22" fontId="7" fillId="0" borderId="0" xfId="0" applyNumberFormat="1" applyFont="1" applyFill="1" applyAlignment="1">
      <alignment horizontal="left" vertical="center" inden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Bad" xfId="4" builtinId="27"/>
    <cellStyle name="ColLevel_1" xfId="1" builtinId="2" iLevel="0"/>
    <cellStyle name="Hyperlink" xfId="2" builtinId="8"/>
    <cellStyle name="Input" xfId="3" builtinId="20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93D07B"/>
        </patternFill>
      </fill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19:54:16</c:v>
          </c:tx>
          <c:spPr>
            <a:ln w="22225" cap="rnd" cmpd="sng" algn="ctr">
              <a:solidFill>
                <a:srgbClr val="DADADA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DADADA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556-41F8-883E-D2B052A18F79}"/>
            </c:ext>
          </c:extLst>
        </c:ser>
        <c:ser>
          <c:idx val="1"/>
          <c:order val="1"/>
          <c:tx>
            <c:v>Velo pool on: 26/11/2020 13:06:48</c:v>
          </c:tx>
          <c:spPr>
            <a:ln w="22225" cap="rnd" cmpd="sng" algn="ctr">
              <a:solidFill>
                <a:srgbClr val="93D07B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0.5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556-41F8-883E-D2B052A18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4447.2</c:v>
              </c:pt>
              <c:pt idx="1">
                <c:v>5.1340000000000003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0FC-48B6-B43F-2356FFE45F06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4449.5</c:v>
              </c:pt>
              <c:pt idx="1">
                <c:v>7.3674999999999997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A0FC-48B6-B43F-2356FFE45F06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2"/>
              <c:pt idx="0">
                <c:v>44075.829351851855</c:v>
              </c:pt>
              <c:pt idx="1">
                <c:v>44161.546388888892</c:v>
              </c:pt>
            </c:numLit>
          </c:xVal>
          <c:yVal>
            <c:numLit>
              <c:formatCode>General</c:formatCode>
              <c:ptCount val="2"/>
              <c:pt idx="0">
                <c:v>4451.8</c:v>
              </c:pt>
              <c:pt idx="1">
                <c:v>13.137000000000002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A0FC-48B6-B43F-2356FFE45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0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335280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12</xdr:col>
      <xdr:colOff>0</xdr:colOff>
      <xdr:row>2</xdr:row>
      <xdr:rowOff>0</xdr:rowOff>
    </xdr:from>
    <xdr:to>
      <xdr:col>13</xdr:col>
      <xdr:colOff>533400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20</xdr:col>
      <xdr:colOff>0</xdr:colOff>
      <xdr:row>2</xdr:row>
      <xdr:rowOff>0</xdr:rowOff>
    </xdr:from>
    <xdr:to>
      <xdr:col>21</xdr:col>
      <xdr:colOff>861060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83820</xdr:rowOff>
        </xdr:from>
        <xdr:to>
          <xdr:col>2</xdr:col>
          <xdr:colOff>236220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83820</xdr:rowOff>
        </xdr:from>
        <xdr:to>
          <xdr:col>6</xdr:col>
          <xdr:colOff>807720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350520</xdr:rowOff>
        </xdr:from>
        <xdr:to>
          <xdr:col>4</xdr:col>
          <xdr:colOff>1181100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2171700</xdr:colOff>
          <xdr:row>0</xdr:row>
          <xdr:rowOff>83820</xdr:rowOff>
        </xdr:from>
        <xdr:to>
          <xdr:col>4</xdr:col>
          <xdr:colOff>1181100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320040</xdr:colOff>
          <xdr:row>0</xdr:row>
          <xdr:rowOff>563880</xdr:rowOff>
        </xdr:from>
        <xdr:to>
          <xdr:col>2</xdr:col>
          <xdr:colOff>1828800</xdr:colOff>
          <xdr:row>0</xdr:row>
          <xdr:rowOff>769620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</xdr:colOff>
          <xdr:row>0</xdr:row>
          <xdr:rowOff>83820</xdr:rowOff>
        </xdr:from>
        <xdr:to>
          <xdr:col>2</xdr:col>
          <xdr:colOff>1836420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76200</xdr:rowOff>
        </xdr:from>
        <xdr:to>
          <xdr:col>10</xdr:col>
          <xdr:colOff>0</xdr:colOff>
          <xdr:row>0</xdr:row>
          <xdr:rowOff>297180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335280</xdr:rowOff>
        </xdr:from>
        <xdr:to>
          <xdr:col>10</xdr:col>
          <xdr:colOff>0</xdr:colOff>
          <xdr:row>0</xdr:row>
          <xdr:rowOff>556260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68580</xdr:rowOff>
        </xdr:from>
        <xdr:to>
          <xdr:col>13</xdr:col>
          <xdr:colOff>30480</xdr:colOff>
          <xdr:row>0</xdr:row>
          <xdr:rowOff>289560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60960</xdr:colOff>
          <xdr:row>0</xdr:row>
          <xdr:rowOff>335280</xdr:rowOff>
        </xdr:from>
        <xdr:to>
          <xdr:col>13</xdr:col>
          <xdr:colOff>30480</xdr:colOff>
          <xdr:row>0</xdr:row>
          <xdr:rowOff>556260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13</xdr:col>
      <xdr:colOff>0</xdr:colOff>
      <xdr:row>12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1226820</xdr:colOff>
          <xdr:row>0</xdr:row>
          <xdr:rowOff>350520</xdr:rowOff>
        </xdr:from>
        <xdr:to>
          <xdr:col>6</xdr:col>
          <xdr:colOff>807720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845820</xdr:colOff>
          <xdr:row>0</xdr:row>
          <xdr:rowOff>594360</xdr:rowOff>
        </xdr:from>
        <xdr:to>
          <xdr:col>10</xdr:col>
          <xdr:colOff>0</xdr:colOff>
          <xdr:row>0</xdr:row>
          <xdr:rowOff>807720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0</xdr:row>
          <xdr:rowOff>594360</xdr:rowOff>
        </xdr:from>
        <xdr:to>
          <xdr:col>13</xdr:col>
          <xdr:colOff>38100</xdr:colOff>
          <xdr:row>0</xdr:row>
          <xdr:rowOff>807720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1219200</xdr:colOff>
          <xdr:row>0</xdr:row>
          <xdr:rowOff>609600</xdr:rowOff>
        </xdr:from>
        <xdr:to>
          <xdr:col>6</xdr:col>
          <xdr:colOff>800100</xdr:colOff>
          <xdr:row>1</xdr:row>
          <xdr:rowOff>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Share Meta task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20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22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26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28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30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32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34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36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38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40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42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182879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5</xdr:row>
          <xdr:rowOff>60960</xdr:rowOff>
        </xdr:from>
        <xdr:to>
          <xdr:col>1</xdr:col>
          <xdr:colOff>312420</xdr:colOff>
          <xdr:row>5</xdr:row>
          <xdr:rowOff>289560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3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15</xdr:row>
          <xdr:rowOff>175260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30480</xdr:colOff>
          <xdr:row>9</xdr:row>
          <xdr:rowOff>175260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20</xdr:row>
          <xdr:rowOff>0</xdr:rowOff>
        </xdr:from>
        <xdr:to>
          <xdr:col>0</xdr:col>
          <xdr:colOff>1638300</xdr:colOff>
          <xdr:row>21</xdr:row>
          <xdr:rowOff>22860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21</xdr:row>
          <xdr:rowOff>190500</xdr:rowOff>
        </xdr:from>
        <xdr:to>
          <xdr:col>0</xdr:col>
          <xdr:colOff>1638300</xdr:colOff>
          <xdr:row>23</xdr:row>
          <xdr:rowOff>22860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5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D5323EF-9894-43AD-894C-1270B7A7E2BB}" name="TimeEntries219" displayName="TimeEntries219" ref="A17:G18" totalsRowShown="0">
  <autoFilter ref="A17:G18" xr:uid="{C1B46F38-53CA-468C-880B-8AF50886C288}"/>
  <sortState xmlns:xlrd2="http://schemas.microsoft.com/office/spreadsheetml/2017/richdata2" ref="A18:E18">
    <sortCondition ref="A16:A17"/>
  </sortState>
  <tableColumns count="7">
    <tableColumn id="1" xr3:uid="{AEF33289-6A1B-4C2A-921F-11678DB18C23}" name="Time entry no."/>
    <tableColumn id="2" xr3:uid="{345F041B-6FB0-4A50-9DD6-06E33032476D}" name="Start time" dataDxfId="115"/>
    <tableColumn id="3" xr3:uid="{0064C978-E7CD-401B-8217-0BCD34CF3CDE}" name="End time" dataDxfId="114"/>
    <tableColumn id="4" xr3:uid="{91AEF141-E126-4FD3-9EA5-633D16B1512D}" name="Time delta in h" dataDxfId="113">
      <calculatedColumnFormula>MAX((TimeEntries219[[#This Row],[End time]]-TimeEntries219[[#This Row],[Start time]])*24,0)</calculatedColumnFormula>
    </tableColumn>
    <tableColumn id="5" xr3:uid="{EB3A6B22-8261-4A6C-9A47-5D82C4DCA27B}" name="Now?"/>
    <tableColumn id="6" xr3:uid="{8BB4C211-F4FC-4C78-9F46-DCFDCED03893}" name="Action1"/>
    <tableColumn id="7" xr3:uid="{522C0BEB-2FFA-4F31-92E0-37EAF680252A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E662D94-9495-43FA-B43A-03651A3B9D28}" name="Tabelle7367520" displayName="Tabelle7367520" ref="I17:M18" insertRow="1" totalsRowShown="0">
  <autoFilter ref="I17:M18" xr:uid="{99709765-D27E-4279-A948-4522FF7E2EAF}"/>
  <tableColumns count="5">
    <tableColumn id="1" xr3:uid="{320D0AE7-C69E-4B8B-9969-4D619DC36312}" name="Comparison entry no."/>
    <tableColumn id="2" xr3:uid="{DC4BBA7C-212D-4234-8DA1-0ED3249453CF}" name="Propability Support point" dataDxfId="112"/>
    <tableColumn id="3" xr3:uid="{F2DE7DD9-CFAC-4C4F-8C17-0EE40D19CB31}" name="EBS self time" dataDxfId="111"/>
    <tableColumn id="4" xr3:uid="{D2EF57B9-36E0-407E-AF5D-1229F2B0D532}" name="Total time">
      <calculatedColumnFormula>SUM(#REF!)</calculatedColumnFormula>
    </tableColumn>
    <tableColumn id="5" xr3:uid="{FBAF9902-4C74-4F8E-A1AE-D2DEF18ACA73}" name="Total time / Your estimate" dataDxfId="110">
      <calculatedColumnFormula>Tabelle7367520[[#This Row],[EBS self time]]/Tabelle7367520[[#This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09864DA-1C66-4C3B-B8F9-0DCA10AA16D3}" name="TimeEntries621" displayName="TimeEntries621" ref="A37:G38" totalsRowShown="0">
  <autoFilter ref="A37:G38" xr:uid="{7843B51D-ECCC-4B9A-A0AA-7E4DFDC739DB}"/>
  <sortState xmlns:xlrd2="http://schemas.microsoft.com/office/spreadsheetml/2017/richdata2" ref="A38:E38">
    <sortCondition ref="A16:A17"/>
  </sortState>
  <tableColumns count="7">
    <tableColumn id="1" xr3:uid="{D25FD1FD-824C-4012-AB1E-FD0AA9A74B7D}" name="Time entry no."/>
    <tableColumn id="2" xr3:uid="{3AF1FFEB-F9CD-4D13-BDD3-CAB1F2D00506}" name="Start time" dataDxfId="109"/>
    <tableColumn id="3" xr3:uid="{F9B0C56E-2A4E-442C-8E26-12F005547824}" name="End time" dataDxfId="108"/>
    <tableColumn id="4" xr3:uid="{5FD01BC5-E314-4B41-BE60-F4B02F05B0E4}" name="Time delta in h" dataDxfId="107">
      <calculatedColumnFormula>MAX((TimeEntries621[[#This Row],[End time]]-TimeEntries621[[#This Row],[Start time]])*24,0)</calculatedColumnFormula>
    </tableColumn>
    <tableColumn id="5" xr3:uid="{F362D1DC-9A52-4504-A4EA-5BD025005C9C}" name="Now?"/>
    <tableColumn id="6" xr3:uid="{5A21DA37-CA26-418B-8327-280E917685C8}" name="Action1" dataDxfId="106"/>
    <tableColumn id="7" xr3:uid="{C12FB733-3C79-4BCD-A6E9-DDE7AAA64EED}" name="Action2" dataDxfId="105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2061F0A-D0F6-4383-B68D-E5E089A31021}" name="Tabelle7367722" displayName="Tabelle7367722" ref="I37:M38" insertRow="1" totalsRowShown="0">
  <autoFilter ref="I37:M38" xr:uid="{B6243EAD-E42E-4563-B286-6C15E8E630FD}"/>
  <tableColumns count="5">
    <tableColumn id="1" xr3:uid="{57261BA0-8696-46CA-AA5B-C42A75B4FE7C}" name="Comparison entry no."/>
    <tableColumn id="2" xr3:uid="{FC34465C-94C0-4A79-9451-692564D5571A}" name="Propability Support point" dataDxfId="104"/>
    <tableColumn id="3" xr3:uid="{E053167C-3DAD-47AB-86CF-CABAF89F601B}" name="EBS self time" dataDxfId="103"/>
    <tableColumn id="4" xr3:uid="{482EDC5F-9F30-403B-88BE-0C5573B80C1D}" name="Total time">
      <calculatedColumnFormula>SUM(#REF!)</calculatedColumnFormula>
    </tableColumn>
    <tableColumn id="5" xr3:uid="{B94C23FA-DDF6-4F81-A2A7-2635F26A74A2}" name="Total time / Your estimate" dataDxfId="102">
      <calculatedColumnFormula>Tabelle7367722[[#This Row],[EBS self time]]/Tabelle7367722[[#This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3804856-CFE0-4C79-A46B-0D4B5E3CECEF}" name="TimeEntries823" displayName="TimeEntries823" ref="A57:G59" totalsRowShown="0">
  <autoFilter ref="A57:G59" xr:uid="{4CB58868-4A51-4112-AF6F-0658A8CA23D0}"/>
  <sortState xmlns:xlrd2="http://schemas.microsoft.com/office/spreadsheetml/2017/richdata2" ref="A58:E58">
    <sortCondition ref="A16:A17"/>
  </sortState>
  <tableColumns count="7">
    <tableColumn id="1" xr3:uid="{15B4E7E7-5CBB-45CD-A3D4-669FB1B5B980}" name="Time entry no."/>
    <tableColumn id="2" xr3:uid="{F243FAE5-5376-4E49-8D03-34A4E986D284}" name="Start time" dataDxfId="101"/>
    <tableColumn id="3" xr3:uid="{5D7EAD93-8018-4774-9661-123B4072D0DF}" name="End time" dataDxfId="100"/>
    <tableColumn id="4" xr3:uid="{3F713F3A-E2F6-40D0-9EEA-B5A722E317B9}" name="Time delta in h" dataDxfId="99">
      <calculatedColumnFormula>MAX((TimeEntries823[[#This Row],[End time]]-TimeEntries823[[#This Row],[Start time]])*24,0)</calculatedColumnFormula>
    </tableColumn>
    <tableColumn id="5" xr3:uid="{04B416FC-EEF5-4529-8995-6187B0BEBF33}" name="Now?"/>
    <tableColumn id="6" xr3:uid="{8D22DDD3-BD5C-40F7-87B2-FC330D21CCE6}" name="Action1" dataDxfId="98"/>
    <tableColumn id="7" xr3:uid="{9C608A80-F993-4EEA-AE53-3F59AFD495B2}" name="Action2" dataDxfId="97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4858F36-80F4-446A-9960-77B4EA27133B}" name="Tabelle7367924" displayName="Tabelle7367924" ref="I57:M58" insertRow="1" totalsRowShown="0">
  <autoFilter ref="I57:M58" xr:uid="{F3BF7BE0-98F8-4FD4-B231-97D9B4FD0D42}"/>
  <tableColumns count="5">
    <tableColumn id="1" xr3:uid="{C1E6CB7C-6B0D-4D88-8C2F-F34DC7CB8AA7}" name="Comparison entry no."/>
    <tableColumn id="2" xr3:uid="{D987A190-4FAC-42D9-AF63-4E9039BA8FB4}" name="Propability Support point" dataDxfId="96"/>
    <tableColumn id="3" xr3:uid="{FA47ED81-3B11-442D-B44E-3544B8461C15}" name="EBS self time" dataDxfId="95"/>
    <tableColumn id="4" xr3:uid="{DACA3417-2FA7-4434-B78E-E03399C99E15}" name="Total time">
      <calculatedColumnFormula>SUM(#REF!)</calculatedColumnFormula>
    </tableColumn>
    <tableColumn id="5" xr3:uid="{DF601EBA-DD4B-4950-914A-B96D8A3448BA}" name="Total time / Your estimate" dataDxfId="94">
      <calculatedColumnFormula>Tabelle7367924[[#This Row],[EBS self time]]/Tabelle7367924[[#This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2CAE315-CF84-4182-AAA4-8B78E15E2200}" name="TimeEntries1728328" displayName="TimeEntries1728328" ref="A78:G81" totalsRowShown="0">
  <autoFilter ref="A78:G81" xr:uid="{92509D54-B705-4B7A-A79B-E10409CBF4DB}"/>
  <sortState xmlns:xlrd2="http://schemas.microsoft.com/office/spreadsheetml/2017/richdata2" ref="A79:E79">
    <sortCondition ref="A16:A17"/>
  </sortState>
  <tableColumns count="7">
    <tableColumn id="1" xr3:uid="{D02B921A-C5B1-41EF-A22C-0B216672AA71}" name="Time entry no."/>
    <tableColumn id="2" xr3:uid="{13FADEFF-918F-4F44-A353-C4AD5B665B92}" name="Start time" dataDxfId="93"/>
    <tableColumn id="3" xr3:uid="{50DF390D-ABE1-410C-AB65-5B454A98822A}" name="End time" dataDxfId="92"/>
    <tableColumn id="4" xr3:uid="{BD4F0EFB-0F0E-42BF-BA49-701FE1421F1A}" name="Time delta in h" dataDxfId="91">
      <calculatedColumnFormula>MAX((TimeEntries1728328[[#This Row],[End time]]-TimeEntries1728328[[#This Row],[Start time]])*24,0)</calculatedColumnFormula>
    </tableColumn>
    <tableColumn id="5" xr3:uid="{94C49975-972A-4F17-A363-29371263F2AE}" name="Now?"/>
    <tableColumn id="6" xr3:uid="{E4A4C979-68D5-49CA-9485-41ED70DA7321}" name="Action1" dataDxfId="90"/>
    <tableColumn id="7" xr3:uid="{D072C345-B7FD-43C9-A769-57BA339B1EC6}" name="Action2" dataDxfId="89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2E3A3B-DBE0-49D2-97EF-10E361660E3E}" name="Tabelle73671829339" displayName="Tabelle73671829339" ref="I78:M85" totalsRowShown="0">
  <autoFilter ref="I78:M85" xr:uid="{6FF2E8BA-1698-4BA3-B4AB-9AC7DD3F27BB}"/>
  <tableColumns count="5">
    <tableColumn id="1" xr3:uid="{83112C29-5709-4814-A87B-590809A2EF7B}" name="Comparison entry no."/>
    <tableColumn id="2" xr3:uid="{86CEA4E5-4968-41E0-9D59-0400FA91EF16}" name="Propability Support point" dataDxfId="88"/>
    <tableColumn id="3" xr3:uid="{7AC5BAA2-40CD-4206-AB36-58408B056AEF}" name="EBS self time" dataDxfId="87"/>
    <tableColumn id="4" xr3:uid="{BCBB61E5-50E6-47BB-A033-DECAA3F34EDA}" name="Total time">
      <calculatedColumnFormula>SUM(TimeEntries1728328[Time delta in h])</calculatedColumnFormula>
    </tableColumn>
    <tableColumn id="5" xr3:uid="{8E924B0E-B5EC-46F4-9F6C-F200DBCC0716}" name="Total time / Your estimate" dataDxfId="86">
      <calculatedColumnFormula>Tabelle73671829339[[#This Row],[EBS self time]]/Tabelle73671829339[[#This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CDB066-763D-4BAD-86F8-E5404334BDAD}" name="TimeEntries3413" displayName="TimeEntries3413" ref="A103:G104" totalsRowShown="0">
  <autoFilter ref="A103:G104" xr:uid="{DB951DAB-C001-4D11-B517-A8D6D9965876}"/>
  <sortState xmlns:xlrd2="http://schemas.microsoft.com/office/spreadsheetml/2017/richdata2" ref="A104:E104">
    <sortCondition ref="A16:A17"/>
  </sortState>
  <tableColumns count="7">
    <tableColumn id="1" xr3:uid="{C73227E0-68C4-4986-8076-1B575970A242}" name="Time entry no."/>
    <tableColumn id="2" xr3:uid="{3F4A2FB7-F6B9-47B0-B4A3-83C5BEA709CA}" name="Start time" dataDxfId="85"/>
    <tableColumn id="3" xr3:uid="{95940F6C-24A9-413C-BA73-5E6953EB759A}" name="End time" dataDxfId="84"/>
    <tableColumn id="4" xr3:uid="{5E545F12-73A1-4F5D-8270-4673DC6E0E67}" name="Time delta in h" dataDxfId="83">
      <calculatedColumnFormula>MAX((TimeEntries3413[[#This Row],[End time]]-TimeEntries3413[[#This Row],[Start time]])*24,0)</calculatedColumnFormula>
    </tableColumn>
    <tableColumn id="5" xr3:uid="{69CD33B8-7F94-4AF4-A9AC-2FEE99BBD6B1}" name="Now?"/>
    <tableColumn id="6" xr3:uid="{6115C2F6-4A10-42F1-A56D-6FD6BCA3E409}" name="Action1" dataDxfId="82"/>
    <tableColumn id="7" xr3:uid="{476A7212-AF9A-46BF-9DAC-DED02617F588}" name="Action2" dataDxfId="81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EF2CFB-56F3-4F62-B10B-9400DECD3AC1}" name="Tabelle73673514" displayName="Tabelle73673514" ref="I103:M110" totalsRowShown="0">
  <autoFilter ref="I103:M110" xr:uid="{E3F3048B-FFBA-46D8-90AE-254EF5224B28}"/>
  <tableColumns count="5">
    <tableColumn id="1" xr3:uid="{4F29627E-C235-486A-8BE8-4E1EC9FF07B7}" name="Comparison entry no."/>
    <tableColumn id="2" xr3:uid="{CC1FF995-0803-4807-978B-8C326A7A960D}" name="Propability Support point" dataDxfId="80"/>
    <tableColumn id="3" xr3:uid="{1FCDA96E-388F-434E-9219-366C0E724309}" name="EBS self time" dataDxfId="79"/>
    <tableColumn id="4" xr3:uid="{E4ED0557-D7D4-4F9A-ADCE-A703C71D2722}" name="Total time">
      <calculatedColumnFormula>SUM(TimeEntries3413[Time delta in h])</calculatedColumnFormula>
    </tableColumn>
    <tableColumn id="5" xr3:uid="{4925EB2D-C55E-4DE1-BB86-4F80706172C6}" name="Total time / Your estimate" dataDxfId="78">
      <calculatedColumnFormula>Tabelle73673514[[#This Row],[EBS self time]]/Tabelle73673514[[#This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317E8ED-880B-4D07-A719-A426DD50913D}" name="TimeEntries3617" displayName="TimeEntries3617" ref="A128:G129" totalsRowShown="0">
  <autoFilter ref="A128:G129" xr:uid="{D5D2D109-5146-4628-ABD7-B6F6F01100C8}"/>
  <sortState xmlns:xlrd2="http://schemas.microsoft.com/office/spreadsheetml/2017/richdata2" ref="A129:E129">
    <sortCondition ref="A16:A17"/>
  </sortState>
  <tableColumns count="7">
    <tableColumn id="1" xr3:uid="{EB203F42-0275-4822-B04F-C8847874C69F}" name="Time entry no."/>
    <tableColumn id="2" xr3:uid="{9EB86A47-349C-494F-8DB4-F7829923392F}" name="Start time" dataDxfId="77"/>
    <tableColumn id="3" xr3:uid="{C0FC421F-2819-4B4A-B3BD-5A01F79B16C9}" name="End time" dataDxfId="76"/>
    <tableColumn id="4" xr3:uid="{71A66E57-B404-4A96-B373-799334763B2D}" name="Time delta in h" dataDxfId="75">
      <calculatedColumnFormula>MAX((TimeEntries3617[[#This Row],[End time]]-TimeEntries3617[[#This Row],[Start time]])*24,0)</calculatedColumnFormula>
    </tableColumn>
    <tableColumn id="5" xr3:uid="{633A0693-8274-456D-9B70-02DB1FCB9057}" name="Now?"/>
    <tableColumn id="6" xr3:uid="{053EF9C0-13C8-44DC-88E3-EDE410624A7A}" name="Action1"/>
    <tableColumn id="7" xr3:uid="{5B78268C-B4A3-4EA6-AFE5-E2D859AD984A}" name="Action2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314F07E-95F5-4ED2-ABD0-B237F279BCA6}" name="Tabelle73673718" displayName="Tabelle73673718" ref="I128:M135" totalsRowShown="0">
  <autoFilter ref="I128:M135" xr:uid="{EBA3DAB8-BD1C-4F2C-9212-C6A43342BF87}"/>
  <tableColumns count="5">
    <tableColumn id="1" xr3:uid="{E08F688B-FC13-45A1-9F06-8EAFE6820F0D}" name="Comparison entry no."/>
    <tableColumn id="2" xr3:uid="{66518A34-34E3-42C2-89E3-C4DE741C6063}" name="Propability Support point" dataDxfId="74"/>
    <tableColumn id="3" xr3:uid="{EB678981-1665-405F-AE25-89AC8F2DD0AB}" name="EBS self time" dataDxfId="73"/>
    <tableColumn id="4" xr3:uid="{1C6A20AD-42B6-4497-B4E1-8DA067472F56}" name="Total time">
      <calculatedColumnFormula>SUM(TimeEntries3617[Time delta in h])</calculatedColumnFormula>
    </tableColumn>
    <tableColumn id="5" xr3:uid="{7E659000-E10F-4F70-AE13-B747C1CEE62C}" name="Total time / Your estimate" dataDxfId="72">
      <calculatedColumnFormula>Tabelle73673718[[#This Row],[EBS self time]]/Tabelle73673718[[#This Row],[Total time]]</calculatedColumnFormula>
    </tableColumn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13846241-30C2-4806-BDEF-67C85D60CD34}" name="TimeEntries1325644625" displayName="TimeEntries1325644625" ref="A153:G155" totalsRowShown="0">
  <autoFilter ref="A153:G155" xr:uid="{220BEF4D-F1AF-47F7-8973-0D219E34C4A9}"/>
  <sortState xmlns:xlrd2="http://schemas.microsoft.com/office/spreadsheetml/2017/richdata2" ref="A154:E154">
    <sortCondition ref="A16:A17"/>
  </sortState>
  <tableColumns count="7">
    <tableColumn id="1" xr3:uid="{0E1C2DA8-2F8D-4E08-BCA3-4A746678279F}" name="Time entry no."/>
    <tableColumn id="2" xr3:uid="{EC695E75-5BF9-4531-A89B-F421A5C66BFF}" name="Start time" dataDxfId="71"/>
    <tableColumn id="3" xr3:uid="{ABC6B62E-CC8C-47C1-9719-B648C9DF366F}" name="End time" dataDxfId="70"/>
    <tableColumn id="4" xr3:uid="{4B5818D7-D6A3-4E18-A19C-56F69E7B47E0}" name="Time delta in h" dataDxfId="69">
      <calculatedColumnFormula>MAX((TimeEntries1325644625[[#This Row],[End time]]-TimeEntries1325644625[[#This Row],[Start time]])*24,0)</calculatedColumnFormula>
    </tableColumn>
    <tableColumn id="5" xr3:uid="{1D04BA9C-FC14-42BB-81CB-ADA60D51B749}" name="Now?"/>
    <tableColumn id="6" xr3:uid="{98E8ED36-8717-4FE9-9842-6828F405B707}" name="Action1" dataDxfId="68"/>
    <tableColumn id="7" xr3:uid="{3E5CFBA7-44B2-4763-BD1C-74FBC59E3435}" name="Action2" dataDxfId="67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8733DF1-B24B-4FBE-8910-2878BE9A425B}" name="Tabelle73671427745727" displayName="Tabelle73671427745727" ref="I153:M160" totalsRowShown="0">
  <autoFilter ref="I153:M160" xr:uid="{B1017B1E-2592-441F-8FFA-BF7E2C4FA17A}"/>
  <tableColumns count="5">
    <tableColumn id="1" xr3:uid="{5250669F-2E68-4F9D-A756-8C6CD85DEA1B}" name="Comparison entry no."/>
    <tableColumn id="2" xr3:uid="{FD8BA7D9-0649-4852-9529-245CFB67DB4C}" name="Propability Support point" dataDxfId="66"/>
    <tableColumn id="3" xr3:uid="{8C78B6D0-2EBB-4324-81B4-B1A200A8FFED}" name="EBS self time" dataDxfId="65"/>
    <tableColumn id="4" xr3:uid="{A46608DD-7EB0-48EE-AF51-8F3591A0477C}" name="Total time">
      <calculatedColumnFormula>SUM(#REF!)</calculatedColumnFormula>
    </tableColumn>
    <tableColumn id="5" xr3:uid="{51E49952-DB0C-4DF0-8942-8E7AD7041A9D}" name="Total time / Your estimate" dataDxfId="64">
      <calculatedColumnFormula>Tabelle73671427745727[[#This Row],[EBS self time]]/Tabelle73671427745727[[#This Row],[Total time]]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V10" totalsRowShown="0" dataDxfId="0">
  <autoFilter ref="A3:V10" xr:uid="{520F3973-795E-47E6-97CD-1C1265CA838A}"/>
  <sortState xmlns:xlrd2="http://schemas.microsoft.com/office/spreadsheetml/2017/richdata2" ref="A4:V10">
    <sortCondition ref="U3:U10"/>
  </sortState>
  <tableColumns count="22">
    <tableColumn id="1" xr3:uid="{78BB2EF9-C626-4B0D-94B3-1781BE57C67F}" name="Task no." dataDxfId="22"/>
    <tableColumn id="3" xr3:uid="{3AD21368-826B-4507-A159-BE8BE5B02C1F}" name="Now?" dataDxfId="21"/>
    <tableColumn id="2" xr3:uid="{C139B307-7150-4838-B1FD-482AAB7B1208}" name="Task name" dataDxfId="20"/>
    <tableColumn id="13" xr3:uid="{500C3031-A1C8-4FCF-AE88-FB2DB0E81277}" name="#1" dataDxfId="19"/>
    <tableColumn id="18" xr3:uid="{3B298737-E571-4F23-9C71-2BC3C2385355}" name="Comment" dataDxfId="18"/>
    <tableColumn id="7" xr3:uid="{5DC94B1C-A20E-47F8-8963-B0674A9C27B4}" name="#2" dataDxfId="17"/>
    <tableColumn id="4" xr3:uid="{E2EAEAF6-33EC-4D8C-B42E-C249C36E3D3C}" name="%Tag 1" dataDxfId="16"/>
    <tableColumn id="14" xr3:uid="{A6D882A1-C3C1-4F0C-8834-5B299F196767}" name="#3" dataDxfId="15"/>
    <tableColumn id="5" xr3:uid="{1E4EAD98-8B30-4F09-AA64-D7613D00651F}" name="%Tag 2" dataDxfId="14"/>
    <tableColumn id="21" xr3:uid="{91C37425-DDD8-4756-A39F-CDA868D3035B}" name="#4" dataDxfId="13"/>
    <tableColumn id="6" xr3:uid="{9E1E50BB-6DA2-47A1-BB20-8C9FAC4B0DB5}" name="%Tag 3" dataDxfId="12"/>
    <tableColumn id="22" xr3:uid="{F4250AF8-5AFE-4C03-B563-438A86E41810}" name="#5" dataDxfId="11"/>
    <tableColumn id="10" xr3:uid="{85CEF83B-6217-49AE-8974-E4D5953E2637}" name="Kanban list" dataDxfId="10"/>
    <tableColumn id="11" xr3:uid="{E542542F-D34F-488A-95AF-76A724785E5A}" name="User time estimate" dataDxfId="9"/>
    <tableColumn id="12" xr3:uid="{7DA005F8-D924-4031-B65E-6C6F60E3212D}" name="Total time" dataDxfId="8"/>
    <tableColumn id="16" xr3:uid="{209AEE68-BDAE-4E8C-BCF6-6EEA4F9A7FDE}" name="Finished on" dataDxfId="7"/>
    <tableColumn id="8" xr3:uid="{727785B7-29B9-493D-A20B-C319B38E1DF3}" name="EBS 50% time" dataDxfId="6"/>
    <tableColumn id="9" xr3:uid="{B12BA9B8-3C81-408C-AFE4-25993FD8491D}" name="EBS 80% date" dataDxfId="5"/>
    <tableColumn id="20" xr3:uid="{DAE27A09-2EB0-4A47-A9F0-48ED802D8570}" name="Due date" dataDxfId="4"/>
    <tableColumn id="19" xr3:uid="{7A8CB495-6AE9-4A1E-AC5B-8B6487C84135}" name="Contributor" dataDxfId="3"/>
    <tableColumn id="17" xr3:uid="{EF767A93-0B38-4A66-A27B-92321C0E655C}" name="Priority" dataDxfId="2"/>
    <tableColumn id="15" xr3:uid="{2ADBC76B-EB88-4BCD-8956-7B4B22C5A3D4}" name="tHASH" dataDxfId="1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1C221E-3BA9-4FB7-88C0-AA48A74EC340}" name="EbsBaseData4326270415" displayName="EbsBaseData4326270415" ref="A18:H20" totalsRowShown="0">
  <autoFilter ref="A18:H20" xr:uid="{1948C160-1F52-48A7-8061-8AFF06D47134}"/>
  <tableColumns count="8">
    <tableColumn id="1" xr3:uid="{50D5FB71-4B3A-4FB7-8D9F-C9EF0990EDD0}" name="EBS entry no."/>
    <tableColumn id="4" xr3:uid="{10086FB3-CF72-4764-8681-A204C73E9113}" name="EBS run date" dataDxfId="52"/>
    <tableColumn id="8" xr3:uid="{4EC08450-5287-4590-8A2B-CBE3BE1B9369}" name="[Velocity pool]"/>
    <tableColumn id="2" xr3:uid="{E2819C4F-70DD-47B1-AE2C-EA265316194D}" name="Show pool?"/>
    <tableColumn id="3" xr3:uid="{31D6DADD-55AC-4CF3-A392-600471E0426D}" name="[Propability support points]"/>
    <tableColumn id="5" xr3:uid="{72DBC7BF-11A6-4C83-90AF-6C22E5CFAD24}" name="[Project time estimates]"/>
    <tableColumn id="6" xr3:uid="{AF4BC3DE-C878-4A65-A016-892207DBDE41}" name="[Project date estimates]"/>
    <tableColumn id="7" xr3:uid="{E40B65BB-9E73-4142-A13C-20DE928E21C8}" name="eHASH"/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3A92769-A43F-48B4-BE1E-543F95FA581D}" name="EbsTaskData9592711216" displayName="EbsTaskData9592711216" ref="J18:T22" totalsRowShown="0">
  <autoFilter ref="J18:T22" xr:uid="{2297DC20-55A3-4C75-B785-3C4ABEF5CB9C}"/>
  <tableColumns count="11">
    <tableColumn id="1" xr3:uid="{99EE6C3F-81D6-4F33-9FC6-FD8F9C3E480D}" name="Data entry no."/>
    <tableColumn id="10" xr3:uid="{41B898C0-5B35-497E-AD6E-A2122F77EA4F}" name="tHASH"/>
    <tableColumn id="5" xr3:uid="{2B1BC014-FE99-4C95-9FD9-BAD3914BDEFE}" name="Logged Priority"/>
    <tableColumn id="7" xr3:uid="{CD85EBCE-3A92-4D3C-A5B3-11223738AF1A}" name="Time spent so far" dataDxfId="51"/>
    <tableColumn id="4" xr3:uid="{B75317B9-7B2D-4764-BEE6-13E067FF3023}" name="User time estimate" dataDxfId="50"/>
    <tableColumn id="3" xr3:uid="{FB19C290-E346-4626-AA29-72BD73C01A0E}" name="[Monte Carlo estimate pool]"/>
    <tableColumn id="2" xr3:uid="{E0C05A3C-0597-484E-B3DE-6328E1FCA72A}" name="[Remaining time pool]"/>
    <tableColumn id="6" xr3:uid="{61643535-F9B8-47F4-A88E-D1654A9C11FE}" name="[Accumulated time pool]"/>
    <tableColumn id="8" xr3:uid="{CEBBF44C-2E40-40B1-8F99-50689E0A7BFD}" name="[Propability support points]"/>
    <tableColumn id="9" xr3:uid="{03BA7A3F-04FA-44CA-B577-C55EBA039DBE}" name="[Interpolated time estimates]"/>
    <tableColumn id="11" xr3:uid="{A2CB1D1D-2D44-48D2-8B44-627E8DC59EE9}" name="[Interpolated date estimates]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49" dataDxfId="47" headerRowBorderDxfId="48">
  <autoFilter ref="A8:D10" xr:uid="{8E9EC0C1-7901-48B6-A59A-1CE6ABEE7A55}"/>
  <tableColumns count="4">
    <tableColumn id="1" xr3:uid="{58BB2187-C79D-4A1A-A9A3-DA2F074C476C}" name="Split entry no." dataDxfId="46"/>
    <tableColumn id="2" xr3:uid="{A755482D-FFF4-43D8-8021-1956CE3A7021}" name="Split start" dataDxfId="45"/>
    <tableColumn id="3" xr3:uid="{FE0A0B8D-1F8A-4CEC-9FB3-C945A45F99BF}" name="Split end" dataDxfId="44"/>
    <tableColumn id="4" xr3:uid="{5443222D-0CE3-4625-9EDB-D13B87B6C388}" name="Time spent" dataDxfId="43"/>
  </tableColumns>
  <tableStyleInfo name="TableStyleDark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2"/>
    <tableColumn id="9" xr3:uid="{0037D127-E2BA-445A-BC63-1395BA3AC441}" name="Calendar ID" dataDxfId="41"/>
    <tableColumn id="10" xr3:uid="{37CA3B7B-8FF0-4042-97C6-E23A79A74325}" name="Store ID"/>
    <tableColumn id="6" xr3:uid="{044D8005-25C5-4D31-940A-B6DE4C6B0EA5}" name="WorkingDays" dataDxfId="40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9"/>
    <tableColumn id="8" xr3:uid="{1177B0FB-46B2-406D-B988-C64E0ABA6972}" name="AppointmentOffsetHours" dataDxfId="38">
      <calculatedColumnFormula>5/60</calculatedColumnFormula>
    </tableColumn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33"/>
    <tableColumn id="3" xr3:uid="{78DABF02-3853-48FF-81AD-5801C74BED1B}" name="End time" dataDxfId="32"/>
    <tableColumn id="4" xr3:uid="{76C994F9-216A-4848-9FB6-16BAF8B0EEEA}" name="Time delta in h" dataDxfId="31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0"/>
    <tableColumn id="3" xr3:uid="{A62B365F-400F-45A4-B789-FE7B5FDBD312}" name="EBS self time" dataDxfId="29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28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23" totalsRowShown="0">
  <autoFilter ref="A2:E23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5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24"/>
    <tableColumn id="4" xr3:uid="{F9EDA55E-5206-49A7-A846-6A0B14C04CAF}" name="User time estimate" dataDxfId="23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1091B406-9F52-4589-8D93-67E9BCF9C841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7.xml"/><Relationship Id="rId2" Type="http://schemas.openxmlformats.org/officeDocument/2006/relationships/hyperlink" Target="file:///\\my.mail@provider.com\Calendar" TargetMode="External"/><Relationship Id="rId1" Type="http://schemas.openxmlformats.org/officeDocument/2006/relationships/hyperlink" Target="file:///\\my.mail@provider.com\Calendar" TargetMode="External"/><Relationship Id="rId6" Type="http://schemas.openxmlformats.org/officeDocument/2006/relationships/ctrlProp" Target="../ctrlProps/ctrlProp16.xml"/><Relationship Id="rId5" Type="http://schemas.openxmlformats.org/officeDocument/2006/relationships/vmlDrawing" Target="../drawings/vmlDrawing4.vml"/><Relationship Id="rId10" Type="http://schemas.openxmlformats.org/officeDocument/2006/relationships/table" Target="../tables/table19.xml"/><Relationship Id="rId4" Type="http://schemas.openxmlformats.org/officeDocument/2006/relationships/drawing" Target="../drawings/drawing4.xml"/><Relationship Id="rId9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E28F4-C3AD-471D-84E4-8E50AB5C6AC4}">
  <sheetPr codeName="Sheet1"/>
  <dimension ref="A1:M160"/>
  <sheetViews>
    <sheetView topLeftCell="A153" workbookViewId="0">
      <selection activeCell="A138" sqref="A138:M160"/>
    </sheetView>
  </sheetViews>
  <sheetFormatPr defaultColWidth="11.5546875" defaultRowHeight="14.4"/>
  <sheetData>
    <row r="1" spans="1:10">
      <c r="A1" t="s">
        <v>212</v>
      </c>
      <c r="B1" t="s">
        <v>185</v>
      </c>
      <c r="C1" t="s">
        <v>213</v>
      </c>
      <c r="D1">
        <v>18</v>
      </c>
      <c r="E1" t="s">
        <v>214</v>
      </c>
      <c r="F1">
        <v>13</v>
      </c>
    </row>
    <row r="2" spans="1:10">
      <c r="A2" s="4" t="s">
        <v>24</v>
      </c>
      <c r="I2" t="s">
        <v>137</v>
      </c>
      <c r="J2" t="s">
        <v>138</v>
      </c>
    </row>
    <row r="3" spans="1:10">
      <c r="A3" t="s">
        <v>3</v>
      </c>
      <c r="B3" t="s">
        <v>187</v>
      </c>
    </row>
    <row r="4" spans="1:10">
      <c r="A4" t="s">
        <v>77</v>
      </c>
      <c r="B4" s="2">
        <v>6</v>
      </c>
      <c r="C4" t="s">
        <v>4</v>
      </c>
    </row>
    <row r="5" spans="1:10">
      <c r="A5" t="s">
        <v>0</v>
      </c>
      <c r="B5" s="2">
        <f>SUM(TimeEntries219[Time delta in h])</f>
        <v>0</v>
      </c>
      <c r="C5" t="s">
        <v>4</v>
      </c>
    </row>
    <row r="6" spans="1:10">
      <c r="A6" t="s">
        <v>13</v>
      </c>
      <c r="B6" s="5" t="s">
        <v>92</v>
      </c>
    </row>
    <row r="7" spans="1:10">
      <c r="A7" t="s">
        <v>14</v>
      </c>
      <c r="B7" s="5" t="s">
        <v>18</v>
      </c>
    </row>
    <row r="8" spans="1:10">
      <c r="A8" t="s">
        <v>1</v>
      </c>
      <c r="B8" t="s">
        <v>91</v>
      </c>
    </row>
    <row r="9" spans="1:10">
      <c r="A9" t="s">
        <v>15</v>
      </c>
      <c r="B9" s="5" t="s">
        <v>92</v>
      </c>
    </row>
    <row r="10" spans="1:10">
      <c r="A10" t="s">
        <v>2</v>
      </c>
    </row>
    <row r="11" spans="1:10">
      <c r="A11" t="s">
        <v>46</v>
      </c>
      <c r="B11" t="s">
        <v>185</v>
      </c>
    </row>
    <row r="12" spans="1:10">
      <c r="A12" t="s">
        <v>5</v>
      </c>
      <c r="B12" s="2" t="e">
        <f>B4/SUM(TimeEntries219[Time delta in h])</f>
        <v>#DIV/0!</v>
      </c>
      <c r="C12" t="s">
        <v>6</v>
      </c>
    </row>
    <row r="13" spans="1:10">
      <c r="A13" t="s">
        <v>93</v>
      </c>
      <c r="B13" t="s">
        <v>197</v>
      </c>
    </row>
    <row r="14" spans="1:10">
      <c r="A14" t="s">
        <v>94</v>
      </c>
      <c r="B14" t="s">
        <v>198</v>
      </c>
    </row>
    <row r="15" spans="1:10">
      <c r="A15" t="s">
        <v>129</v>
      </c>
      <c r="B15" s="1">
        <v>44075.824305555558</v>
      </c>
    </row>
    <row r="17" spans="1:13">
      <c r="A17" t="s">
        <v>10</v>
      </c>
      <c r="B17" t="s">
        <v>7</v>
      </c>
      <c r="C17" t="s">
        <v>8</v>
      </c>
      <c r="D17" t="s">
        <v>9</v>
      </c>
      <c r="E17" t="s">
        <v>136</v>
      </c>
      <c r="F17" t="s">
        <v>84</v>
      </c>
      <c r="G17" t="s">
        <v>85</v>
      </c>
      <c r="I17" t="s">
        <v>70</v>
      </c>
      <c r="J17" s="15" t="s">
        <v>68</v>
      </c>
      <c r="K17" s="2" t="s">
        <v>69</v>
      </c>
      <c r="L17" t="s">
        <v>71</v>
      </c>
      <c r="M17" t="s">
        <v>72</v>
      </c>
    </row>
    <row r="18" spans="1:13">
      <c r="B18" s="1"/>
      <c r="C18" s="1"/>
      <c r="D18" s="2">
        <f>MAX((TimeEntries219[[#This Row],[End time]]-TimeEntries219[[#This Row],[Start time]])*24,0)</f>
        <v>0</v>
      </c>
      <c r="J18" s="15"/>
      <c r="K18" s="2"/>
      <c r="L18" s="2"/>
      <c r="M18" s="16"/>
    </row>
    <row r="19" spans="1:13">
      <c r="B19" s="1"/>
      <c r="C19" s="1"/>
      <c r="D19" s="2"/>
    </row>
    <row r="21" spans="1:13">
      <c r="A21" t="s">
        <v>212</v>
      </c>
      <c r="B21" t="s">
        <v>188</v>
      </c>
      <c r="C21" t="s">
        <v>213</v>
      </c>
      <c r="D21">
        <v>18</v>
      </c>
      <c r="E21" t="s">
        <v>214</v>
      </c>
      <c r="F21">
        <v>13</v>
      </c>
    </row>
    <row r="22" spans="1:13">
      <c r="A22" s="4" t="s">
        <v>24</v>
      </c>
      <c r="I22" t="s">
        <v>137</v>
      </c>
      <c r="J22" t="s">
        <v>138</v>
      </c>
    </row>
    <row r="23" spans="1:13">
      <c r="A23" t="s">
        <v>3</v>
      </c>
      <c r="B23" t="s">
        <v>189</v>
      </c>
    </row>
    <row r="24" spans="1:13">
      <c r="A24" t="s">
        <v>77</v>
      </c>
      <c r="B24" s="2">
        <v>3</v>
      </c>
      <c r="C24" t="s">
        <v>4</v>
      </c>
    </row>
    <row r="25" spans="1:13">
      <c r="A25" t="s">
        <v>0</v>
      </c>
      <c r="B25" s="2">
        <f>SUM(TimeEntries621[Time delta in h])</f>
        <v>0.25000000011641532</v>
      </c>
      <c r="C25" t="s">
        <v>4</v>
      </c>
    </row>
    <row r="26" spans="1:13">
      <c r="A26" t="s">
        <v>13</v>
      </c>
      <c r="B26" s="5" t="s">
        <v>92</v>
      </c>
    </row>
    <row r="27" spans="1:13">
      <c r="A27" t="s">
        <v>14</v>
      </c>
      <c r="B27" s="5" t="s">
        <v>18</v>
      </c>
    </row>
    <row r="28" spans="1:13">
      <c r="A28" t="s">
        <v>1</v>
      </c>
      <c r="B28" t="s">
        <v>143</v>
      </c>
    </row>
    <row r="29" spans="1:13">
      <c r="A29" t="s">
        <v>15</v>
      </c>
      <c r="B29" s="5" t="s">
        <v>92</v>
      </c>
    </row>
    <row r="30" spans="1:13">
      <c r="A30" t="s">
        <v>2</v>
      </c>
    </row>
    <row r="31" spans="1:13">
      <c r="A31" t="s">
        <v>46</v>
      </c>
      <c r="B31" t="s">
        <v>188</v>
      </c>
    </row>
    <row r="32" spans="1:13">
      <c r="A32" t="s">
        <v>5</v>
      </c>
      <c r="B32" s="2">
        <f>B24/SUM(TimeEntries621[Time delta in h])</f>
        <v>11.999999994412065</v>
      </c>
      <c r="C32" t="s">
        <v>6</v>
      </c>
    </row>
    <row r="33" spans="1:13">
      <c r="A33" t="s">
        <v>93</v>
      </c>
      <c r="B33" t="s">
        <v>202</v>
      </c>
    </row>
    <row r="34" spans="1:13">
      <c r="A34" t="s">
        <v>94</v>
      </c>
      <c r="B34" t="s">
        <v>203</v>
      </c>
    </row>
    <row r="35" spans="1:13">
      <c r="A35" t="s">
        <v>129</v>
      </c>
      <c r="B35" s="1">
        <v>44075.824456018519</v>
      </c>
    </row>
    <row r="37" spans="1:13">
      <c r="A37" t="s">
        <v>10</v>
      </c>
      <c r="B37" t="s">
        <v>7</v>
      </c>
      <c r="C37" t="s">
        <v>8</v>
      </c>
      <c r="D37" t="s">
        <v>9</v>
      </c>
      <c r="E37" t="s">
        <v>136</v>
      </c>
      <c r="F37" t="s">
        <v>84</v>
      </c>
      <c r="G37" t="s">
        <v>85</v>
      </c>
      <c r="I37" t="s">
        <v>70</v>
      </c>
      <c r="J37" s="15" t="s">
        <v>68</v>
      </c>
      <c r="K37" s="2" t="s">
        <v>69</v>
      </c>
      <c r="L37" t="s">
        <v>71</v>
      </c>
      <c r="M37" t="s">
        <v>72</v>
      </c>
    </row>
    <row r="38" spans="1:13">
      <c r="A38" t="s">
        <v>126</v>
      </c>
      <c r="B38" s="1">
        <v>44075.816446759258</v>
      </c>
      <c r="C38" s="1">
        <v>44075.826863425929</v>
      </c>
      <c r="D38" s="2">
        <f>MAX((TimeEntries621[[#This Row],[End time]]-TimeEntries621[[#This Row],[Start time]])*24,0)</f>
        <v>0.25000000011641532</v>
      </c>
      <c r="F38" s="55" t="s">
        <v>206</v>
      </c>
      <c r="G38" s="22" t="s">
        <v>207</v>
      </c>
      <c r="J38" s="15"/>
      <c r="K38" s="2"/>
      <c r="L38" s="2"/>
      <c r="M38" s="16"/>
    </row>
    <row r="39" spans="1:13">
      <c r="B39" s="1"/>
      <c r="C39" s="1"/>
      <c r="D39" s="2"/>
    </row>
    <row r="41" spans="1:13">
      <c r="A41" t="s">
        <v>212</v>
      </c>
      <c r="B41" t="s">
        <v>190</v>
      </c>
      <c r="C41" t="s">
        <v>213</v>
      </c>
      <c r="D41">
        <v>19</v>
      </c>
      <c r="E41" t="s">
        <v>214</v>
      </c>
      <c r="F41">
        <v>13</v>
      </c>
    </row>
    <row r="42" spans="1:13">
      <c r="A42" s="4" t="s">
        <v>24</v>
      </c>
      <c r="I42" t="s">
        <v>137</v>
      </c>
      <c r="J42" t="s">
        <v>138</v>
      </c>
    </row>
    <row r="43" spans="1:13">
      <c r="A43" t="s">
        <v>3</v>
      </c>
      <c r="B43" t="s">
        <v>192</v>
      </c>
    </row>
    <row r="44" spans="1:13">
      <c r="A44" t="s">
        <v>77</v>
      </c>
      <c r="B44" s="2">
        <v>2</v>
      </c>
      <c r="C44" t="s">
        <v>4</v>
      </c>
    </row>
    <row r="45" spans="1:13">
      <c r="A45" t="s">
        <v>0</v>
      </c>
      <c r="B45" s="2">
        <f>SUM(TimeEntries823[Time delta in h])</f>
        <v>0.4208333333954215</v>
      </c>
      <c r="C45" t="s">
        <v>4</v>
      </c>
    </row>
    <row r="46" spans="1:13">
      <c r="A46" t="s">
        <v>13</v>
      </c>
      <c r="B46" s="5" t="s">
        <v>92</v>
      </c>
    </row>
    <row r="47" spans="1:13">
      <c r="A47" t="s">
        <v>14</v>
      </c>
      <c r="B47" s="5" t="s">
        <v>18</v>
      </c>
    </row>
    <row r="48" spans="1:13">
      <c r="A48" t="s">
        <v>1</v>
      </c>
      <c r="B48" t="s">
        <v>130</v>
      </c>
    </row>
    <row r="49" spans="1:13">
      <c r="A49" t="s">
        <v>15</v>
      </c>
      <c r="B49" s="5" t="s">
        <v>92</v>
      </c>
    </row>
    <row r="50" spans="1:13">
      <c r="A50" t="s">
        <v>2</v>
      </c>
    </row>
    <row r="51" spans="1:13">
      <c r="A51" t="s">
        <v>46</v>
      </c>
      <c r="B51" t="s">
        <v>190</v>
      </c>
    </row>
    <row r="52" spans="1:13">
      <c r="A52" t="s">
        <v>5</v>
      </c>
      <c r="B52" s="2">
        <f>B44/SUM(TimeEntries823[Time delta in h])</f>
        <v>4.7524752468235905</v>
      </c>
      <c r="C52" t="s">
        <v>6</v>
      </c>
    </row>
    <row r="53" spans="1:13">
      <c r="A53" t="s">
        <v>93</v>
      </c>
      <c r="B53" t="s">
        <v>197</v>
      </c>
    </row>
    <row r="54" spans="1:13">
      <c r="A54" t="s">
        <v>94</v>
      </c>
      <c r="B54" t="s">
        <v>200</v>
      </c>
    </row>
    <row r="55" spans="1:13">
      <c r="A55" t="s">
        <v>129</v>
      </c>
      <c r="B55" s="1">
        <v>44075.824502314812</v>
      </c>
    </row>
    <row r="57" spans="1:13">
      <c r="A57" t="s">
        <v>10</v>
      </c>
      <c r="B57" t="s">
        <v>7</v>
      </c>
      <c r="C57" t="s">
        <v>8</v>
      </c>
      <c r="D57" t="s">
        <v>9</v>
      </c>
      <c r="E57" t="s">
        <v>136</v>
      </c>
      <c r="F57" t="s">
        <v>84</v>
      </c>
      <c r="G57" t="s">
        <v>85</v>
      </c>
      <c r="I57" t="s">
        <v>70</v>
      </c>
      <c r="J57" s="15" t="s">
        <v>68</v>
      </c>
      <c r="K57" s="2" t="s">
        <v>69</v>
      </c>
      <c r="L57" t="s">
        <v>71</v>
      </c>
      <c r="M57" t="s">
        <v>72</v>
      </c>
    </row>
    <row r="58" spans="1:13">
      <c r="A58" t="s">
        <v>126</v>
      </c>
      <c r="B58" s="1">
        <v>44075.825694444444</v>
      </c>
      <c r="C58" s="1">
        <v>44075.825775462959</v>
      </c>
      <c r="D58" s="2">
        <f>MAX((TimeEntries823[[#This Row],[End time]]-TimeEntries823[[#This Row],[Start time]])*24,0)</f>
        <v>1.9444443751126528E-3</v>
      </c>
      <c r="F58" s="55" t="s">
        <v>206</v>
      </c>
      <c r="G58" s="22" t="s">
        <v>207</v>
      </c>
      <c r="J58" s="15"/>
      <c r="K58" s="2"/>
      <c r="L58" s="2"/>
      <c r="M58" s="16"/>
    </row>
    <row r="59" spans="1:13">
      <c r="A59" t="s">
        <v>127</v>
      </c>
      <c r="B59" s="1">
        <v>44075.826585648145</v>
      </c>
      <c r="C59" s="1">
        <v>44075.844039351854</v>
      </c>
      <c r="D59" s="2">
        <f>MAX((TimeEntries823[[#This Row],[End time]]-TimeEntries823[[#This Row],[Start time]])*24,0)</f>
        <v>0.41888888902030885</v>
      </c>
      <c r="F59" s="55" t="s">
        <v>206</v>
      </c>
      <c r="G59" s="22" t="s">
        <v>207</v>
      </c>
    </row>
    <row r="60" spans="1:13">
      <c r="B60" s="1"/>
      <c r="C60" s="1"/>
      <c r="D60" s="2"/>
    </row>
    <row r="62" spans="1:13">
      <c r="A62" t="s">
        <v>212</v>
      </c>
      <c r="B62" t="s">
        <v>209</v>
      </c>
      <c r="C62" t="s">
        <v>213</v>
      </c>
      <c r="D62">
        <v>23</v>
      </c>
      <c r="E62" t="s">
        <v>214</v>
      </c>
      <c r="F62">
        <v>13</v>
      </c>
    </row>
    <row r="63" spans="1:13">
      <c r="A63" s="4" t="s">
        <v>24</v>
      </c>
      <c r="I63" t="s">
        <v>137</v>
      </c>
      <c r="J63" t="s">
        <v>138</v>
      </c>
    </row>
    <row r="64" spans="1:13">
      <c r="A64" t="s">
        <v>3</v>
      </c>
      <c r="B64" t="s">
        <v>211</v>
      </c>
    </row>
    <row r="65" spans="1:13">
      <c r="A65" t="s">
        <v>77</v>
      </c>
      <c r="B65" s="2">
        <v>4</v>
      </c>
      <c r="C65" t="s">
        <v>4</v>
      </c>
    </row>
    <row r="66" spans="1:13">
      <c r="A66" t="s">
        <v>0</v>
      </c>
      <c r="B66" s="2">
        <f>SUM(TimeEntries1728328[Time delta in h])</f>
        <v>7.7499999999417923</v>
      </c>
      <c r="C66" t="s">
        <v>4</v>
      </c>
    </row>
    <row r="67" spans="1:13">
      <c r="A67" t="s">
        <v>13</v>
      </c>
      <c r="B67" s="5" t="s">
        <v>92</v>
      </c>
    </row>
    <row r="68" spans="1:13">
      <c r="A68" t="s">
        <v>14</v>
      </c>
      <c r="B68" s="5" t="s">
        <v>18</v>
      </c>
    </row>
    <row r="69" spans="1:13">
      <c r="A69" t="s">
        <v>1</v>
      </c>
      <c r="B69" t="s">
        <v>131</v>
      </c>
    </row>
    <row r="70" spans="1:13">
      <c r="A70" t="s">
        <v>15</v>
      </c>
      <c r="B70" s="5">
        <v>44075.827719907407</v>
      </c>
    </row>
    <row r="71" spans="1:13">
      <c r="A71" t="s">
        <v>2</v>
      </c>
    </row>
    <row r="72" spans="1:13">
      <c r="A72" t="s">
        <v>46</v>
      </c>
      <c r="B72" t="s">
        <v>209</v>
      </c>
    </row>
    <row r="73" spans="1:13">
      <c r="A73" t="s">
        <v>5</v>
      </c>
      <c r="B73" s="2">
        <f>B65/SUM(TimeEntries1728328[Time delta in h])</f>
        <v>0.51612903226194096</v>
      </c>
      <c r="C73" t="s">
        <v>6</v>
      </c>
    </row>
    <row r="74" spans="1:13">
      <c r="A74" t="s">
        <v>93</v>
      </c>
    </row>
    <row r="75" spans="1:13">
      <c r="A75" t="s">
        <v>94</v>
      </c>
    </row>
    <row r="76" spans="1:13">
      <c r="A76" t="s">
        <v>129</v>
      </c>
      <c r="B76" s="1">
        <v>44075.827488425923</v>
      </c>
    </row>
    <row r="78" spans="1:13">
      <c r="A78" t="s">
        <v>10</v>
      </c>
      <c r="B78" t="s">
        <v>7</v>
      </c>
      <c r="C78" t="s">
        <v>8</v>
      </c>
      <c r="D78" t="s">
        <v>9</v>
      </c>
      <c r="E78" t="s">
        <v>136</v>
      </c>
      <c r="F78" t="s">
        <v>84</v>
      </c>
      <c r="G78" t="s">
        <v>85</v>
      </c>
      <c r="I78" t="s">
        <v>70</v>
      </c>
      <c r="J78" s="15" t="s">
        <v>68</v>
      </c>
      <c r="K78" s="2" t="s">
        <v>69</v>
      </c>
      <c r="L78" t="s">
        <v>71</v>
      </c>
      <c r="M78" t="s">
        <v>72</v>
      </c>
    </row>
    <row r="79" spans="1:13">
      <c r="A79" t="s">
        <v>126</v>
      </c>
      <c r="B79" s="1">
        <v>44075.733958333331</v>
      </c>
      <c r="C79" s="1">
        <v>44075.827708333331</v>
      </c>
      <c r="D79" s="2">
        <f>MAX((TimeEntries1728328[[#This Row],[End time]]-TimeEntries1728328[[#This Row],[Start time]])*24,0)</f>
        <v>2.25</v>
      </c>
      <c r="F79" s="55" t="s">
        <v>206</v>
      </c>
      <c r="G79" s="22" t="s">
        <v>207</v>
      </c>
      <c r="I79" t="s">
        <v>126</v>
      </c>
      <c r="J79" s="15">
        <v>0.05</v>
      </c>
      <c r="K79" s="2">
        <v>2</v>
      </c>
      <c r="L79" s="2">
        <f>SUM(TimeEntries1728328[Time delta in h])</f>
        <v>7.7499999999417923</v>
      </c>
      <c r="M79" s="16">
        <f>Tabelle73671829339[[#This Row],[EBS self time]]/Tabelle73671829339[[#This Row],[Total time]]</f>
        <v>0.25806451613097048</v>
      </c>
    </row>
    <row r="80" spans="1:13">
      <c r="A80" t="s">
        <v>127</v>
      </c>
      <c r="B80" s="1">
        <v>44075.608969907407</v>
      </c>
      <c r="C80" s="1">
        <v>44075.827719907407</v>
      </c>
      <c r="D80" s="2">
        <f>MAX((TimeEntries1728328[[#This Row],[End time]]-TimeEntries1728328[[#This Row],[Start time]])*24,0)</f>
        <v>5.25</v>
      </c>
      <c r="F80" s="55" t="s">
        <v>206</v>
      </c>
      <c r="G80" s="22" t="s">
        <v>207</v>
      </c>
      <c r="I80" t="s">
        <v>127</v>
      </c>
      <c r="J80" s="15">
        <v>0.2</v>
      </c>
      <c r="K80" s="2">
        <v>2</v>
      </c>
      <c r="L80" s="2">
        <f>SUM(TimeEntries1728328[Time delta in h])</f>
        <v>7.7499999999417923</v>
      </c>
      <c r="M80" s="16">
        <f>Tabelle73671829339[[#This Row],[EBS self time]]/Tabelle73671829339[[#This Row],[Total time]]</f>
        <v>0.25806451613097048</v>
      </c>
    </row>
    <row r="81" spans="1:13">
      <c r="A81" t="s">
        <v>191</v>
      </c>
      <c r="B81" s="1">
        <v>44075.817303240743</v>
      </c>
      <c r="C81" s="1">
        <v>44075.827719907407</v>
      </c>
      <c r="D81" s="2">
        <f>MAX((TimeEntries1728328[[#This Row],[End time]]-TimeEntries1728328[[#This Row],[Start time]])*24,0)</f>
        <v>0.24999999994179234</v>
      </c>
      <c r="F81" s="55" t="s">
        <v>206</v>
      </c>
      <c r="G81" s="22" t="s">
        <v>207</v>
      </c>
      <c r="I81" t="s">
        <v>191</v>
      </c>
      <c r="J81" s="15">
        <v>0.35</v>
      </c>
      <c r="K81" s="2">
        <v>2</v>
      </c>
      <c r="L81" s="2">
        <f>SUM(TimeEntries1728328[Time delta in h])</f>
        <v>7.7499999999417923</v>
      </c>
      <c r="M81" s="16">
        <f>Tabelle73671829339[[#This Row],[EBS self time]]/Tabelle73671829339[[#This Row],[Total time]]</f>
        <v>0.25806451613097048</v>
      </c>
    </row>
    <row r="82" spans="1:13">
      <c r="B82" s="1"/>
      <c r="C82" s="1"/>
      <c r="D82" s="2"/>
      <c r="I82" t="s">
        <v>194</v>
      </c>
      <c r="J82" s="15">
        <v>0.5</v>
      </c>
      <c r="K82" s="2">
        <v>2</v>
      </c>
      <c r="L82" s="2">
        <f>SUM(TimeEntries1728328[Time delta in h])</f>
        <v>7.7499999999417923</v>
      </c>
      <c r="M82" s="16">
        <f>Tabelle73671829339[[#This Row],[EBS self time]]/Tabelle73671829339[[#This Row],[Total time]]</f>
        <v>0.25806451613097048</v>
      </c>
    </row>
    <row r="83" spans="1:13">
      <c r="I83" t="s">
        <v>210</v>
      </c>
      <c r="J83" s="15">
        <v>0.65</v>
      </c>
      <c r="K83" s="2">
        <v>2</v>
      </c>
      <c r="L83" s="2">
        <f>SUM(TimeEntries1728328[Time delta in h])</f>
        <v>7.7499999999417923</v>
      </c>
      <c r="M83" s="16">
        <f>Tabelle73671829339[[#This Row],[EBS self time]]/Tabelle73671829339[[#This Row],[Total time]]</f>
        <v>0.25806451613097048</v>
      </c>
    </row>
    <row r="84" spans="1:13">
      <c r="I84" t="s">
        <v>215</v>
      </c>
      <c r="J84" s="15">
        <v>0.8</v>
      </c>
      <c r="K84" s="2">
        <v>2</v>
      </c>
      <c r="L84" s="2">
        <f>SUM(TimeEntries1728328[Time delta in h])</f>
        <v>7.7499999999417923</v>
      </c>
      <c r="M84" s="16">
        <f>Tabelle73671829339[[#This Row],[EBS self time]]/Tabelle73671829339[[#This Row],[Total time]]</f>
        <v>0.25806451613097048</v>
      </c>
    </row>
    <row r="85" spans="1:13">
      <c r="I85" t="s">
        <v>216</v>
      </c>
      <c r="J85" s="15">
        <v>0.95</v>
      </c>
      <c r="K85" s="2">
        <v>2</v>
      </c>
      <c r="L85" s="2">
        <f>SUM(TimeEntries1728328[Time delta in h])</f>
        <v>7.7499999999417923</v>
      </c>
      <c r="M85" s="16">
        <f>Tabelle73671829339[[#This Row],[EBS self time]]/Tabelle73671829339[[#This Row],[Total time]]</f>
        <v>0.25806451613097048</v>
      </c>
    </row>
    <row r="87" spans="1:13">
      <c r="A87" t="s">
        <v>212</v>
      </c>
      <c r="B87" t="s">
        <v>217</v>
      </c>
      <c r="C87" t="s">
        <v>213</v>
      </c>
      <c r="D87">
        <v>23</v>
      </c>
      <c r="E87" t="s">
        <v>214</v>
      </c>
      <c r="F87">
        <v>13</v>
      </c>
    </row>
    <row r="88" spans="1:13">
      <c r="A88" s="4" t="s">
        <v>24</v>
      </c>
      <c r="I88" t="s">
        <v>137</v>
      </c>
      <c r="J88" t="s">
        <v>138</v>
      </c>
    </row>
    <row r="89" spans="1:13">
      <c r="A89" t="s">
        <v>3</v>
      </c>
      <c r="B89" t="s">
        <v>218</v>
      </c>
    </row>
    <row r="90" spans="1:13">
      <c r="A90" t="s">
        <v>77</v>
      </c>
      <c r="B90" s="2">
        <v>2</v>
      </c>
      <c r="C90" t="s">
        <v>4</v>
      </c>
    </row>
    <row r="91" spans="1:13">
      <c r="A91" t="s">
        <v>0</v>
      </c>
      <c r="B91" s="2">
        <f>SUM(TimeEntries3413[Time delta in h])</f>
        <v>1.0000000001164153</v>
      </c>
      <c r="C91" t="s">
        <v>4</v>
      </c>
    </row>
    <row r="92" spans="1:13">
      <c r="A92" t="s">
        <v>13</v>
      </c>
      <c r="B92" s="5" t="s">
        <v>92</v>
      </c>
    </row>
    <row r="93" spans="1:13">
      <c r="A93" t="s">
        <v>14</v>
      </c>
      <c r="B93" s="5" t="s">
        <v>18</v>
      </c>
    </row>
    <row r="94" spans="1:13">
      <c r="A94" t="s">
        <v>1</v>
      </c>
      <c r="B94" t="s">
        <v>131</v>
      </c>
    </row>
    <row r="95" spans="1:13">
      <c r="A95" t="s">
        <v>15</v>
      </c>
      <c r="B95" s="5">
        <v>44075.693333333336</v>
      </c>
    </row>
    <row r="96" spans="1:13">
      <c r="A96" t="s">
        <v>2</v>
      </c>
    </row>
    <row r="97" spans="1:13">
      <c r="A97" t="s">
        <v>46</v>
      </c>
      <c r="B97" t="s">
        <v>217</v>
      </c>
    </row>
    <row r="98" spans="1:13">
      <c r="A98" t="s">
        <v>5</v>
      </c>
      <c r="B98" s="2">
        <f>B90/SUM(TimeEntries3413[Time delta in h])</f>
        <v>1.9999999997671694</v>
      </c>
      <c r="C98" t="s">
        <v>6</v>
      </c>
    </row>
    <row r="99" spans="1:13">
      <c r="A99" t="s">
        <v>93</v>
      </c>
    </row>
    <row r="100" spans="1:13">
      <c r="A100" t="s">
        <v>94</v>
      </c>
    </row>
    <row r="101" spans="1:13">
      <c r="A101" t="s">
        <v>129</v>
      </c>
      <c r="B101" s="1">
        <v>44075.828576388885</v>
      </c>
    </row>
    <row r="103" spans="1:13">
      <c r="A103" t="s">
        <v>10</v>
      </c>
      <c r="B103" t="s">
        <v>7</v>
      </c>
      <c r="C103" t="s">
        <v>8</v>
      </c>
      <c r="D103" t="s">
        <v>9</v>
      </c>
      <c r="E103" t="s">
        <v>136</v>
      </c>
      <c r="F103" t="s">
        <v>84</v>
      </c>
      <c r="G103" t="s">
        <v>85</v>
      </c>
      <c r="I103" t="s">
        <v>70</v>
      </c>
      <c r="J103" s="15" t="s">
        <v>68</v>
      </c>
      <c r="K103" s="2" t="s">
        <v>69</v>
      </c>
      <c r="L103" t="s">
        <v>71</v>
      </c>
      <c r="M103" t="s">
        <v>72</v>
      </c>
    </row>
    <row r="104" spans="1:13">
      <c r="A104" t="s">
        <v>126</v>
      </c>
      <c r="B104" s="1">
        <v>44075.651666666665</v>
      </c>
      <c r="C104" s="1">
        <v>44075.693333333336</v>
      </c>
      <c r="D104" s="2">
        <f>MAX((TimeEntries3413[[#This Row],[End time]]-TimeEntries3413[[#This Row],[Start time]])*24,0)</f>
        <v>1.0000000001164153</v>
      </c>
      <c r="F104" s="55" t="s">
        <v>206</v>
      </c>
      <c r="G104" s="22" t="s">
        <v>207</v>
      </c>
      <c r="I104" t="s">
        <v>126</v>
      </c>
      <c r="J104" s="15">
        <v>0.05</v>
      </c>
      <c r="K104" s="2">
        <v>1</v>
      </c>
      <c r="L104" s="2">
        <f>SUM(TimeEntries3413[Time delta in h])</f>
        <v>1.0000000001164153</v>
      </c>
      <c r="M104" s="16">
        <f>Tabelle73673514[[#This Row],[EBS self time]]/Tabelle73673514[[#This Row],[Total time]]</f>
        <v>0.99999999988358468</v>
      </c>
    </row>
    <row r="105" spans="1:13">
      <c r="B105" s="1"/>
      <c r="C105" s="1"/>
      <c r="D105" s="2"/>
      <c r="I105" t="s">
        <v>127</v>
      </c>
      <c r="J105" s="15">
        <v>0.2</v>
      </c>
      <c r="K105" s="2">
        <v>1</v>
      </c>
      <c r="L105" s="2">
        <f>SUM(TimeEntries3413[Time delta in h])</f>
        <v>1.0000000001164153</v>
      </c>
      <c r="M105" s="16">
        <f>Tabelle73673514[[#This Row],[EBS self time]]/Tabelle73673514[[#This Row],[Total time]]</f>
        <v>0.99999999988358468</v>
      </c>
    </row>
    <row r="106" spans="1:13">
      <c r="I106" t="s">
        <v>191</v>
      </c>
      <c r="J106" s="15">
        <v>0.35</v>
      </c>
      <c r="K106" s="2">
        <v>1</v>
      </c>
      <c r="L106" s="2">
        <f>SUM(TimeEntries3413[Time delta in h])</f>
        <v>1.0000000001164153</v>
      </c>
      <c r="M106" s="16">
        <f>Tabelle73673514[[#This Row],[EBS self time]]/Tabelle73673514[[#This Row],[Total time]]</f>
        <v>0.99999999988358468</v>
      </c>
    </row>
    <row r="107" spans="1:13">
      <c r="I107" t="s">
        <v>194</v>
      </c>
      <c r="J107" s="15">
        <v>0.5</v>
      </c>
      <c r="K107" s="2">
        <v>1.7189922480620154</v>
      </c>
      <c r="L107" s="2">
        <f>SUM(TimeEntries3413[Time delta in h])</f>
        <v>1.0000000001164153</v>
      </c>
      <c r="M107" s="16">
        <f>Tabelle73673514[[#This Row],[EBS self time]]/Tabelle73673514[[#This Row],[Total time]]</f>
        <v>1.7189922478618984</v>
      </c>
    </row>
    <row r="108" spans="1:13">
      <c r="I108" t="s">
        <v>210</v>
      </c>
      <c r="J108" s="15">
        <v>0.65</v>
      </c>
      <c r="K108" s="2">
        <v>3.8759689922480618</v>
      </c>
      <c r="L108" s="2">
        <f>SUM(TimeEntries3413[Time delta in h])</f>
        <v>1.0000000001164153</v>
      </c>
      <c r="M108" s="16">
        <f>Tabelle73673514[[#This Row],[EBS self time]]/Tabelle73673514[[#This Row],[Total time]]</f>
        <v>3.8759689917968396</v>
      </c>
    </row>
    <row r="109" spans="1:13">
      <c r="I109" t="s">
        <v>215</v>
      </c>
      <c r="J109" s="15">
        <v>0.8</v>
      </c>
      <c r="K109" s="2">
        <v>3.8759689922480618</v>
      </c>
      <c r="L109" s="2">
        <f>SUM(TimeEntries3413[Time delta in h])</f>
        <v>1.0000000001164153</v>
      </c>
      <c r="M109" s="16">
        <f>Tabelle73673514[[#This Row],[EBS self time]]/Tabelle73673514[[#This Row],[Total time]]</f>
        <v>3.8759689917968396</v>
      </c>
    </row>
    <row r="110" spans="1:13">
      <c r="I110" t="s">
        <v>216</v>
      </c>
      <c r="J110" s="15">
        <v>0.95</v>
      </c>
      <c r="K110" s="2">
        <v>3.8759689922480618</v>
      </c>
      <c r="L110" s="2">
        <f>SUM(TimeEntries3413[Time delta in h])</f>
        <v>1.0000000001164153</v>
      </c>
      <c r="M110" s="16">
        <f>Tabelle73673514[[#This Row],[EBS self time]]/Tabelle73673514[[#This Row],[Total time]]</f>
        <v>3.8759689917968396</v>
      </c>
    </row>
    <row r="112" spans="1:13">
      <c r="A112" t="s">
        <v>212</v>
      </c>
      <c r="B112" t="s">
        <v>223</v>
      </c>
      <c r="C112" t="s">
        <v>213</v>
      </c>
      <c r="D112">
        <v>23</v>
      </c>
      <c r="E112" t="s">
        <v>214</v>
      </c>
      <c r="F112">
        <v>13</v>
      </c>
    </row>
    <row r="113" spans="1:13">
      <c r="A113" s="4" t="s">
        <v>24</v>
      </c>
      <c r="I113" t="s">
        <v>137</v>
      </c>
      <c r="J113" t="s">
        <v>138</v>
      </c>
    </row>
    <row r="114" spans="1:13">
      <c r="A114" t="s">
        <v>3</v>
      </c>
      <c r="B114" t="s">
        <v>224</v>
      </c>
    </row>
    <row r="115" spans="1:13">
      <c r="A115" t="s">
        <v>77</v>
      </c>
      <c r="B115" s="2">
        <v>0.25</v>
      </c>
      <c r="C115" t="s">
        <v>4</v>
      </c>
    </row>
    <row r="116" spans="1:13">
      <c r="A116" t="s">
        <v>0</v>
      </c>
      <c r="B116" s="2">
        <f>SUM(TimeEntries3617[Time delta in h])</f>
        <v>0</v>
      </c>
      <c r="C116" t="s">
        <v>4</v>
      </c>
    </row>
    <row r="117" spans="1:13">
      <c r="A117" t="s">
        <v>13</v>
      </c>
      <c r="B117" s="5">
        <v>44075</v>
      </c>
    </row>
    <row r="118" spans="1:13">
      <c r="A118" t="s">
        <v>14</v>
      </c>
      <c r="B118" s="5" t="s">
        <v>18</v>
      </c>
    </row>
    <row r="119" spans="1:13">
      <c r="A119" t="s">
        <v>1</v>
      </c>
      <c r="B119" t="s">
        <v>91</v>
      </c>
    </row>
    <row r="120" spans="1:13">
      <c r="A120" t="s">
        <v>15</v>
      </c>
      <c r="B120" s="5" t="s">
        <v>92</v>
      </c>
    </row>
    <row r="121" spans="1:13">
      <c r="A121" t="s">
        <v>2</v>
      </c>
      <c r="B121" t="s">
        <v>225</v>
      </c>
    </row>
    <row r="122" spans="1:13">
      <c r="A122" t="s">
        <v>46</v>
      </c>
      <c r="B122" t="s">
        <v>223</v>
      </c>
    </row>
    <row r="123" spans="1:13">
      <c r="A123" t="s">
        <v>5</v>
      </c>
      <c r="B123" s="2" t="e">
        <f>B115/SUM(TimeEntries3617[Time delta in h])</f>
        <v>#DIV/0!</v>
      </c>
      <c r="C123" t="s">
        <v>6</v>
      </c>
    </row>
    <row r="124" spans="1:13">
      <c r="A124" t="s">
        <v>93</v>
      </c>
    </row>
    <row r="125" spans="1:13">
      <c r="A125" t="s">
        <v>94</v>
      </c>
    </row>
    <row r="126" spans="1:13">
      <c r="A126" t="s">
        <v>129</v>
      </c>
      <c r="B126" s="1">
        <v>44075.829756944448</v>
      </c>
    </row>
    <row r="128" spans="1:13">
      <c r="A128" t="s">
        <v>10</v>
      </c>
      <c r="B128" t="s">
        <v>7</v>
      </c>
      <c r="C128" t="s">
        <v>8</v>
      </c>
      <c r="D128" t="s">
        <v>9</v>
      </c>
      <c r="E128" t="s">
        <v>136</v>
      </c>
      <c r="F128" t="s">
        <v>84</v>
      </c>
      <c r="G128" t="s">
        <v>85</v>
      </c>
      <c r="I128" t="s">
        <v>70</v>
      </c>
      <c r="J128" s="15" t="s">
        <v>68</v>
      </c>
      <c r="K128" s="2" t="s">
        <v>69</v>
      </c>
      <c r="L128" t="s">
        <v>71</v>
      </c>
      <c r="M128" t="s">
        <v>72</v>
      </c>
    </row>
    <row r="129" spans="1:13">
      <c r="B129" s="1"/>
      <c r="C129" s="1"/>
      <c r="D129" s="2">
        <f>MAX((TimeEntries3617[[#This Row],[End time]]-TimeEntries3617[[#This Row],[Start time]])*24,0)</f>
        <v>0</v>
      </c>
      <c r="I129" t="s">
        <v>126</v>
      </c>
      <c r="J129" s="15">
        <v>0.05</v>
      </c>
      <c r="K129" s="2">
        <v>0.125</v>
      </c>
      <c r="L129" s="2">
        <f>SUM(TimeEntries3617[Time delta in h])</f>
        <v>0</v>
      </c>
      <c r="M129" s="16" t="e">
        <f>Tabelle73673718[[#This Row],[EBS self time]]/Tabelle73673718[[#This Row],[Total time]]</f>
        <v>#DIV/0!</v>
      </c>
    </row>
    <row r="130" spans="1:13">
      <c r="B130" s="1"/>
      <c r="C130" s="1"/>
      <c r="D130" s="2"/>
      <c r="I130" t="s">
        <v>127</v>
      </c>
      <c r="J130" s="15">
        <v>0.2</v>
      </c>
      <c r="K130" s="2">
        <v>0.125</v>
      </c>
      <c r="L130" s="2">
        <f>SUM(TimeEntries3617[Time delta in h])</f>
        <v>0</v>
      </c>
      <c r="M130" s="16" t="e">
        <f>Tabelle73673718[[#This Row],[EBS self time]]/Tabelle73673718[[#This Row],[Total time]]</f>
        <v>#DIV/0!</v>
      </c>
    </row>
    <row r="131" spans="1:13">
      <c r="I131" t="s">
        <v>191</v>
      </c>
      <c r="J131" s="15">
        <v>0.35</v>
      </c>
      <c r="K131" s="2">
        <v>0.125</v>
      </c>
      <c r="L131" s="2">
        <f>SUM(TimeEntries3617[Time delta in h])</f>
        <v>0</v>
      </c>
      <c r="M131" s="16" t="e">
        <f>Tabelle73673718[[#This Row],[EBS self time]]/Tabelle73673718[[#This Row],[Total time]]</f>
        <v>#DIV/0!</v>
      </c>
    </row>
    <row r="132" spans="1:13">
      <c r="I132" t="s">
        <v>194</v>
      </c>
      <c r="J132" s="15">
        <v>0.5</v>
      </c>
      <c r="K132" s="2">
        <v>0.125</v>
      </c>
      <c r="L132" s="2">
        <f>SUM(TimeEntries3617[Time delta in h])</f>
        <v>0</v>
      </c>
      <c r="M132" s="16" t="e">
        <f>Tabelle73673718[[#This Row],[EBS self time]]/Tabelle73673718[[#This Row],[Total time]]</f>
        <v>#DIV/0!</v>
      </c>
    </row>
    <row r="133" spans="1:13">
      <c r="I133" t="s">
        <v>210</v>
      </c>
      <c r="J133" s="15">
        <v>0.65</v>
      </c>
      <c r="K133" s="2">
        <v>0.48449612403100772</v>
      </c>
      <c r="L133" s="2">
        <f>SUM(TimeEntries3617[Time delta in h])</f>
        <v>0</v>
      </c>
      <c r="M133" s="16" t="e">
        <f>Tabelle73673718[[#This Row],[EBS self time]]/Tabelle73673718[[#This Row],[Total time]]</f>
        <v>#DIV/0!</v>
      </c>
    </row>
    <row r="134" spans="1:13">
      <c r="I134" t="s">
        <v>215</v>
      </c>
      <c r="J134" s="15">
        <v>0.8</v>
      </c>
      <c r="K134" s="2">
        <v>0.48449612403100772</v>
      </c>
      <c r="L134" s="2">
        <f>SUM(TimeEntries3617[Time delta in h])</f>
        <v>0</v>
      </c>
      <c r="M134" s="16" t="e">
        <f>Tabelle73673718[[#This Row],[EBS self time]]/Tabelle73673718[[#This Row],[Total time]]</f>
        <v>#DIV/0!</v>
      </c>
    </row>
    <row r="135" spans="1:13">
      <c r="I135" t="s">
        <v>216</v>
      </c>
      <c r="J135" s="15">
        <v>0.95</v>
      </c>
      <c r="K135" s="2">
        <v>0.48449612403100772</v>
      </c>
      <c r="L135" s="2">
        <f>SUM(TimeEntries3617[Time delta in h])</f>
        <v>0</v>
      </c>
      <c r="M135" s="16" t="e">
        <f>Tabelle73673718[[#This Row],[EBS self time]]/Tabelle73673718[[#This Row],[Total time]]</f>
        <v>#DIV/0!</v>
      </c>
    </row>
    <row r="137" spans="1:13">
      <c r="A137" t="s">
        <v>212</v>
      </c>
      <c r="B137" t="s">
        <v>193</v>
      </c>
      <c r="C137" t="s">
        <v>213</v>
      </c>
      <c r="D137">
        <v>23</v>
      </c>
      <c r="E137" t="s">
        <v>214</v>
      </c>
      <c r="F137">
        <v>13</v>
      </c>
    </row>
    <row r="138" spans="1:13">
      <c r="A138" s="4" t="s">
        <v>24</v>
      </c>
      <c r="I138" t="s">
        <v>137</v>
      </c>
      <c r="J138" t="s">
        <v>138</v>
      </c>
    </row>
    <row r="139" spans="1:13">
      <c r="A139" t="s">
        <v>3</v>
      </c>
      <c r="B139" t="s">
        <v>195</v>
      </c>
    </row>
    <row r="140" spans="1:13">
      <c r="A140" t="s">
        <v>77</v>
      </c>
      <c r="B140" s="2">
        <v>1</v>
      </c>
      <c r="C140" t="s">
        <v>4</v>
      </c>
    </row>
    <row r="141" spans="1:13">
      <c r="A141" t="s">
        <v>0</v>
      </c>
      <c r="B141" s="2">
        <f>SUM(TimeEntries1325644625[Time delta in h])</f>
        <v>0.50000000005820766</v>
      </c>
      <c r="C141" t="s">
        <v>4</v>
      </c>
    </row>
    <row r="142" spans="1:13">
      <c r="A142" t="s">
        <v>13</v>
      </c>
      <c r="B142" s="5">
        <v>44560</v>
      </c>
    </row>
    <row r="143" spans="1:13">
      <c r="A143" t="s">
        <v>14</v>
      </c>
      <c r="B143" s="5" t="s">
        <v>18</v>
      </c>
    </row>
    <row r="144" spans="1:13">
      <c r="A144" t="s">
        <v>1</v>
      </c>
      <c r="B144" t="s">
        <v>131</v>
      </c>
    </row>
    <row r="145" spans="1:13">
      <c r="A145" t="s">
        <v>15</v>
      </c>
      <c r="B145" s="5" t="s">
        <v>92</v>
      </c>
    </row>
    <row r="146" spans="1:13">
      <c r="A146" t="s">
        <v>2</v>
      </c>
    </row>
    <row r="147" spans="1:13">
      <c r="A147" t="s">
        <v>46</v>
      </c>
      <c r="B147" t="s">
        <v>193</v>
      </c>
    </row>
    <row r="148" spans="1:13">
      <c r="A148" t="s">
        <v>5</v>
      </c>
      <c r="B148" s="2">
        <f>B140/SUM(TimeEntries1325644625[Time delta in h])</f>
        <v>1.9999999997671694</v>
      </c>
      <c r="C148" t="s">
        <v>6</v>
      </c>
    </row>
    <row r="149" spans="1:13">
      <c r="A149" t="s">
        <v>93</v>
      </c>
      <c r="B149" t="s">
        <v>204</v>
      </c>
    </row>
    <row r="150" spans="1:13">
      <c r="A150" t="s">
        <v>94</v>
      </c>
      <c r="B150" t="s">
        <v>205</v>
      </c>
    </row>
    <row r="151" spans="1:13">
      <c r="A151" t="s">
        <v>129</v>
      </c>
      <c r="B151" s="1">
        <v>44075.824560185189</v>
      </c>
    </row>
    <row r="153" spans="1:13">
      <c r="A153" t="s">
        <v>10</v>
      </c>
      <c r="B153" t="s">
        <v>7</v>
      </c>
      <c r="C153" t="s">
        <v>8</v>
      </c>
      <c r="D153" t="s">
        <v>9</v>
      </c>
      <c r="E153" t="s">
        <v>136</v>
      </c>
      <c r="F153" t="s">
        <v>84</v>
      </c>
      <c r="G153" t="s">
        <v>85</v>
      </c>
      <c r="I153" t="s">
        <v>70</v>
      </c>
      <c r="J153" s="15" t="s">
        <v>68</v>
      </c>
      <c r="K153" s="2" t="s">
        <v>69</v>
      </c>
      <c r="L153" t="s">
        <v>71</v>
      </c>
      <c r="M153" t="s">
        <v>72</v>
      </c>
    </row>
    <row r="154" spans="1:13">
      <c r="A154" t="s">
        <v>126</v>
      </c>
      <c r="B154" s="1">
        <v>44075.815069444441</v>
      </c>
      <c r="C154" s="1">
        <v>44075.825486111113</v>
      </c>
      <c r="D154" s="2">
        <f>MAX((TimeEntries1325644625[[#This Row],[End time]]-TimeEntries1325644625[[#This Row],[Start time]])*24,0)</f>
        <v>0.25000000011641532</v>
      </c>
      <c r="F154" s="55" t="s">
        <v>206</v>
      </c>
      <c r="G154" s="22" t="s">
        <v>207</v>
      </c>
      <c r="I154" t="s">
        <v>126</v>
      </c>
      <c r="J154" s="15">
        <v>0.05</v>
      </c>
      <c r="K154" s="2">
        <v>0.5</v>
      </c>
      <c r="L154" s="2" t="e">
        <f>SUM(#REF!)</f>
        <v>#REF!</v>
      </c>
      <c r="M154" s="16" t="e">
        <f>Tabelle73671427745727[[#This Row],[EBS self time]]/Tabelle73671427745727[[#This Row],[Total time]]</f>
        <v>#REF!</v>
      </c>
    </row>
    <row r="155" spans="1:13">
      <c r="A155" t="s">
        <v>127</v>
      </c>
      <c r="B155" s="1">
        <v>44075.815081018518</v>
      </c>
      <c r="C155" s="1">
        <v>44075.825497685182</v>
      </c>
      <c r="D155" s="2">
        <f>MAX((TimeEntries1325644625[[#This Row],[End time]]-TimeEntries1325644625[[#This Row],[Start time]])*24,0)</f>
        <v>0.24999999994179234</v>
      </c>
      <c r="F155" s="55" t="s">
        <v>206</v>
      </c>
      <c r="G155" s="22" t="s">
        <v>207</v>
      </c>
      <c r="I155" t="s">
        <v>127</v>
      </c>
      <c r="J155" s="15">
        <v>0.2</v>
      </c>
      <c r="K155" s="2">
        <v>0.5</v>
      </c>
      <c r="L155" s="2" t="e">
        <f>SUM(#REF!)</f>
        <v>#REF!</v>
      </c>
      <c r="M155" s="16" t="e">
        <f>Tabelle73671427745727[[#This Row],[EBS self time]]/Tabelle73671427745727[[#This Row],[Total time]]</f>
        <v>#REF!</v>
      </c>
    </row>
    <row r="156" spans="1:13">
      <c r="B156" s="1"/>
      <c r="C156" s="1"/>
      <c r="D156" s="2"/>
      <c r="I156" t="s">
        <v>191</v>
      </c>
      <c r="J156" s="15">
        <v>0.35</v>
      </c>
      <c r="K156" s="2">
        <v>0.5</v>
      </c>
      <c r="L156" s="2" t="e">
        <f>SUM(#REF!)</f>
        <v>#REF!</v>
      </c>
      <c r="M156" s="16" t="e">
        <f>Tabelle73671427745727[[#This Row],[EBS self time]]/Tabelle73671427745727[[#This Row],[Total time]]</f>
        <v>#REF!</v>
      </c>
    </row>
    <row r="157" spans="1:13">
      <c r="I157" t="s">
        <v>194</v>
      </c>
      <c r="J157" s="15">
        <v>0.5</v>
      </c>
      <c r="K157" s="2">
        <v>0.5</v>
      </c>
      <c r="L157" s="2" t="e">
        <f>SUM(#REF!)</f>
        <v>#REF!</v>
      </c>
      <c r="M157" s="16" t="e">
        <f>Tabelle73671427745727[[#This Row],[EBS self time]]/Tabelle73671427745727[[#This Row],[Total time]]</f>
        <v>#REF!</v>
      </c>
    </row>
    <row r="158" spans="1:13">
      <c r="I158" t="s">
        <v>210</v>
      </c>
      <c r="J158" s="15">
        <v>0.65</v>
      </c>
      <c r="K158" s="2">
        <v>1.9379844961240309</v>
      </c>
      <c r="L158" s="2" t="e">
        <f>SUM(#REF!)</f>
        <v>#REF!</v>
      </c>
      <c r="M158" s="16" t="e">
        <f>Tabelle73671427745727[[#This Row],[EBS self time]]/Tabelle73671427745727[[#This Row],[Total time]]</f>
        <v>#REF!</v>
      </c>
    </row>
    <row r="159" spans="1:13">
      <c r="I159" t="s">
        <v>215</v>
      </c>
      <c r="J159" s="15">
        <v>0.8</v>
      </c>
      <c r="K159" s="2">
        <v>1.9379844961240309</v>
      </c>
      <c r="L159" s="2" t="e">
        <f>SUM(#REF!)</f>
        <v>#REF!</v>
      </c>
      <c r="M159" s="16" t="e">
        <f>Tabelle73671427745727[[#This Row],[EBS self time]]/Tabelle73671427745727[[#This Row],[Total time]]</f>
        <v>#REF!</v>
      </c>
    </row>
    <row r="160" spans="1:13">
      <c r="I160" t="s">
        <v>216</v>
      </c>
      <c r="J160" s="15">
        <v>0.95</v>
      </c>
      <c r="K160" s="2">
        <v>1.9379844961240309</v>
      </c>
      <c r="L160" s="2" t="e">
        <f>SUM(#REF!)</f>
        <v>#REF!</v>
      </c>
      <c r="M160" s="16" t="e">
        <f>Tabelle73671427745727[[#This Row],[EBS self time]]/Tabelle73671427745727[[#This Row],[Total time]]</f>
        <v>#REF!</v>
      </c>
    </row>
  </sheetData>
  <hyperlinks>
    <hyperlink ref="A2" location="Planning!A1" display="Go back to 'Planning' sheet" xr:uid="{CF5D1455-A338-4A5A-92AF-CDE88B6214A5}"/>
    <hyperlink ref="A22" location="Planning!A1" display="Go back to 'Planning' sheet" xr:uid="{FDE719F8-6321-475B-817C-829AB6EDCA58}"/>
    <hyperlink ref="F38" location="$F$17" display="$F$17" xr:uid="{3EA8D5CE-28C7-425A-BC01-E516A3B2B56A}"/>
    <hyperlink ref="G38" location="$G$17" display="$G$17" xr:uid="{F3D2D183-5C8F-4BA7-AF41-F209E88590D9}"/>
    <hyperlink ref="A42" location="Planning!A1" display="Go back to 'Planning' sheet" xr:uid="{77C5E26D-AC88-4D92-A58C-D2F3BA9BDED5}"/>
    <hyperlink ref="F58" location="$F$17" display="$F$17" xr:uid="{E077B2CE-1F5F-4FF6-B5D0-4570E9AE64E2}"/>
    <hyperlink ref="G58" location="$G$17" display="$G$17" xr:uid="{436852E0-470F-4B16-A59E-EFBB218FA71C}"/>
    <hyperlink ref="F59" location="$F$18" display="$F$18" xr:uid="{C8EAA3E6-C390-4FB5-A11C-F4548E714079}"/>
    <hyperlink ref="G59" location="$G$18" display="$G$18" xr:uid="{6F634A06-92C4-4595-8A2B-A5C537BA7EAA}"/>
    <hyperlink ref="A63" location="Planning!A1" display="Go back to 'Planning' sheet" xr:uid="{4B44B42B-10C0-4E37-AAE0-C1F3EB444B80}"/>
    <hyperlink ref="F79" location="$F$17" display="$F$17" xr:uid="{B3E41091-092D-44E5-8BBB-CE51986CB5BC}"/>
    <hyperlink ref="G79" location="$G$17" display="$G$17" xr:uid="{E6BE8B9F-8AFE-4574-AAB0-D52A6F0A0889}"/>
    <hyperlink ref="F80" location="$F$18" display="$F$18" xr:uid="{90B0CA71-0197-4B03-AC4A-4A072120ED22}"/>
    <hyperlink ref="G80" location="$G$18" display="$G$18" xr:uid="{54514534-63DD-48D8-BEA8-CC03A66908BE}"/>
    <hyperlink ref="F81" location="$F$19" display="$F$19" xr:uid="{7794F8F3-745B-4BED-B79C-4119A36DF653}"/>
    <hyperlink ref="G81" location="$G$19" display="$G$19" xr:uid="{E7F482BB-C9D7-4E72-88B8-C454A542032C}"/>
    <hyperlink ref="A88" location="Planning!A1" display="Go back to 'Planning' sheet" xr:uid="{BBD63373-A4D1-496B-90D8-8EEB05AE0BB5}"/>
    <hyperlink ref="F104" location="$F$17" display="$F$17" xr:uid="{2FCF487C-EF7C-4479-BF4F-0A7439179E15}"/>
    <hyperlink ref="G104" location="$G$17" display="$G$17" xr:uid="{52A19D57-3577-4523-BFAE-3A959F225E31}"/>
    <hyperlink ref="A113" location="Planning!A1" display="Go back to 'Planning' sheet" xr:uid="{3A27A5F7-368E-44C0-9926-C70D9C3EAB15}"/>
    <hyperlink ref="A138" location="Planning!A1" display="Go back to 'Planning' sheet" xr:uid="{FF1025D8-2445-4BD7-811C-7E228FE569F0}"/>
    <hyperlink ref="F154" location="$F$17" display="$F$17" xr:uid="{0840C523-FB1B-4AAC-9CA4-0D0245738DB4}"/>
    <hyperlink ref="G154" location="$G$17" display="$G$17" xr:uid="{66AC0DDA-1546-46D5-BFB2-19066B6A26DE}"/>
    <hyperlink ref="F155" location="$F$18" display="$F$18" xr:uid="{05CAD48B-2CA2-4DD4-BC06-C7318714249D}"/>
    <hyperlink ref="G155" location="$G$18" display="$G$18" xr:uid="{1088AD3C-3122-49A5-8F04-5E5CB2083888}"/>
  </hyperlinks>
  <pageMargins left="0.7" right="0.7" top="0.78740157499999996" bottom="0.78740157499999996" header="0.3" footer="0.3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Z19"/>
  <sheetViews>
    <sheetView tabSelected="1" topLeftCell="A3" zoomScaleNormal="100" workbookViewId="0">
      <selection activeCell="N20" sqref="N20"/>
    </sheetView>
  </sheetViews>
  <sheetFormatPr defaultColWidth="11.44140625" defaultRowHeight="14.4" outlineLevelCol="1"/>
  <cols>
    <col min="1" max="1" width="10.44140625" style="6" customWidth="1" outlineLevel="1"/>
    <col min="2" max="2" width="8.44140625" style="37" bestFit="1" customWidth="1"/>
    <col min="3" max="3" width="32.109375" style="9" customWidth="1"/>
    <col min="4" max="4" width="4.109375" style="9" customWidth="1"/>
    <col min="5" max="5" width="23.44140625" style="9" bestFit="1" customWidth="1"/>
    <col min="6" max="6" width="4.109375" style="9" customWidth="1"/>
    <col min="7" max="7" width="15.109375" customWidth="1"/>
    <col min="8" max="8" width="4.109375" customWidth="1"/>
    <col min="9" max="9" width="10.6640625" style="7" customWidth="1"/>
    <col min="10" max="10" width="4.109375" style="7" customWidth="1"/>
    <col min="11" max="11" width="10.88671875" style="7" customWidth="1"/>
    <col min="12" max="12" width="4.109375" style="7" customWidth="1"/>
    <col min="13" max="13" width="16.33203125" style="7" bestFit="1" customWidth="1"/>
    <col min="14" max="14" width="20.44140625" style="10" bestFit="1" customWidth="1"/>
    <col min="15" max="15" width="12.33203125" style="10" bestFit="1" customWidth="1"/>
    <col min="16" max="16" width="17.109375" style="6" hidden="1" customWidth="1" outlineLevel="1"/>
    <col min="17" max="17" width="15" style="10" hidden="1" customWidth="1" outlineLevel="1"/>
    <col min="18" max="18" width="17.109375" style="10" hidden="1" customWidth="1" outlineLevel="1"/>
    <col min="19" max="19" width="15.6640625" style="37" customWidth="1" collapsed="1"/>
    <col min="20" max="20" width="13.5546875" customWidth="1" outlineLevel="1"/>
    <col min="21" max="21" width="11.44140625" customWidth="1" outlineLevel="1"/>
    <col min="22" max="22" width="20.33203125" style="6" customWidth="1" outlineLevel="1"/>
    <col min="23" max="23" width="15.6640625" style="37" customWidth="1"/>
    <col min="24" max="24" width="9.88671875" customWidth="1"/>
    <col min="25" max="25" width="15.88671875" customWidth="1"/>
    <col min="26" max="26" width="3.6640625" style="3" customWidth="1"/>
  </cols>
  <sheetData>
    <row r="1" spans="1:26" ht="65.25" customHeight="1">
      <c r="A1" s="3"/>
      <c r="C1" s="8"/>
      <c r="D1" s="8"/>
      <c r="E1" s="8"/>
      <c r="F1" s="8"/>
      <c r="G1" s="18"/>
      <c r="H1" s="18"/>
      <c r="I1" s="18"/>
      <c r="J1" s="18"/>
      <c r="K1" s="18"/>
      <c r="L1" s="18"/>
      <c r="M1" s="10"/>
      <c r="P1" s="3"/>
      <c r="T1" s="3"/>
      <c r="U1" s="3"/>
      <c r="V1"/>
      <c r="Z1"/>
    </row>
    <row r="2" spans="1:26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36" t="s">
        <v>76</v>
      </c>
      <c r="R2" s="36" t="s">
        <v>76</v>
      </c>
      <c r="T2" s="8"/>
      <c r="U2" s="8"/>
      <c r="V2" s="8"/>
      <c r="Z2"/>
    </row>
    <row r="3" spans="1:26" s="42" customFormat="1">
      <c r="A3" s="43" t="s">
        <v>11</v>
      </c>
      <c r="B3" s="41" t="s">
        <v>136</v>
      </c>
      <c r="C3" s="44" t="s">
        <v>3</v>
      </c>
      <c r="D3" s="44" t="s">
        <v>144</v>
      </c>
      <c r="E3" s="44" t="s">
        <v>2</v>
      </c>
      <c r="F3" s="44" t="s">
        <v>145</v>
      </c>
      <c r="G3" s="45" t="s">
        <v>21</v>
      </c>
      <c r="H3" s="45" t="s">
        <v>166</v>
      </c>
      <c r="I3" s="45" t="s">
        <v>22</v>
      </c>
      <c r="J3" s="45" t="s">
        <v>167</v>
      </c>
      <c r="K3" s="45" t="s">
        <v>23</v>
      </c>
      <c r="L3" s="45" t="s">
        <v>168</v>
      </c>
      <c r="M3" s="46" t="s">
        <v>1</v>
      </c>
      <c r="N3" s="46" t="s">
        <v>77</v>
      </c>
      <c r="O3" s="47" t="s">
        <v>71</v>
      </c>
      <c r="P3" t="s">
        <v>15</v>
      </c>
      <c r="Q3" s="7" t="s">
        <v>81</v>
      </c>
      <c r="R3" s="7" t="s">
        <v>165</v>
      </c>
      <c r="S3" s="41" t="s">
        <v>13</v>
      </c>
      <c r="T3" s="6" t="s">
        <v>14</v>
      </c>
      <c r="U3" t="s">
        <v>12</v>
      </c>
      <c r="V3" t="s">
        <v>46</v>
      </c>
      <c r="W3" s="41"/>
    </row>
    <row r="4" spans="1:26" s="51" customFormat="1" ht="21" customHeight="1">
      <c r="A4" s="49" t="s">
        <v>127</v>
      </c>
      <c r="B4" s="52"/>
      <c r="C4" s="48" t="s">
        <v>189</v>
      </c>
      <c r="D4" s="48" t="s">
        <v>186</v>
      </c>
      <c r="E4" s="48"/>
      <c r="F4" s="48" t="s">
        <v>186</v>
      </c>
      <c r="G4" s="49" t="s">
        <v>196</v>
      </c>
      <c r="H4" s="49" t="s">
        <v>186</v>
      </c>
      <c r="I4" s="49" t="s">
        <v>201</v>
      </c>
      <c r="J4" s="49" t="s">
        <v>186</v>
      </c>
      <c r="K4" s="49"/>
      <c r="L4" s="49" t="s">
        <v>186</v>
      </c>
      <c r="M4" s="49" t="s">
        <v>143</v>
      </c>
      <c r="N4" s="53">
        <v>3</v>
      </c>
      <c r="O4" s="53">
        <v>0.25000000011641499</v>
      </c>
      <c r="P4" s="49" t="s">
        <v>92</v>
      </c>
      <c r="Q4" s="53">
        <v>1.25</v>
      </c>
      <c r="R4" s="56">
        <v>44161.970902777779</v>
      </c>
      <c r="S4" s="54"/>
      <c r="T4" s="49" t="s">
        <v>18</v>
      </c>
      <c r="U4" s="49">
        <v>4</v>
      </c>
      <c r="V4" s="49" t="s">
        <v>188</v>
      </c>
      <c r="W4" s="50"/>
    </row>
    <row r="5" spans="1:26" ht="21" customHeight="1">
      <c r="A5" s="49" t="s">
        <v>191</v>
      </c>
      <c r="B5" s="52"/>
      <c r="C5" s="48" t="s">
        <v>192</v>
      </c>
      <c r="D5" s="48" t="s">
        <v>186</v>
      </c>
      <c r="E5" s="48"/>
      <c r="F5" s="48" t="s">
        <v>186</v>
      </c>
      <c r="G5" s="49" t="s">
        <v>199</v>
      </c>
      <c r="H5" s="49" t="s">
        <v>186</v>
      </c>
      <c r="I5" s="49"/>
      <c r="J5" s="49" t="s">
        <v>186</v>
      </c>
      <c r="K5" s="49"/>
      <c r="L5" s="49" t="s">
        <v>186</v>
      </c>
      <c r="M5" s="49" t="s">
        <v>130</v>
      </c>
      <c r="N5" s="53">
        <v>2</v>
      </c>
      <c r="O5" s="53">
        <v>0.420833333395422</v>
      </c>
      <c r="P5" s="49" t="s">
        <v>92</v>
      </c>
      <c r="Q5" s="53">
        <v>3.2670000000000003</v>
      </c>
      <c r="R5" s="56">
        <v>44162.071423611109</v>
      </c>
      <c r="S5" s="54"/>
      <c r="T5" s="49" t="s">
        <v>18</v>
      </c>
      <c r="U5" s="49">
        <v>5</v>
      </c>
      <c r="V5" s="49" t="s">
        <v>190</v>
      </c>
    </row>
    <row r="6" spans="1:26" ht="21" customHeight="1">
      <c r="A6" s="49" t="s">
        <v>126</v>
      </c>
      <c r="B6" s="52"/>
      <c r="C6" s="48" t="s">
        <v>187</v>
      </c>
      <c r="D6" s="48" t="s">
        <v>186</v>
      </c>
      <c r="E6" s="48"/>
      <c r="F6" s="48" t="s">
        <v>186</v>
      </c>
      <c r="G6" s="49" t="s">
        <v>196</v>
      </c>
      <c r="H6" s="49" t="s">
        <v>186</v>
      </c>
      <c r="I6" s="49"/>
      <c r="J6" s="49" t="s">
        <v>186</v>
      </c>
      <c r="K6" s="49"/>
      <c r="L6" s="49" t="s">
        <v>186</v>
      </c>
      <c r="M6" s="49" t="s">
        <v>91</v>
      </c>
      <c r="N6" s="53">
        <v>6</v>
      </c>
      <c r="O6" s="53">
        <v>0</v>
      </c>
      <c r="P6" s="49" t="s">
        <v>92</v>
      </c>
      <c r="Q6" s="53">
        <v>6.9860000000000007</v>
      </c>
      <c r="R6" s="56">
        <v>44163.930439814816</v>
      </c>
      <c r="S6" s="54"/>
      <c r="T6" s="49" t="s">
        <v>18</v>
      </c>
      <c r="U6" s="49">
        <v>6</v>
      </c>
      <c r="V6" s="49" t="s">
        <v>185</v>
      </c>
    </row>
    <row r="7" spans="1:26" ht="21" customHeight="1">
      <c r="A7" s="49" t="s">
        <v>216</v>
      </c>
      <c r="B7" s="52"/>
      <c r="C7" s="48" t="s">
        <v>224</v>
      </c>
      <c r="D7" s="48" t="s">
        <v>186</v>
      </c>
      <c r="E7" s="48" t="s">
        <v>225</v>
      </c>
      <c r="F7" s="48" t="s">
        <v>186</v>
      </c>
      <c r="G7" s="49"/>
      <c r="H7" s="49" t="s">
        <v>186</v>
      </c>
      <c r="I7" s="49"/>
      <c r="J7" s="49" t="s">
        <v>186</v>
      </c>
      <c r="K7" s="49"/>
      <c r="L7" s="49" t="s">
        <v>186</v>
      </c>
      <c r="M7" s="49" t="s">
        <v>91</v>
      </c>
      <c r="N7" s="53">
        <v>0.25</v>
      </c>
      <c r="O7" s="53">
        <v>0</v>
      </c>
      <c r="P7" s="49" t="s">
        <v>92</v>
      </c>
      <c r="Q7" s="53">
        <v>7.3674999999999997</v>
      </c>
      <c r="R7" s="56">
        <v>44163.938831018517</v>
      </c>
      <c r="S7" s="54">
        <v>44075</v>
      </c>
      <c r="T7" s="49" t="s">
        <v>18</v>
      </c>
      <c r="U7" s="49">
        <v>7</v>
      </c>
      <c r="V7" s="49" t="s">
        <v>223</v>
      </c>
    </row>
    <row r="8" spans="1:26" ht="21" customHeight="1">
      <c r="A8" s="49" t="s">
        <v>215</v>
      </c>
      <c r="B8" s="52"/>
      <c r="C8" s="48" t="s">
        <v>218</v>
      </c>
      <c r="D8" s="48" t="s">
        <v>186</v>
      </c>
      <c r="E8" s="48"/>
      <c r="F8" s="48" t="s">
        <v>186</v>
      </c>
      <c r="G8" s="49"/>
      <c r="H8" s="49" t="s">
        <v>186</v>
      </c>
      <c r="I8" s="49"/>
      <c r="J8" s="49" t="s">
        <v>186</v>
      </c>
      <c r="K8" s="49"/>
      <c r="L8" s="49" t="s">
        <v>186</v>
      </c>
      <c r="M8" s="49" t="s">
        <v>131</v>
      </c>
      <c r="N8" s="53">
        <v>2</v>
      </c>
      <c r="O8" s="53">
        <v>1.00000000011642</v>
      </c>
      <c r="P8" s="56">
        <v>44075.693333333336</v>
      </c>
      <c r="Q8" s="49" t="s">
        <v>92</v>
      </c>
      <c r="R8" s="49" t="s">
        <v>92</v>
      </c>
      <c r="S8" s="54"/>
      <c r="T8" s="49" t="s">
        <v>18</v>
      </c>
      <c r="U8" s="49" t="s">
        <v>92</v>
      </c>
      <c r="V8" s="49" t="s">
        <v>217</v>
      </c>
    </row>
    <row r="9" spans="1:26" ht="21" customHeight="1">
      <c r="A9" s="49" t="s">
        <v>210</v>
      </c>
      <c r="B9" s="52"/>
      <c r="C9" s="48" t="s">
        <v>211</v>
      </c>
      <c r="D9" s="48" t="s">
        <v>186</v>
      </c>
      <c r="E9" s="48"/>
      <c r="F9" s="48" t="s">
        <v>186</v>
      </c>
      <c r="G9" s="49"/>
      <c r="H9" s="49" t="s">
        <v>186</v>
      </c>
      <c r="I9" s="49"/>
      <c r="J9" s="49" t="s">
        <v>186</v>
      </c>
      <c r="K9" s="49"/>
      <c r="L9" s="49" t="s">
        <v>186</v>
      </c>
      <c r="M9" s="49" t="s">
        <v>131</v>
      </c>
      <c r="N9" s="53">
        <v>4</v>
      </c>
      <c r="O9" s="53">
        <v>7.7499999999417897</v>
      </c>
      <c r="P9" s="56">
        <v>44075.827719907407</v>
      </c>
      <c r="Q9" s="49" t="s">
        <v>92</v>
      </c>
      <c r="R9" s="49" t="s">
        <v>92</v>
      </c>
      <c r="S9" s="54"/>
      <c r="T9" s="49" t="s">
        <v>18</v>
      </c>
      <c r="U9" s="49" t="s">
        <v>92</v>
      </c>
      <c r="V9" s="49" t="s">
        <v>209</v>
      </c>
    </row>
    <row r="10" spans="1:26" ht="21" customHeight="1">
      <c r="A10" s="49" t="s">
        <v>194</v>
      </c>
      <c r="B10" s="52"/>
      <c r="C10" s="48" t="s">
        <v>195</v>
      </c>
      <c r="D10" s="48" t="s">
        <v>186</v>
      </c>
      <c r="E10" s="48"/>
      <c r="F10" s="48" t="s">
        <v>186</v>
      </c>
      <c r="G10" s="49"/>
      <c r="H10" s="49" t="s">
        <v>186</v>
      </c>
      <c r="I10" s="49" t="s">
        <v>201</v>
      </c>
      <c r="J10" s="49" t="s">
        <v>186</v>
      </c>
      <c r="K10" s="49"/>
      <c r="L10" s="49" t="s">
        <v>186</v>
      </c>
      <c r="M10" s="49" t="s">
        <v>131</v>
      </c>
      <c r="N10" s="53">
        <v>1</v>
      </c>
      <c r="O10" s="53">
        <v>0.50000000005820799</v>
      </c>
      <c r="P10" s="56" t="s">
        <v>92</v>
      </c>
      <c r="Q10" s="49" t="s">
        <v>92</v>
      </c>
      <c r="R10" s="49" t="s">
        <v>92</v>
      </c>
      <c r="S10" s="54">
        <v>44560</v>
      </c>
      <c r="T10" s="49" t="s">
        <v>18</v>
      </c>
      <c r="U10" s="49" t="s">
        <v>92</v>
      </c>
      <c r="V10" s="49" t="s">
        <v>193</v>
      </c>
    </row>
    <row r="11" spans="1:26" ht="21" customHeight="1">
      <c r="A11" s="49"/>
      <c r="B11" s="52"/>
      <c r="C11" s="48"/>
      <c r="D11" s="48"/>
      <c r="E11" s="48"/>
      <c r="F11" s="48"/>
      <c r="G11" s="49"/>
      <c r="H11" s="49"/>
      <c r="I11" s="49"/>
      <c r="J11" s="49"/>
      <c r="K11" s="49"/>
      <c r="L11" s="49"/>
      <c r="M11" s="49"/>
      <c r="N11" s="53"/>
      <c r="O11" s="53"/>
      <c r="P11" s="56"/>
      <c r="Q11" s="49"/>
      <c r="R11" s="49"/>
      <c r="S11" s="54"/>
      <c r="T11" s="49"/>
      <c r="U11" s="49"/>
      <c r="V11" s="49"/>
    </row>
    <row r="12" spans="1:26" ht="21" customHeight="1">
      <c r="A12" s="49"/>
      <c r="B12" s="52"/>
      <c r="C12" s="48"/>
      <c r="D12" s="48"/>
      <c r="E12" s="48"/>
      <c r="F12" s="48"/>
      <c r="G12" s="49"/>
      <c r="H12" s="49"/>
      <c r="I12" s="49"/>
      <c r="J12" s="49"/>
      <c r="K12" s="49"/>
      <c r="L12" s="49"/>
      <c r="M12" s="49"/>
      <c r="N12" s="53"/>
      <c r="O12" s="53"/>
      <c r="P12" s="56"/>
      <c r="Q12" s="49"/>
      <c r="R12" s="49"/>
      <c r="S12" s="54"/>
      <c r="T12" s="49"/>
      <c r="U12" s="49"/>
      <c r="V12" s="49"/>
    </row>
    <row r="13" spans="1:26" ht="21" customHeight="1">
      <c r="A13" s="38"/>
      <c r="B13" s="34"/>
      <c r="C13" s="22"/>
      <c r="D13" s="22"/>
      <c r="E13" s="22"/>
      <c r="F13" s="22"/>
      <c r="G13" s="23"/>
      <c r="H13" s="23"/>
      <c r="I13" s="38"/>
      <c r="J13" s="38"/>
      <c r="K13" s="38"/>
      <c r="L13" s="38"/>
      <c r="M13" s="38"/>
      <c r="N13" s="39"/>
      <c r="O13" s="38"/>
      <c r="P13" s="38"/>
      <c r="Q13" s="38"/>
      <c r="R13" s="38"/>
      <c r="S13" s="35"/>
      <c r="T13" s="38"/>
      <c r="U13" s="38"/>
      <c r="V13" s="38"/>
    </row>
    <row r="14" spans="1:26" ht="21" customHeight="1">
      <c r="A14" s="23"/>
      <c r="B14" s="34"/>
      <c r="C14" s="22"/>
      <c r="D14" s="22"/>
      <c r="E14" s="22" t="s">
        <v>111</v>
      </c>
      <c r="F14" s="22"/>
      <c r="I14" s="23"/>
      <c r="J14" s="23"/>
      <c r="K14" s="23"/>
      <c r="L14" s="23"/>
      <c r="M14" s="23"/>
      <c r="N14" s="23"/>
      <c r="O14" s="24"/>
      <c r="P14" s="23"/>
      <c r="Q14" s="24"/>
      <c r="R14" s="24"/>
      <c r="S14" s="35"/>
      <c r="V14" s="23"/>
    </row>
    <row r="19" spans="3:4">
      <c r="C19" s="11"/>
      <c r="D19" s="11"/>
    </row>
  </sheetData>
  <dataConsolidate/>
  <phoneticPr fontId="15" type="noConversion"/>
  <conditionalFormatting sqref="B4:B10">
    <cfRule type="containsText" dxfId="63" priority="10" operator="containsText" text="&lt;now&gt;">
      <formula>NOT(ISERROR(SEARCH("&lt;now&gt;",B4)))</formula>
    </cfRule>
  </conditionalFormatting>
  <conditionalFormatting sqref="M4:M10">
    <cfRule type="containsText" dxfId="62" priority="1" operator="containsText" text="Continuous">
      <formula>NOT(ISERROR(SEARCH("Continuous",M4)))</formula>
    </cfRule>
    <cfRule type="containsText" dxfId="61" priority="2" operator="containsText" text="Meta">
      <formula>NOT(ISERROR(SEARCH("Meta",M4)))</formula>
    </cfRule>
    <cfRule type="containsText" dxfId="60" priority="3" operator="containsText" text="Testing/Review">
      <formula>NOT(ISERROR(SEARCH("Testing/Review",M4)))</formula>
    </cfRule>
    <cfRule type="containsText" dxfId="59" priority="5" operator="containsText" text="Note">
      <formula>NOT(ISERROR(SEARCH("Note",M4)))</formula>
    </cfRule>
    <cfRule type="containsText" dxfId="58" priority="11" operator="containsText" text="Done">
      <formula>NOT(ISERROR(SEARCH("Done",M4)))</formula>
    </cfRule>
    <cfRule type="containsText" dxfId="57" priority="12" operator="containsText" text="In progress">
      <formula>NOT(ISERROR(SEARCH("In progress",M4)))</formula>
    </cfRule>
    <cfRule type="containsText" dxfId="56" priority="13" operator="containsText" text="To do">
      <formula>NOT(ISERROR(SEARCH("To do",M4)))</formula>
    </cfRule>
  </conditionalFormatting>
  <conditionalFormatting sqref="S4:S10">
    <cfRule type="cellIs" dxfId="55" priority="4" operator="lessThan">
      <formula>TODAY()</formula>
    </cfRule>
  </conditionalFormatting>
  <conditionalFormatting sqref="U4:U10">
    <cfRule type="colorScale" priority="4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sqref="Q2" xr:uid="{97887939-3BEB-4208-B392-81AF3EE745BF}">
      <formula1>"cumulative, single"</formula1>
    </dataValidation>
    <dataValidation type="list" allowBlank="1" showInputMessage="1" showErrorMessage="1" sqref="R2" xr:uid="{AE25932B-CEE6-4C5E-83FE-7FE3F6CE570D}">
      <formula1>"cumulative,single"</formula1>
    </dataValidation>
    <dataValidation type="list" allowBlank="1" showInputMessage="1" showErrorMessage="1" sqref="M4:M10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T4:T10" xr:uid="{766D8D3E-6ED5-47EC-98D7-2188FA5185B3}">
      <formula1>ContributorVdata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10" xr:uid="{77AD9D4D-2403-4B08-8889-3785B6702005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:I10" xr:uid="{072A1EE0-5111-436F-AA82-7BB5F2F03D4F}">
      <formula1>_Tag_2Vdata</formula1>
    </dataValidation>
  </dataValidations>
  <hyperlinks>
    <hyperlink ref="C6" location="Planning!A1" display="Planning!A1" xr:uid="{00C8E7A7-2E80-4183-933F-3975E4FA5151}"/>
    <hyperlink ref="C4" location="Planning!A1" display="Planning!A1" xr:uid="{1321BC84-BB76-4D91-A9DF-B0A1FDFB085B}"/>
    <hyperlink ref="C5" location="Planning!A1" display="Planning!A1" xr:uid="{95584734-70F3-4D5B-9D2F-FDA405B7C3E8}"/>
    <hyperlink ref="C10" location="Planning!A1" display="Planning!A1" xr:uid="{7794ADAB-AD48-45BA-90B3-144D9C081A06}"/>
    <hyperlink ref="C9" location="Planning!A1" display="Planning!A1" xr:uid="{7BCE2589-0E17-4BC2-A553-95C660550F2E}"/>
    <hyperlink ref="C8" location="Planning!A1" display="Planning!A1" xr:uid="{389C5B0D-D293-4F06-AD91-03A096E7C894}"/>
    <hyperlink ref="C7" location="Planning!A1" display="Planning!A1" xr:uid="{EAA399FC-38CB-4C14-98DC-800C8CFC838D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83820</xdr:rowOff>
                  </from>
                  <to>
                    <xdr:col>2</xdr:col>
                    <xdr:colOff>236220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1226820</xdr:colOff>
                    <xdr:row>0</xdr:row>
                    <xdr:rowOff>83820</xdr:rowOff>
                  </from>
                  <to>
                    <xdr:col>6</xdr:col>
                    <xdr:colOff>807720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2171700</xdr:colOff>
                    <xdr:row>0</xdr:row>
                    <xdr:rowOff>350520</xdr:rowOff>
                  </from>
                  <to>
                    <xdr:col>4</xdr:col>
                    <xdr:colOff>1181100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2171700</xdr:colOff>
                    <xdr:row>0</xdr:row>
                    <xdr:rowOff>83820</xdr:rowOff>
                  </from>
                  <to>
                    <xdr:col>4</xdr:col>
                    <xdr:colOff>1181100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320040</xdr:colOff>
                    <xdr:row>0</xdr:row>
                    <xdr:rowOff>563880</xdr:rowOff>
                  </from>
                  <to>
                    <xdr:col>2</xdr:col>
                    <xdr:colOff>1828800</xdr:colOff>
                    <xdr:row>0</xdr:row>
                    <xdr:rowOff>769620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335280</xdr:colOff>
                    <xdr:row>0</xdr:row>
                    <xdr:rowOff>83820</xdr:rowOff>
                  </from>
                  <to>
                    <xdr:col>2</xdr:col>
                    <xdr:colOff>1836420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845820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845820</xdr:colOff>
                    <xdr:row>0</xdr:row>
                    <xdr:rowOff>335280</xdr:rowOff>
                  </from>
                  <to>
                    <xdr:col>10</xdr:col>
                    <xdr:colOff>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10</xdr:col>
                    <xdr:colOff>60960</xdr:colOff>
                    <xdr:row>0</xdr:row>
                    <xdr:rowOff>68580</xdr:rowOff>
                  </from>
                  <to>
                    <xdr:col>13</xdr:col>
                    <xdr:colOff>30480</xdr:colOff>
                    <xdr:row>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10</xdr:col>
                    <xdr:colOff>60960</xdr:colOff>
                    <xdr:row>0</xdr:row>
                    <xdr:rowOff>335280</xdr:rowOff>
                  </from>
                  <to>
                    <xdr:col>13</xdr:col>
                    <xdr:colOff>30480</xdr:colOff>
                    <xdr:row>0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1226820</xdr:colOff>
                    <xdr:row>0</xdr:row>
                    <xdr:rowOff>350520</xdr:rowOff>
                  </from>
                  <to>
                    <xdr:col>6</xdr:col>
                    <xdr:colOff>807720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845820</xdr:colOff>
                    <xdr:row>0</xdr:row>
                    <xdr:rowOff>594360</xdr:rowOff>
                  </from>
                  <to>
                    <xdr:col>10</xdr:col>
                    <xdr:colOff>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ResetListFormat">
                <anchor>
                  <from>
                    <xdr:col>10</xdr:col>
                    <xdr:colOff>68580</xdr:colOff>
                    <xdr:row>0</xdr:row>
                    <xdr:rowOff>594360</xdr:rowOff>
                  </from>
                  <to>
                    <xdr:col>13</xdr:col>
                    <xdr:colOff>38100</xdr:colOff>
                    <xdr:row>0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17" name="Button 968">
              <controlPr defaultSize="0" print="0" autoFill="0" autoPict="0" macro="[0]!Planning.UI_ShareMetaTaskTime">
                <anchor>
                  <from>
                    <xdr:col>4</xdr:col>
                    <xdr:colOff>1219200</xdr:colOff>
                    <xdr:row>0</xdr:row>
                    <xdr:rowOff>609600</xdr:rowOff>
                  </from>
                  <to>
                    <xdr:col>6</xdr:col>
                    <xdr:colOff>800100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4F79-1EC7-40FF-A08A-6925F46B1038}">
  <sheetPr codeName="EbsSheetTemplate1"/>
  <dimension ref="A15:T49"/>
  <sheetViews>
    <sheetView workbookViewId="0">
      <selection activeCell="C26" sqref="C26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A19" t="s">
        <v>126</v>
      </c>
      <c r="B19" s="17">
        <v>44075.829351851855</v>
      </c>
      <c r="C19" t="s">
        <v>222</v>
      </c>
      <c r="D19" t="s">
        <v>26</v>
      </c>
      <c r="E19" t="s">
        <v>208</v>
      </c>
      <c r="F19" t="s">
        <v>219</v>
      </c>
      <c r="G19" t="s">
        <v>220</v>
      </c>
      <c r="H19" t="s">
        <v>221</v>
      </c>
      <c r="J19" t="s">
        <v>126</v>
      </c>
      <c r="K19" t="s">
        <v>188</v>
      </c>
      <c r="L19">
        <v>1</v>
      </c>
      <c r="M19" s="2">
        <v>0.25000000011641499</v>
      </c>
      <c r="N19" s="2">
        <v>3</v>
      </c>
      <c r="O19" t="s">
        <v>229</v>
      </c>
      <c r="P19" t="s">
        <v>230</v>
      </c>
      <c r="Q19" t="s">
        <v>230</v>
      </c>
      <c r="R19" t="s">
        <v>226</v>
      </c>
      <c r="S19" t="s">
        <v>231</v>
      </c>
      <c r="T19" t="s">
        <v>232</v>
      </c>
    </row>
    <row r="20" spans="1:20">
      <c r="A20" t="s">
        <v>127</v>
      </c>
      <c r="B20" s="17">
        <v>44161.546388888892</v>
      </c>
      <c r="C20" t="s">
        <v>228</v>
      </c>
      <c r="D20" t="s">
        <v>26</v>
      </c>
      <c r="E20" t="s">
        <v>226</v>
      </c>
      <c r="F20" t="s">
        <v>244</v>
      </c>
      <c r="G20" t="s">
        <v>245</v>
      </c>
      <c r="H20" t="s">
        <v>227</v>
      </c>
      <c r="J20" t="s">
        <v>127</v>
      </c>
      <c r="K20" t="s">
        <v>190</v>
      </c>
      <c r="L20">
        <v>2</v>
      </c>
      <c r="M20" s="2">
        <v>0.420833333395422</v>
      </c>
      <c r="N20" s="2">
        <v>2</v>
      </c>
      <c r="O20" t="s">
        <v>233</v>
      </c>
      <c r="P20" t="s">
        <v>234</v>
      </c>
      <c r="Q20" t="s">
        <v>235</v>
      </c>
      <c r="R20" t="s">
        <v>226</v>
      </c>
      <c r="S20" t="s">
        <v>236</v>
      </c>
      <c r="T20" t="s">
        <v>237</v>
      </c>
    </row>
    <row r="21" spans="1:20">
      <c r="B21" s="17"/>
      <c r="J21" t="s">
        <v>191</v>
      </c>
      <c r="K21" t="s">
        <v>185</v>
      </c>
      <c r="L21">
        <v>3</v>
      </c>
      <c r="M21" s="2">
        <v>0</v>
      </c>
      <c r="N21" s="2">
        <v>6</v>
      </c>
      <c r="O21" t="s">
        <v>238</v>
      </c>
      <c r="P21" t="s">
        <v>238</v>
      </c>
      <c r="Q21" t="s">
        <v>239</v>
      </c>
      <c r="R21" t="s">
        <v>226</v>
      </c>
      <c r="S21" t="s">
        <v>240</v>
      </c>
      <c r="T21" t="s">
        <v>241</v>
      </c>
    </row>
    <row r="22" spans="1:20">
      <c r="B22" s="17"/>
      <c r="J22" t="s">
        <v>194</v>
      </c>
      <c r="K22" t="s">
        <v>223</v>
      </c>
      <c r="L22">
        <v>4</v>
      </c>
      <c r="M22" s="2">
        <v>0</v>
      </c>
      <c r="N22" s="2">
        <v>0.25</v>
      </c>
      <c r="O22" t="s">
        <v>242</v>
      </c>
      <c r="P22" t="s">
        <v>242</v>
      </c>
      <c r="Q22" t="s">
        <v>243</v>
      </c>
      <c r="R22" t="s">
        <v>226</v>
      </c>
      <c r="S22" t="s">
        <v>244</v>
      </c>
      <c r="T22" t="s">
        <v>245</v>
      </c>
    </row>
    <row r="23" spans="1:20">
      <c r="B23" s="17"/>
      <c r="M23" s="2"/>
      <c r="N23" s="2"/>
    </row>
    <row r="24" spans="1:20">
      <c r="B24" s="17"/>
      <c r="M24" s="2"/>
      <c r="N24" s="2"/>
    </row>
    <row r="25" spans="1:20">
      <c r="B25" s="17"/>
      <c r="M25" s="2"/>
      <c r="N25" s="2"/>
    </row>
    <row r="26" spans="1:20">
      <c r="B26" s="17"/>
      <c r="M26" s="2"/>
      <c r="N26" s="2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4" spans="2:2">
      <c r="B44" s="17"/>
    </row>
    <row r="47" spans="2:2">
      <c r="B47" s="17"/>
    </row>
    <row r="48" spans="2:2">
      <c r="B48" s="17"/>
    </row>
    <row r="49" spans="2:2">
      <c r="B49" s="17"/>
    </row>
  </sheetData>
  <mergeCells count="2">
    <mergeCell ref="F15:H15"/>
    <mergeCell ref="F16:H16"/>
  </mergeCells>
  <conditionalFormatting sqref="D1:D1048576">
    <cfRule type="containsText" dxfId="54" priority="1" operator="containsText" text="No">
      <formula>NOT(ISERROR(SEARCH("No",D1)))</formula>
    </cfRule>
    <cfRule type="containsText" dxfId="53" priority="2" operator="containsText" text="Yes">
      <formula>NOT(ISERROR(SEARCH("Yes",D1)))</formula>
    </cfRule>
  </conditionalFormatting>
  <dataValidations count="3">
    <dataValidation type="list" allowBlank="1" showInputMessage="1" showErrorMessage="1" sqref="D19:D20" xr:uid="{503D7EF0-BD68-4F1B-A08C-1DC78EBBFB1D}">
      <formula1>"Yes,No"</formula1>
    </dataValidation>
    <dataValidation type="list" allowBlank="1" showInputMessage="1" showErrorMessage="1" sqref="F16" xr:uid="{EE947B28-D3C6-4A37-A818-455F3BE76CCF}">
      <formula1>"Time,Date"</formula1>
    </dataValidation>
    <dataValidation type="list" allowBlank="1" showInputMessage="1" showErrorMessage="1" sqref="F15:H15" xr:uid="{8321FCB0-644F-4631-8E04-3C5EC294D44A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F21" sqref="F21"/>
    </sheetView>
  </sheetViews>
  <sheetFormatPr defaultColWidth="11.5546875" defaultRowHeight="14.4"/>
  <cols>
    <col min="1" max="1" width="17" customWidth="1"/>
    <col min="2" max="3" width="15.6640625" bestFit="1" customWidth="1"/>
    <col min="4" max="4" width="13.109375" bestFit="1" customWidth="1"/>
  </cols>
  <sheetData>
    <row r="1" spans="1:4">
      <c r="A1" s="10" t="s">
        <v>103</v>
      </c>
    </row>
    <row r="2" spans="1:4">
      <c r="A2" s="10"/>
    </row>
    <row r="3" spans="1:4">
      <c r="A3" t="s">
        <v>104</v>
      </c>
      <c r="B3" s="29">
        <v>44072</v>
      </c>
      <c r="C3" s="27"/>
      <c r="D3" s="27"/>
    </row>
    <row r="4" spans="1:4">
      <c r="A4" t="s">
        <v>105</v>
      </c>
      <c r="B4" s="29">
        <v>44073</v>
      </c>
      <c r="C4" s="27"/>
      <c r="D4" s="27"/>
    </row>
    <row r="5" spans="1:4">
      <c r="A5" t="s">
        <v>106</v>
      </c>
      <c r="B5" s="26" t="s">
        <v>128</v>
      </c>
      <c r="C5" s="27"/>
      <c r="D5" s="27"/>
    </row>
    <row r="6" spans="1:4" ht="27" customHeight="1"/>
    <row r="8" spans="1:4" ht="15" thickBot="1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>
      <c r="A9" s="30" t="s">
        <v>126</v>
      </c>
      <c r="B9" s="31">
        <v>44072</v>
      </c>
      <c r="C9" s="31">
        <v>44073</v>
      </c>
      <c r="D9" s="32">
        <v>5.5555568542331501E-4</v>
      </c>
    </row>
    <row r="10" spans="1:4">
      <c r="A10" s="30" t="s">
        <v>127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30480</xdr:colOff>
                    <xdr:row>5</xdr:row>
                    <xdr:rowOff>60960</xdr:rowOff>
                  </from>
                  <to>
                    <xdr:col>1</xdr:col>
                    <xdr:colOff>312420</xdr:colOff>
                    <xdr:row>5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workbookViewId="0">
      <selection activeCell="B25" sqref="B25"/>
    </sheetView>
  </sheetViews>
  <sheetFormatPr defaultColWidth="11.5546875" defaultRowHeight="14.4"/>
  <cols>
    <col min="1" max="1" width="24.88671875" bestFit="1" customWidth="1"/>
    <col min="2" max="2" width="25.109375" bestFit="1" customWidth="1"/>
    <col min="3" max="4" width="25.109375" customWidth="1"/>
    <col min="5" max="5" width="23.6640625" bestFit="1" customWidth="1"/>
    <col min="6" max="6" width="20.33203125" bestFit="1" customWidth="1"/>
    <col min="7" max="7" width="19.44140625" bestFit="1" customWidth="1"/>
    <col min="8" max="8" width="19.6640625" bestFit="1" customWidth="1"/>
    <col min="9" max="9" width="25.88671875" bestFit="1" customWidth="1"/>
    <col min="10" max="10" width="26.109375" bestFit="1" customWidth="1"/>
  </cols>
  <sheetData>
    <row r="1" spans="1:10">
      <c r="A1" s="4" t="s">
        <v>24</v>
      </c>
    </row>
    <row r="2" spans="1:10">
      <c r="H2" s="25" t="s">
        <v>100</v>
      </c>
    </row>
    <row r="3" spans="1:10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>
      <c r="A4" t="s">
        <v>18</v>
      </c>
      <c r="B4" s="12" t="s">
        <v>171</v>
      </c>
      <c r="C4" t="s">
        <v>173</v>
      </c>
      <c r="D4" t="s">
        <v>172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>
      <c r="B5" s="12"/>
      <c r="E5" s="13"/>
      <c r="F5" s="13"/>
      <c r="G5" s="13"/>
      <c r="I5" s="2"/>
      <c r="J5" s="2"/>
    </row>
    <row r="6" spans="1:10">
      <c r="A6" t="s">
        <v>110</v>
      </c>
      <c r="B6" s="19" t="s">
        <v>109</v>
      </c>
      <c r="E6" s="13"/>
      <c r="F6" s="13"/>
      <c r="G6" s="13"/>
      <c r="I6" s="2"/>
      <c r="J6" s="2"/>
    </row>
    <row r="7" spans="1:10">
      <c r="B7" s="5"/>
      <c r="C7" s="5"/>
      <c r="D7" s="5"/>
      <c r="E7" s="5"/>
    </row>
    <row r="8" spans="1:10">
      <c r="A8" t="s">
        <v>78</v>
      </c>
      <c r="B8" s="19"/>
      <c r="C8" s="5"/>
      <c r="D8" s="5"/>
      <c r="E8" s="5"/>
    </row>
    <row r="9" spans="1:10">
      <c r="A9" t="s">
        <v>79</v>
      </c>
      <c r="B9" s="21"/>
      <c r="C9" s="5"/>
      <c r="D9" s="5"/>
    </row>
    <row r="10" spans="1:10">
      <c r="A10" t="s">
        <v>80</v>
      </c>
      <c r="B10" s="20"/>
      <c r="C10" s="5"/>
      <c r="D10" s="5"/>
      <c r="E10" s="5"/>
    </row>
    <row r="12" spans="1:10">
      <c r="B12" t="s">
        <v>89</v>
      </c>
      <c r="C12" t="s">
        <v>173</v>
      </c>
    </row>
    <row r="13" spans="1:10">
      <c r="B13" t="s">
        <v>88</v>
      </c>
      <c r="C13" t="s">
        <v>172</v>
      </c>
      <c r="D13" s="2"/>
      <c r="E13" s="2"/>
    </row>
    <row r="14" spans="1:10">
      <c r="B14" s="2" t="s">
        <v>90</v>
      </c>
      <c r="C14" s="12" t="s">
        <v>171</v>
      </c>
    </row>
    <row r="17" spans="1:2">
      <c r="A17" t="s">
        <v>83</v>
      </c>
    </row>
    <row r="19" spans="1:2">
      <c r="A19" s="10" t="s">
        <v>141</v>
      </c>
    </row>
    <row r="20" spans="1:2">
      <c r="A20" s="10"/>
    </row>
    <row r="21" spans="1:2">
      <c r="B21" t="s">
        <v>139</v>
      </c>
    </row>
    <row r="23" spans="1:2">
      <c r="B23" t="s">
        <v>140</v>
      </c>
    </row>
    <row r="25" spans="1:2">
      <c r="A25" t="s">
        <v>112</v>
      </c>
      <c r="B25" s="19" t="s">
        <v>142</v>
      </c>
    </row>
  </sheetData>
  <hyperlinks>
    <hyperlink ref="A1" location="Planning!A1" display="Go back to 'Planning' sheet" xr:uid="{D2DA156D-5AF1-4194-A684-BD3896B6772A}"/>
    <hyperlink ref="C14" r:id="rId1" xr:uid="{23D9C93D-2FA6-4A2B-9982-8DA77BB5DA44}"/>
    <hyperlink ref="B4" r:id="rId2" xr:uid="{EEB82F1A-065C-4155-89AB-AF4F0B272850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7620</xdr:colOff>
                    <xdr:row>15</xdr:row>
                    <xdr:rowOff>175260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30480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7620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7620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5" sqref="C15"/>
    </sheetView>
  </sheetViews>
  <sheetFormatPr defaultColWidth="11.5546875" defaultRowHeight="14.4"/>
  <cols>
    <col min="1" max="1" width="14.44140625" bestFit="1" customWidth="1"/>
    <col min="2" max="2" width="15.6640625" bestFit="1" customWidth="1"/>
    <col min="3" max="3" width="60.6640625" customWidth="1"/>
    <col min="4" max="4" width="28.6640625" customWidth="1"/>
    <col min="5" max="5" width="10.5546875" bestFit="1" customWidth="1"/>
  </cols>
  <sheetData>
    <row r="3" spans="1: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>
      <c r="B4" s="1"/>
    </row>
  </sheetData>
  <conditionalFormatting sqref="E4">
    <cfRule type="containsText" dxfId="37" priority="1" operator="containsText" text="Verbose">
      <formula>NOT(ISERROR(SEARCH("Verbose",E4)))</formula>
    </cfRule>
    <cfRule type="containsText" dxfId="36" priority="2" operator="containsText" text="Info">
      <formula>NOT(ISERROR(SEARCH("Info",E4)))</formula>
    </cfRule>
    <cfRule type="containsText" dxfId="35" priority="3" operator="containsText" text="Warning">
      <formula>NOT(ISERROR(SEARCH("Warning",E4)))</formula>
    </cfRule>
    <cfRule type="containsText" dxfId="34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defaultColWidth="11.44140625" defaultRowHeight="14.4"/>
  <cols>
    <col min="1" max="1" width="24.88671875" bestFit="1" customWidth="1"/>
    <col min="2" max="2" width="20.6640625" bestFit="1" customWidth="1"/>
    <col min="3" max="3" width="18.109375" bestFit="1" customWidth="1"/>
    <col min="4" max="4" width="16.33203125" customWidth="1"/>
    <col min="5" max="5" width="11.109375" bestFit="1" customWidth="1"/>
    <col min="6" max="7" width="10" bestFit="1" customWidth="1"/>
    <col min="8" max="8" width="2.88671875" customWidth="1"/>
    <col min="9" max="9" width="22.44140625" bestFit="1" customWidth="1"/>
    <col min="10" max="10" width="25.88671875" bestFit="1" customWidth="1"/>
    <col min="11" max="11" width="14.6640625" bestFit="1" customWidth="1"/>
    <col min="12" max="12" width="15.6640625" bestFit="1" customWidth="1"/>
    <col min="13" max="13" width="29.6640625" bestFit="1" customWidth="1"/>
  </cols>
  <sheetData>
    <row r="1" spans="1:13">
      <c r="A1" s="4" t="s">
        <v>24</v>
      </c>
      <c r="I1" t="s">
        <v>137</v>
      </c>
      <c r="J1" t="s">
        <v>138</v>
      </c>
    </row>
    <row r="2" spans="1:13">
      <c r="A2" t="s">
        <v>3</v>
      </c>
      <c r="B2" t="s">
        <v>92</v>
      </c>
    </row>
    <row r="3" spans="1:13">
      <c r="A3" t="s">
        <v>77</v>
      </c>
      <c r="B3" s="2" t="s">
        <v>92</v>
      </c>
      <c r="C3" t="s">
        <v>4</v>
      </c>
    </row>
    <row r="4" spans="1:13">
      <c r="A4" t="s">
        <v>0</v>
      </c>
      <c r="B4" s="2">
        <f>SUM(TimeEntries[Time delta in h])</f>
        <v>0</v>
      </c>
      <c r="C4" t="s">
        <v>4</v>
      </c>
    </row>
    <row r="5" spans="1:13">
      <c r="A5" t="s">
        <v>13</v>
      </c>
      <c r="B5" s="5" t="s">
        <v>92</v>
      </c>
    </row>
    <row r="6" spans="1:13">
      <c r="A6" t="s">
        <v>14</v>
      </c>
      <c r="B6" s="5" t="s">
        <v>18</v>
      </c>
    </row>
    <row r="7" spans="1:13">
      <c r="A7" t="s">
        <v>1</v>
      </c>
      <c r="B7" t="s">
        <v>91</v>
      </c>
    </row>
    <row r="8" spans="1:13">
      <c r="A8" t="s">
        <v>15</v>
      </c>
      <c r="B8" s="5" t="s">
        <v>92</v>
      </c>
    </row>
    <row r="9" spans="1:13">
      <c r="A9" t="s">
        <v>2</v>
      </c>
    </row>
    <row r="10" spans="1:13">
      <c r="A10" t="s">
        <v>46</v>
      </c>
      <c r="B10" t="s">
        <v>92</v>
      </c>
    </row>
    <row r="11" spans="1:13">
      <c r="A11" t="s">
        <v>5</v>
      </c>
      <c r="B11" s="2" t="e">
        <f>B3/SUM(TimeEntries[Time delta in h])</f>
        <v>#VALUE!</v>
      </c>
      <c r="C11" t="s">
        <v>6</v>
      </c>
    </row>
    <row r="12" spans="1:13">
      <c r="A12" t="s">
        <v>93</v>
      </c>
    </row>
    <row r="13" spans="1:13">
      <c r="A13" t="s">
        <v>94</v>
      </c>
    </row>
    <row r="14" spans="1:13">
      <c r="A14" t="s">
        <v>129</v>
      </c>
      <c r="B14" t="s">
        <v>92</v>
      </c>
    </row>
    <row r="16" spans="1:13">
      <c r="A16" t="s">
        <v>10</v>
      </c>
      <c r="B16" t="s">
        <v>7</v>
      </c>
      <c r="C16" t="s">
        <v>8</v>
      </c>
      <c r="D16" t="s">
        <v>9</v>
      </c>
      <c r="E16" t="s">
        <v>136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53"/>
  <sheetViews>
    <sheetView topLeftCell="A8" workbookViewId="0">
      <selection activeCell="E16" sqref="E16"/>
    </sheetView>
  </sheetViews>
  <sheetFormatPr defaultColWidth="11.44140625" defaultRowHeight="14.4"/>
  <sheetData>
    <row r="1" spans="1:2">
      <c r="A1" s="10" t="s">
        <v>33</v>
      </c>
    </row>
    <row r="2" spans="1:2">
      <c r="A2" t="s">
        <v>19</v>
      </c>
    </row>
    <row r="3" spans="1:2">
      <c r="A3" t="s">
        <v>20</v>
      </c>
    </row>
    <row r="8" spans="1:2">
      <c r="A8" s="10" t="s">
        <v>170</v>
      </c>
    </row>
    <row r="9" spans="1:2">
      <c r="A9" t="s">
        <v>28</v>
      </c>
    </row>
    <row r="10" spans="1:2">
      <c r="B10" t="s">
        <v>175</v>
      </c>
    </row>
    <row r="11" spans="1:2">
      <c r="B11" t="s">
        <v>182</v>
      </c>
    </row>
    <row r="12" spans="1:2">
      <c r="B12" t="s">
        <v>178</v>
      </c>
    </row>
    <row r="13" spans="1:2">
      <c r="B13" t="s">
        <v>181</v>
      </c>
    </row>
    <row r="14" spans="1:2">
      <c r="B14" t="s">
        <v>179</v>
      </c>
    </row>
    <row r="15" spans="1:2">
      <c r="B15" t="s">
        <v>180</v>
      </c>
    </row>
    <row r="16" spans="1:2">
      <c r="B16" t="s">
        <v>184</v>
      </c>
    </row>
    <row r="17" spans="1:2">
      <c r="A17" t="s">
        <v>31</v>
      </c>
    </row>
    <row r="18" spans="1:2">
      <c r="B18" t="s">
        <v>174</v>
      </c>
    </row>
    <row r="19" spans="1:2">
      <c r="B19" t="s">
        <v>176</v>
      </c>
    </row>
    <row r="20" spans="1:2">
      <c r="B20" t="s">
        <v>177</v>
      </c>
    </row>
    <row r="21" spans="1:2">
      <c r="B21" t="s">
        <v>183</v>
      </c>
    </row>
    <row r="22" spans="1:2">
      <c r="A22" s="10" t="s">
        <v>118</v>
      </c>
    </row>
    <row r="23" spans="1:2">
      <c r="A23" s="6" t="s">
        <v>28</v>
      </c>
    </row>
    <row r="24" spans="1:2">
      <c r="B24" t="s">
        <v>119</v>
      </c>
    </row>
    <row r="25" spans="1:2">
      <c r="B25" t="s">
        <v>120</v>
      </c>
    </row>
    <row r="26" spans="1:2">
      <c r="B26" t="s">
        <v>123</v>
      </c>
    </row>
    <row r="27" spans="1:2">
      <c r="B27" t="s">
        <v>125</v>
      </c>
    </row>
    <row r="28" spans="1:2">
      <c r="A28" t="s">
        <v>31</v>
      </c>
    </row>
    <row r="29" spans="1:2">
      <c r="B29" t="s">
        <v>124</v>
      </c>
    </row>
    <row r="30" spans="1:2">
      <c r="A30" s="10" t="s">
        <v>121</v>
      </c>
    </row>
    <row r="31" spans="1:2">
      <c r="B31" t="s">
        <v>122</v>
      </c>
    </row>
    <row r="32" spans="1:2">
      <c r="A32" s="10" t="s">
        <v>95</v>
      </c>
      <c r="B32" s="10"/>
    </row>
    <row r="33" spans="1:3">
      <c r="B33" t="s">
        <v>99</v>
      </c>
    </row>
    <row r="34" spans="1:3">
      <c r="B34" t="s">
        <v>96</v>
      </c>
    </row>
    <row r="35" spans="1:3">
      <c r="B35" t="s">
        <v>97</v>
      </c>
    </row>
    <row r="36" spans="1:3">
      <c r="B36" t="s">
        <v>98</v>
      </c>
    </row>
    <row r="37" spans="1:3">
      <c r="A37" s="10" t="s">
        <v>56</v>
      </c>
    </row>
    <row r="38" spans="1:3">
      <c r="B38" t="s">
        <v>57</v>
      </c>
    </row>
    <row r="39" spans="1:3">
      <c r="A39" s="10" t="s">
        <v>50</v>
      </c>
    </row>
    <row r="40" spans="1:3">
      <c r="B40" t="s">
        <v>51</v>
      </c>
    </row>
    <row r="41" spans="1:3">
      <c r="C41" t="s">
        <v>52</v>
      </c>
    </row>
    <row r="42" spans="1:3">
      <c r="C42" t="s">
        <v>54</v>
      </c>
    </row>
    <row r="43" spans="1:3">
      <c r="B43" t="s">
        <v>55</v>
      </c>
    </row>
    <row r="44" spans="1:3">
      <c r="B44" t="s">
        <v>53</v>
      </c>
    </row>
    <row r="45" spans="1:3">
      <c r="A45" s="10" t="s">
        <v>45</v>
      </c>
    </row>
    <row r="46" spans="1:3">
      <c r="A46" t="s">
        <v>28</v>
      </c>
    </row>
    <row r="47" spans="1:3">
      <c r="B47" t="s">
        <v>44</v>
      </c>
    </row>
    <row r="48" spans="1:3">
      <c r="A48" s="10" t="s">
        <v>27</v>
      </c>
    </row>
    <row r="49" spans="1:2">
      <c r="A49" t="s">
        <v>28</v>
      </c>
    </row>
    <row r="50" spans="1:2">
      <c r="B50" t="s">
        <v>29</v>
      </c>
    </row>
    <row r="51" spans="1:2">
      <c r="B51" t="s">
        <v>30</v>
      </c>
    </row>
    <row r="52" spans="1:2">
      <c r="A52" t="s">
        <v>31</v>
      </c>
    </row>
    <row r="53" spans="1:2">
      <c r="B53" t="s">
        <v>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23"/>
  <sheetViews>
    <sheetView workbookViewId="0">
      <selection activeCell="B13" sqref="B13"/>
    </sheetView>
  </sheetViews>
  <sheetFormatPr defaultColWidth="11.5546875" defaultRowHeight="14.4"/>
  <sheetData>
    <row r="1" spans="1:5">
      <c r="E1" s="40" t="s">
        <v>135</v>
      </c>
    </row>
    <row r="2" spans="1: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>
      <c r="A3" t="s">
        <v>169</v>
      </c>
      <c r="B3" t="s">
        <v>18</v>
      </c>
      <c r="C3" t="s">
        <v>201</v>
      </c>
      <c r="D3" t="s">
        <v>246</v>
      </c>
      <c r="E3" t="s">
        <v>132</v>
      </c>
    </row>
    <row r="4" spans="1:5">
      <c r="A4" t="s">
        <v>134</v>
      </c>
      <c r="D4" t="s">
        <v>196</v>
      </c>
      <c r="E4" t="s">
        <v>91</v>
      </c>
    </row>
    <row r="5" spans="1:5">
      <c r="A5" t="s">
        <v>163</v>
      </c>
      <c r="D5" t="s">
        <v>199</v>
      </c>
      <c r="E5" t="s">
        <v>130</v>
      </c>
    </row>
    <row r="6" spans="1:5">
      <c r="A6" t="s">
        <v>164</v>
      </c>
      <c r="E6" t="s">
        <v>143</v>
      </c>
    </row>
    <row r="7" spans="1:5">
      <c r="A7" t="s">
        <v>148</v>
      </c>
      <c r="E7" t="s">
        <v>131</v>
      </c>
    </row>
    <row r="8" spans="1:5">
      <c r="A8" t="s">
        <v>162</v>
      </c>
      <c r="E8" t="s">
        <v>134</v>
      </c>
    </row>
    <row r="9" spans="1:5">
      <c r="A9" t="s">
        <v>160</v>
      </c>
      <c r="E9" t="s">
        <v>133</v>
      </c>
    </row>
    <row r="10" spans="1:5">
      <c r="A10" t="s">
        <v>161</v>
      </c>
    </row>
    <row r="11" spans="1:5">
      <c r="A11" t="s">
        <v>159</v>
      </c>
    </row>
    <row r="12" spans="1:5">
      <c r="A12" t="s">
        <v>158</v>
      </c>
    </row>
    <row r="13" spans="1:5">
      <c r="A13" t="s">
        <v>157</v>
      </c>
    </row>
    <row r="14" spans="1:5">
      <c r="A14" t="s">
        <v>156</v>
      </c>
    </row>
    <row r="15" spans="1:5">
      <c r="A15" t="s">
        <v>155</v>
      </c>
    </row>
    <row r="16" spans="1:5">
      <c r="A16" t="s">
        <v>154</v>
      </c>
    </row>
    <row r="17" spans="1:1">
      <c r="A17" t="s">
        <v>149</v>
      </c>
    </row>
    <row r="18" spans="1:1">
      <c r="A18" t="s">
        <v>152</v>
      </c>
    </row>
    <row r="19" spans="1:1">
      <c r="A19" t="s">
        <v>153</v>
      </c>
    </row>
    <row r="20" spans="1:1">
      <c r="A20" t="s">
        <v>151</v>
      </c>
    </row>
    <row r="21" spans="1:1">
      <c r="A21" t="s">
        <v>150</v>
      </c>
    </row>
    <row r="22" spans="1:1">
      <c r="A22" t="s">
        <v>146</v>
      </c>
    </row>
    <row r="23" spans="1:1">
      <c r="A23" t="s">
        <v>147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defaultColWidth="11.5546875" defaultRowHeight="14.4"/>
  <cols>
    <col min="1" max="1" width="14.6640625" customWidth="1"/>
    <col min="2" max="2" width="17.33203125" bestFit="1" customWidth="1"/>
    <col min="3" max="3" width="40.109375" customWidth="1"/>
    <col min="4" max="4" width="13.5546875" bestFit="1" customWidth="1"/>
    <col min="5" max="5" width="27.6640625" customWidth="1"/>
    <col min="6" max="6" width="25" bestFit="1" customWidth="1"/>
    <col min="7" max="7" width="24.88671875" bestFit="1" customWidth="1"/>
    <col min="8" max="8" width="14.6640625" customWidth="1"/>
    <col min="9" max="9" width="2.88671875" customWidth="1"/>
    <col min="10" max="10" width="22.109375" bestFit="1" customWidth="1"/>
    <col min="11" max="11" width="22.109375" customWidth="1"/>
    <col min="12" max="12" width="16.5546875" bestFit="1" customWidth="1"/>
    <col min="13" max="13" width="19" bestFit="1" customWidth="1"/>
    <col min="14" max="14" width="20.44140625" bestFit="1" customWidth="1"/>
    <col min="15" max="15" width="28.88671875" bestFit="1" customWidth="1"/>
    <col min="16" max="16" width="23.33203125" bestFit="1" customWidth="1"/>
    <col min="17" max="17" width="25.5546875" bestFit="1" customWidth="1"/>
    <col min="18" max="18" width="28" bestFit="1" customWidth="1"/>
    <col min="19" max="19" width="30" bestFit="1" customWidth="1"/>
    <col min="20" max="20" width="29.88671875" bestFit="1" customWidth="1"/>
  </cols>
  <sheetData>
    <row r="15" spans="5:8">
      <c r="E15" s="14" t="s">
        <v>74</v>
      </c>
      <c r="F15" s="57" t="s">
        <v>75</v>
      </c>
      <c r="G15" s="58"/>
      <c r="H15" s="58"/>
    </row>
    <row r="16" spans="5:8">
      <c r="E16" s="14" t="s">
        <v>73</v>
      </c>
      <c r="F16" s="57" t="s">
        <v>36</v>
      </c>
      <c r="G16" s="58"/>
      <c r="H16" s="58"/>
    </row>
    <row r="17" spans="1:20">
      <c r="J17" s="10" t="s">
        <v>43</v>
      </c>
      <c r="K17" s="10"/>
    </row>
    <row r="18" spans="1:20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>
      <c r="B19" s="17"/>
      <c r="D19" t="s">
        <v>26</v>
      </c>
      <c r="M19" s="2"/>
      <c r="N19" s="2"/>
    </row>
    <row r="20" spans="1:20">
      <c r="B20" s="17"/>
      <c r="M20" s="2"/>
      <c r="N20" s="2"/>
    </row>
    <row r="21" spans="1:20">
      <c r="B21" s="17"/>
      <c r="M21" s="2"/>
      <c r="N21" s="2"/>
    </row>
    <row r="22" spans="1:20">
      <c r="B22" s="17"/>
      <c r="M22" s="2"/>
      <c r="N22" s="2"/>
    </row>
    <row r="23" spans="1:20">
      <c r="B23" s="17"/>
      <c r="M23" s="2"/>
      <c r="N23" s="2"/>
    </row>
    <row r="24" spans="1:20">
      <c r="B24" s="17"/>
    </row>
    <row r="25" spans="1:20">
      <c r="B25" s="17"/>
    </row>
    <row r="26" spans="1:20">
      <c r="B26" s="17"/>
    </row>
    <row r="27" spans="1:20">
      <c r="B27" s="17"/>
    </row>
    <row r="28" spans="1:20">
      <c r="B28" s="17"/>
    </row>
    <row r="29" spans="1:20">
      <c r="B29" s="17"/>
    </row>
    <row r="30" spans="1:20">
      <c r="B30" s="17"/>
    </row>
    <row r="31" spans="1:20">
      <c r="B31" s="17"/>
    </row>
    <row r="32" spans="1:20">
      <c r="B32" s="17"/>
    </row>
    <row r="33" spans="2:2">
      <c r="B33" s="17"/>
    </row>
    <row r="34" spans="2:2">
      <c r="B34" s="17"/>
    </row>
    <row r="35" spans="2:2">
      <c r="B35" s="17"/>
    </row>
    <row r="36" spans="2:2">
      <c r="B36" s="17"/>
    </row>
    <row r="37" spans="2:2">
      <c r="B37" s="17"/>
    </row>
    <row r="38" spans="2:2">
      <c r="B38" s="17"/>
    </row>
    <row r="39" spans="2:2">
      <c r="B39" s="17"/>
    </row>
    <row r="40" spans="2:2">
      <c r="B40" s="17"/>
    </row>
    <row r="41" spans="2:2">
      <c r="B41" s="17"/>
    </row>
    <row r="42" spans="2:2">
      <c r="B42" s="17"/>
    </row>
    <row r="43" spans="2:2">
      <c r="B43" s="17"/>
    </row>
    <row r="46" spans="2:2">
      <c r="B46" s="17"/>
    </row>
    <row r="47" spans="2:2">
      <c r="B47" s="17"/>
    </row>
    <row r="48" spans="2:2">
      <c r="B48" s="17"/>
    </row>
  </sheetData>
  <mergeCells count="2">
    <mergeCell ref="F15:H15"/>
    <mergeCell ref="F16:H16"/>
  </mergeCells>
  <conditionalFormatting sqref="D1:D1048576">
    <cfRule type="containsText" dxfId="27" priority="1" operator="containsText" text="No">
      <formula>NOT(ISERROR(SEARCH("No",D1)))</formula>
    </cfRule>
    <cfRule type="containsText" dxfId="26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:D20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VSHEET_STOR_7E980E</vt:lpstr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 Weihsbach</cp:lastModifiedBy>
  <cp:revision/>
  <cp:lastPrinted>2019-05-10T22:09:49Z</cp:lastPrinted>
  <dcterms:created xsi:type="dcterms:W3CDTF">2019-04-11T19:18:12Z</dcterms:created>
  <dcterms:modified xsi:type="dcterms:W3CDTF">2020-11-26T19:32:44Z</dcterms:modified>
  <cp:category/>
  <cp:contentStatus/>
</cp:coreProperties>
</file>