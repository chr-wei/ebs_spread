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422EFD27-BEEB-49EB-860B-6017F5C0F0F6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EbsSheet (Me)" sheetId="1430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ersion info" sheetId="3" r:id="rId8"/>
    <sheet name="List validation data" sheetId="1425" state="hidden" r:id="rId9"/>
    <sheet name="EbsSheet template" sheetId="440" state="hidden" r:id="rId10"/>
  </sheets>
  <functionGroups builtInGroupCount="19"/>
  <definedNames>
    <definedName name="_Tag_1Vdata">'List validation data'!$D$3:$D$5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0" i="1432" l="1"/>
  <c r="M160" i="1432" s="1"/>
  <c r="L159" i="1432"/>
  <c r="M159" i="1432" s="1"/>
  <c r="L158" i="1432"/>
  <c r="M158" i="1432" s="1"/>
  <c r="L157" i="1432"/>
  <c r="M157" i="1432" s="1"/>
  <c r="L156" i="1432"/>
  <c r="M156" i="1432" s="1"/>
  <c r="L155" i="1432"/>
  <c r="M155" i="1432" s="1"/>
  <c r="D155" i="1432"/>
  <c r="L154" i="1432"/>
  <c r="M154" i="1432" s="1"/>
  <c r="D154" i="1432"/>
  <c r="B148" i="1432" s="1"/>
  <c r="B141" i="1432" l="1"/>
  <c r="D129" i="1432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B45" i="1432" s="1"/>
  <c r="D38" i="1432"/>
  <c r="B32" i="1432" s="1"/>
  <c r="D18" i="1432"/>
  <c r="B12" i="1432" s="1"/>
  <c r="B52" i="1432" l="1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tc={1091B406-9F52-4589-8D93-67E9BCF9C841}</author>
  </authors>
  <commentList>
    <comment ref="P18" authorId="0" shapeId="0" xr:uid="{1091B406-9F52-4589-8D93-67E9BCF9C841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<sst xmlns="http://schemas.openxmlformats.org/spreadsheetml/2006/main" count="735" uniqueCount="247">
  <si>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</si>
  <si>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</si>
  <si>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</si>
  <si>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</si>
  <si>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</si>
  <si>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</si>
  <si>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</si>
  <si>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</si>
  <si>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</si>
  <si>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</si>
  <si>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</si>
  <si>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</si>
  <si>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</si>
  <si>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</si>
  <si>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</si>
  <si>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</si>
  <si>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</si>
  <si>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</si>
  <si>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</si>
  <si>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</si>
  <si>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</si>
  <si>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</si>
  <si>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</si>
  <si>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</si>
  <si>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</si>
  <si>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</si>
  <si>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</si>
  <si>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</si>
  <si>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</si>
  <si>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</si>
  <si>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</si>
  <si>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</si>
  <si>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</si>
  <si>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</si>
  <si>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</si>
  <si>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</si>
  <si>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</si>
  <si>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</si>
  <si>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</si>
  <si>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</si>
  <si>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</si>
  <si>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</si>
  <si>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</si>
  <si>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</si>
  <si>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</si>
  <si>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</si>
  <si>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</si>
  <si>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</si>
  <si>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</si>
  <si>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</si>
  <si>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</si>
  <si>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</si>
  <si>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</si>
  <si>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</si>
  <si>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</si>
  <si>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</si>
  <si>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</si>
  <si>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</si>
  <si>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</si>
  <si>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</si>
  <si>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</si>
  <si>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</si>
  <si>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</si>
  <si>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</si>
  <si>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</si>
  <si>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</si>
  <si>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</si>
  <si>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</si>
  <si>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</si>
  <si>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</si>
  <si>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</si>
  <si>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</si>
  <si>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</si>
  <si>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</si>
  <si>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</si>
  <si>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</si>
  <si>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</si>
  <si>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</si>
  <si>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</si>
  <si>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</si>
  <si>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</si>
  <si>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</si>
  <si>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</si>
  <si>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</si>
  <si>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</si>
  <si>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</si>
  <si>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</si>
  <si>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</si>
  <si>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</si>
  <si>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</si>
  <si>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</si>
  <si>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</si>
  <si>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</si>
  <si>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</si>
  <si>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</si>
  <si>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</si>
  <si>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</si>
  <si>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</si>
  <si>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</si>
  <si>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</si>
  <si>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</si>
  <si>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</si>
  <si>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</si>
  <si>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</si>
  <si>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</si>
  <si>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</si>
  <si>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</si>
  <si>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</si>
  <si>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</si>
  <si>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</si>
  <si>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</si>
  <si>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</si>
  <si>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</si>
  <si>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</si>
  <si>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</si>
  <si>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</si>
  <si>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</si>
  <si>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</si>
  <si>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</si>
  <si>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</si>
  <si>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</si>
  <si>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</si>
  <si>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</si>
  <si>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</si>
  <si>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</si>
  <si>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</si>
  <si>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</si>
  <si>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</si>
  <si>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</si>
  <si>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</si>
  <si>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</si>
  <si>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</si>
  <si>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</si>
  <si>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</si>
  <si>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</si>
  <si>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</si>
  <si>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</si>
  <si>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</si>
  <si>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</si>
  <si>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</si>
  <si>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</si>
  <si>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</si>
  <si>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</si>
  <si>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</si>
  <si>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</si>
  <si>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</si>
  <si>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</si>
  <si>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</si>
  <si>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</si>
  <si>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</si>
  <si>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</si>
  <si>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</si>
  <si>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</si>
  <si>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</si>
  <si>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</si>
  <si>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</si>
  <si>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</si>
  <si>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</si>
  <si>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</si>
  <si>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</si>
  <si>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</si>
  <si>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</si>
  <si>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</si>
  <si>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</si>
  <si>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</si>
  <si>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</si>
  <si>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</si>
  <si>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</si>
  <si>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</si>
  <si>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</si>
  <si>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</si>
  <si>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</si>
  <si>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</si>
  <si>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</si>
  <si>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</si>
  <si>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</si>
  <si>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</si>
  <si>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</si>
  <si>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</si>
  <si>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</si>
  <si>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</si>
  <si>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</si>
  <si>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</si>
  <si>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</si>
  <si>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</si>
  <si>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</si>
  <si>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</si>
  <si>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</si>
  <si>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</si>
  <si>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</si>
  <si>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</si>
  <si>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</si>
  <si>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</si>
  <si>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</si>
  <si>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</si>
  <si>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</si>
  <si>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</si>
  <si>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</si>
  <si>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</si>
  <si>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</si>
  <si>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</si>
  <si>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</si>
  <si>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</si>
  <si>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</si>
  <si>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</si>
  <si>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</si>
  <si>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</si>
  <si>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</si>
  <si>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{0,050;0,200;0,350;0,500;0,650;0,800;0,950}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</si>
  <si>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</si>
  <si>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</si>
  <si>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</si>
  <si>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</si>
  <si>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</si>
  <si>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</si>
  <si>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</si>
  <si>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</si>
  <si>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</si>
  <si>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</si>
  <si>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{4,829;5,979;9,142;13,454;13,454;17,767;18,557}</t>
  </si>
  <si>
    <t>{02/09/2020 12:49:45;02/09/2020 13:58:45;02/09/2020 17:08:30;03/09/2020 10:57:15;03/09/2020 10:57:15;03/09/2020 15:16:00;03/09/2020 16:03:26}</t>
  </si>
  <si>
    <t>e3560A743F45056773</t>
  </si>
  <si>
    <t>{0,516;2,000;2,000}</t>
  </si>
  <si>
    <t>t75D774E7EE48EF5A9</t>
  </si>
  <si>
    <t>Take a milk carton</t>
  </si>
  <si>
    <t>Watch best before note</t>
  </si>
  <si>
    <t>{0.050;0.200;0.350;0.500;0.650;0.800;0.950}</t>
  </si>
  <si>
    <t>eB8FBAEFE90EA66B2F</t>
  </si>
  <si>
    <t>{0.516;2.000;2.000}</t>
  </si>
  <si>
    <t>{1.500;1.500;1.500;1.500;1.500;1.500;1.500;1.500;1.500;5.814;1.500;5.814;5.814;5.814;1.500;5.814;1.500;1.500;1.500;1.500;1.500;1.500;5.814;5.814;1.500;1.500;1.500;1.500;1.500;1.500;1.500;1.500;1.500;1.500;5.814;1.500;1.500;1.500;1.500;1.500;1.500;5.814;5.814;5.814;1.500;5.814;5.814;1.500;1.500;1.500}</t>
  </si>
  <si>
    <t>{1.250;1.250;1.250;1.250;1.250;1.250;1.250;1.250;1.250;5.564;1.250;5.564;5.564;5.564;1.250;5.564;1.250;1.250;1.250;1.250;1.250;1.250;5.564;5.564;1.250;1.250;1.250;1.250;1.250;1.250;1.250;1.250;1.250;1.250;5.564;1.250;1.250;1.250;1.250;1.250;1.250;5.564;5.564;5.564;1.250;5.564;5.564;1.250;1.250;1.250}</t>
  </si>
  <si>
    <t>{1.250;1.250;1.250;1.250;1.250;5.564;5.564}</t>
  </si>
  <si>
    <t>{26/11/2020 14:23:41;26/11/2020 14:23:41;26/11/2020 14:23:41;26/11/2020 14:23:41;26/11/2020 14:23:41;27/11/2020 08:12:31;27/11/2020 08:12:31}</t>
  </si>
  <si>
    <t>{1.000;3.876;1.000;1.000;3.876;1.000;1.000;3.876;1.000;1.000;3.876;3.876;1.000;1.000;1.000;1.000;1.000;1.000;1.000;1.000;1.000;1.000;1.000;1.000;3.876;1.000;1.000;1.000;3.876;3.876;1.000;1.000;1.000;1.000;1.000;1.000;1.000;3.876;1.000;1.000;1.000;1.000;1.000;3.876;1.000;1.000;3.876;1.000;1.000;1.000}</t>
  </si>
  <si>
    <t>{0.579;3.455;0.579;0.579;3.455;0.579;0.579;3.455;0.579;0.579;3.455;3.455;0.579;0.579;0.579;0.579;0.579;0.579;0.579;0.579;0.579;0.579;0.579;0.579;3.455;0.579;0.579;0.579;3.455;3.455;0.579;0.579;0.579;0.579;0.579;0.579;0.579;3.455;0.579;0.579;0.579;0.579;0.579;3.455;0.579;0.579;3.455;0.579;0.579;0.579}</t>
  </si>
  <si>
    <t>{1.829;4.705;1.829;1.829;4.705;1.829;1.829;4.705;1.829;6.143;4.705;9.019;6.143;6.143;1.829;6.143;1.829;1.829;1.829;1.829;1.829;1.829;6.143;6.143;4.705;1.829;1.829;1.829;4.705;4.705;1.829;1.829;1.829;1.829;6.143;1.829;1.829;4.705;1.829;1.829;1.829;6.143;6.143;9.019;1.829;6.143;9.019;1.829;1.829;1.829}</t>
  </si>
  <si>
    <t>{1.829;1.829;1.829;1.829;4.705;6.143;6.934}</t>
  </si>
  <si>
    <t>{26/11/2020 14:58:26;26/11/2020 14:58:26;26/11/2020 14:58:26;26/11/2020 14:58:26;26/11/2020 17:50:59;27/11/2020 08:47:16;27/11/2020 09:34:43}</t>
  </si>
  <si>
    <t>{3.000;3.000;3.000;3.000;3.000;3.000;11.628;3.000;3.000;11.628;11.628;3.000;3.000;3.000;3.000;3.000;11.628;11.628;3.000;3.000;3.000;3.000;3.000;3.000;3.000;3.000;3.000;3.000;3.000;11.628;3.000;11.628;11.628;3.000;11.628;3.000;11.628;3.000;3.000;3.000;3.000;3.000;3.000;3.000;11.628;3.000;11.628;3.000;3.000;11.628}</t>
  </si>
  <si>
    <t>{4.829;7.705;4.829;4.829;7.705;4.829;13.457;7.705;4.829;17.771;16.333;12.019;9.143;9.143;4.829;9.143;13.457;13.457;4.829;4.829;4.829;4.829;9.143;9.143;7.705;4.829;4.829;4.829;7.705;16.333;4.829;13.457;13.457;4.829;17.771;4.829;13.457;7.705;4.829;4.829;4.829;9.143;9.143;12.019;13.457;9.143;20.647;4.829;4.829;13.457}</t>
  </si>
  <si>
    <t>{4.829;4.829;4.829;7.705;9.143;13.457;16.728}</t>
  </si>
  <si>
    <t>{26/11/2020 17:58:26;26/11/2020 17:58:26;26/11/2020 17:58:26;27/11/2020 10:20:59;27/11/2020 11:47:16;27/11/2020 16:06:06;30/11/2020 08:52:24}</t>
  </si>
  <si>
    <t>{0.484;0.125;0.125;0.125;0.125;0.484;0.484;0.125;0.125;0.125;0.125;0.125;0.125;0.125;0.125;0.125;0.125;0.125;0.125;0.484;0.484;0.125;0.125;0.484;0.484;0.125;0.125;0.125;0.125;0.125;0.484;0.484;0.125;0.125;0.125;0.125;0.125;0.125;0.125;0.125;0.125;0.125;0.484;0.484;0.125;0.125;0.484;0.125;0.125;0.125}</t>
  </si>
  <si>
    <t>{5.314;7.830;4.954;4.954;7.830;5.314;13.942;7.830;4.954;17.896;16.458;12.144;9.268;9.268;4.954;9.268;13.582;13.582;4.954;5.314;5.314;4.954;9.268;9.628;8.190;4.954;4.954;4.954;7.830;16.458;5.314;13.942;13.582;4.954;17.896;4.954;13.582;7.830;4.954;4.954;4.954;9.268;9.628;12.504;13.582;9.268;21.131;4.954;4.954;13.582}</t>
  </si>
  <si>
    <t>{4.954;4.954;5.314;7.920;9.421;13.582;16.853}</t>
  </si>
  <si>
    <t>{26/11/2020 18:05:56;26/11/2020 18:05:56;26/11/2020 18:27:30;27/11/2020 10:33:53;27/11/2020 12:03:56;27/11/2020 16:13:36;30/11/2020 08:59:54}</t>
  </si>
  <si>
    <t>fast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</si>
</sst>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19:54:16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556-41F8-883E-D2B052A18F79}"/>
            </c:ext>
          </c:extLst>
        </c:ser>
        <c:ser>
          <c:idx val="1"/>
          <c:order val="1"/>
          <c:tx>
            <c:v>Velo pool on: 26/11/2020 13:06:48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556-41F8-883E-D2B052A18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4447.2</c:v>
              </c:pt>
              <c:pt idx="1">
                <c:v>5.1340000000000003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0FC-48B6-B43F-2356FFE45F0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4449.5</c:v>
              </c:pt>
              <c:pt idx="1">
                <c:v>7.3674999999999997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0FC-48B6-B43F-2356FFE45F0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4451.8</c:v>
              </c:pt>
              <c:pt idx="1">
                <c:v>13.137000000000002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A0FC-48B6-B43F-2356FFE4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15"/>
    <tableColumn id="3" xr3:uid="{0064C978-E7CD-401B-8217-0BCD34CF3CDE}" name="End time" dataDxfId="114"/>
    <tableColumn id="4" xr3:uid="{91AEF141-E126-4FD3-9EA5-633D16B1512D}" name="Time delta in h" dataDxfId="1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12"/>
    <tableColumn id="3" xr3:uid="{F2DE7DD9-CFAC-4C4F-8C17-0EE40D19CB31}" name="EBS self time" dataDxfId="1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09"/>
    <tableColumn id="3" xr3:uid="{F9B0C56E-2A4E-442C-8E26-12F005547824}" name="End time" dataDxfId="108"/>
    <tableColumn id="4" xr3:uid="{5FD01BC5-E314-4B41-BE60-F4B02F05B0E4}" name="Time delta in h" dataDxfId="1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06"/>
    <tableColumn id="7" xr3:uid="{C12FB733-3C79-4BCD-A6E9-DDE7AAA64EED}" name="Action2" dataDxfId="1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04"/>
    <tableColumn id="3" xr3:uid="{E053167C-3DAD-47AB-86CF-CABAF89F601B}" name="EBS self time" dataDxfId="1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01"/>
    <tableColumn id="3" xr3:uid="{5D7EAD93-8018-4774-9661-123B4072D0DF}" name="End time" dataDxfId="100"/>
    <tableColumn id="4" xr3:uid="{3F713F3A-E2F6-40D0-9EEA-B5A722E317B9}" name="Time delta in h" dataDxfId="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98"/>
    <tableColumn id="7" xr3:uid="{9C608A80-F993-4EEA-AE53-3F59AFD495B2}" name="Action2" dataDxfId="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96"/>
    <tableColumn id="3" xr3:uid="{FA47ED81-3B11-442D-B44E-3544B8461C15}" name="EBS self time" dataDxfId="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93"/>
    <tableColumn id="3" xr3:uid="{50DF390D-ABE1-410C-AB65-5B454A98822A}" name="End time" dataDxfId="92"/>
    <tableColumn id="4" xr3:uid="{BD4F0EFB-0F0E-42BF-BA49-701FE1421F1A}" name="Time delta in h" dataDxfId="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90"/>
    <tableColumn id="7" xr3:uid="{D072C345-B7FD-43C9-A769-57BA339B1EC6}" name="Action2" dataDxfId="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88"/>
    <tableColumn id="3" xr3:uid="{7AC5BAA2-40CD-4206-AB36-58408B056AEF}" name="EBS self time" dataDxfId="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85"/>
    <tableColumn id="3" xr3:uid="{95940F6C-24A9-413C-BA73-5E6953EB759A}" name="End time" dataDxfId="84"/>
    <tableColumn id="4" xr3:uid="{5E545F12-73A1-4F5D-8270-4673DC6E0E67}" name="Time delta in h" dataDxfId="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82"/>
    <tableColumn id="7" xr3:uid="{476A7212-AF9A-46BF-9DAC-DED02617F588}" name="Action2" dataDxfId="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80"/>
    <tableColumn id="3" xr3:uid="{1FCDA96E-388F-434E-9219-366C0E724309}" name="EBS self time" dataDxfId="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77"/>
    <tableColumn id="3" xr3:uid="{C0FC421F-2819-4B4A-B3BD-5A01F79B16C9}" name="End time" dataDxfId="76"/>
    <tableColumn id="4" xr3:uid="{71A66E57-B404-4A96-B373-799334763B2D}" name="Time delta in h" dataDxfId="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74"/>
    <tableColumn id="3" xr3:uid="{EB678981-1665-405F-AE25-89AC8F2DD0AB}" name="EBS self time" dataDxfId="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3187AC1-F904-4FDC-BB58-AA7DFA52C43F}" name="TimeEntries1325644" displayName="TimeEntries1325644" ref="A153:G155" totalsRowShown="0">
  <autoFilter ref="A153:G155" xr:uid="{4EE6B681-DE6C-4C18-BDEF-9B866AD5205F}"/>
  <sortState xmlns:xlrd2="http://schemas.microsoft.com/office/spreadsheetml/2017/richdata2" ref="A154:E154">
    <sortCondition ref="A16:A17"/>
  </sortState>
  <tableColumns count="7">
    <tableColumn id="1" xr3:uid="{A9AEA7F8-CC0A-49DB-8C1F-D0E8484DE89D}" name="Time entry no."/>
    <tableColumn id="2" xr3:uid="{3632C8CD-EEF9-4CAA-9F16-1F8DCB37D736}" name="Start time" dataDxfId="71"/>
    <tableColumn id="3" xr3:uid="{6F64286B-4B42-4798-A720-A269548A49D1}" name="End time" dataDxfId="70"/>
    <tableColumn id="4" xr3:uid="{76BA6CCB-B06B-4750-9E53-E1556D68D2A6}" name="Time delta in h" dataDxfId="69">
      <calculatedColumnFormula>MAX((TimeEntries1325644[[#This Row],[End time]]-TimeEntries1325644[[#This Row],[Start time]])*24,0)</calculatedColumnFormula>
    </tableColumn>
    <tableColumn id="5" xr3:uid="{4E9D2A52-B1D3-4CD7-9057-37EC20BC774C}" name="Now?"/>
    <tableColumn id="6" xr3:uid="{A09159D4-7C1D-4F9F-8674-6443DD4C5069}" name="Action1" dataDxfId="68"/>
    <tableColumn id="7" xr3:uid="{F7D15C85-4635-4063-9862-256DA9B834DF}" name="Action2" dataDxfId="67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739210A-95D6-4DA4-8F66-B9D908975726}" name="Tabelle73671427745" displayName="Tabelle73671427745" ref="I153:M160" totalsRowShown="0">
  <autoFilter ref="I153:M160" xr:uid="{C69EB090-BD5A-4C37-8838-DEDA9488E963}"/>
  <tableColumns count="5">
    <tableColumn id="1" xr3:uid="{E817D702-F82C-4EDB-8FF5-63257CFEFF5D}" name="Comparison entry no."/>
    <tableColumn id="2" xr3:uid="{D28F4982-E4B3-4AFE-BD83-DB0713718629}" name="Propability Support point" dataDxfId="66"/>
    <tableColumn id="3" xr3:uid="{1FFE3DD1-D973-4C90-BF2A-3FEF5F0AD583}" name="EBS self time" dataDxfId="65"/>
    <tableColumn id="4" xr3:uid="{5832F588-C5FC-4D4D-9E7E-80DB8825273B}" name="Total time">
      <calculatedColumnFormula>SUM(#REF!)</calculatedColumnFormula>
    </tableColumn>
    <tableColumn id="5" xr3:uid="{DD560295-DBB5-458B-A431-64B96349A180}" name="Total time / Your estimate" dataDxfId="64">
      <calculatedColumnFormula>Tabelle73671427745[[#This Row],[EBS self time]]/Tabelle73671427745[[#This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10" totalsRowShown="0" dataDxfId="17">
  <autoFilter ref="A3:V10" xr:uid="{520F3973-795E-47E6-97CD-1C1265CA838A}"/>
  <sortState xmlns:xlrd2="http://schemas.microsoft.com/office/spreadsheetml/2017/richdata2" ref="A4:V10">
    <sortCondition ref="U3:U10"/>
  </sortState>
  <tableColumns count="22">
    <tableColumn id="1" xr3:uid="{78BB2EF9-C626-4B0D-94B3-1781BE57C67F}" name="Task no." dataDxfId="39"/>
    <tableColumn id="3" xr3:uid="{3AD21368-826B-4507-A159-BE8BE5B02C1F}" name="Now?" dataDxfId="38"/>
    <tableColumn id="2" xr3:uid="{C139B307-7150-4838-B1FD-482AAB7B1208}" name="Task name" dataDxfId="37"/>
    <tableColumn id="13" xr3:uid="{500C3031-A1C8-4FCF-AE88-FB2DB0E81277}" name="#1" dataDxfId="36"/>
    <tableColumn id="18" xr3:uid="{3B298737-E571-4F23-9C71-2BC3C2385355}" name="Comment" dataDxfId="35"/>
    <tableColumn id="7" xr3:uid="{5DC94B1C-A20E-47F8-8963-B0674A9C27B4}" name="#2" dataDxfId="34"/>
    <tableColumn id="4" xr3:uid="{E2EAEAF6-33EC-4D8C-B42E-C249C36E3D3C}" name="%Tag 1" dataDxfId="33"/>
    <tableColumn id="14" xr3:uid="{A6D882A1-C3C1-4F0C-8834-5B299F196767}" name="#3" dataDxfId="32"/>
    <tableColumn id="5" xr3:uid="{1E4EAD98-8B30-4F09-AA64-D7613D00651F}" name="%Tag 2" dataDxfId="31"/>
    <tableColumn id="21" xr3:uid="{91C37425-DDD8-4756-A39F-CDA868D3035B}" name="#4" dataDxfId="30"/>
    <tableColumn id="6" xr3:uid="{9E1E50BB-6DA2-47A1-BB20-8C9FAC4B0DB5}" name="%Tag 3" dataDxfId="29"/>
    <tableColumn id="22" xr3:uid="{F4250AF8-5AFE-4C03-B563-438A86E41810}" name="#5" dataDxfId="28"/>
    <tableColumn id="10" xr3:uid="{85CEF83B-6217-49AE-8974-E4D5953E2637}" name="Kanban list" dataDxfId="27"/>
    <tableColumn id="11" xr3:uid="{E542542F-D34F-488A-95AF-76A724785E5A}" name="User time estimate" dataDxfId="26"/>
    <tableColumn id="12" xr3:uid="{7DA005F8-D924-4031-B65E-6C6F60E3212D}" name="Total time" dataDxfId="25"/>
    <tableColumn id="16" xr3:uid="{209AEE68-BDAE-4E8C-BCF6-6EEA4F9A7FDE}" name="Finished on" dataDxfId="24"/>
    <tableColumn id="8" xr3:uid="{727785B7-29B9-493D-A20B-C319B38E1DF3}" name="EBS 50% time" dataDxfId="23"/>
    <tableColumn id="9" xr3:uid="{B12BA9B8-3C81-408C-AFE4-25993FD8491D}" name="EBS 80% date" dataDxfId="22"/>
    <tableColumn id="20" xr3:uid="{DAE27A09-2EB0-4A47-A9F0-48ED802D8570}" name="Due date" dataDxfId="21"/>
    <tableColumn id="19" xr3:uid="{7A8CB495-6AE9-4A1E-AC5B-8B6487C84135}" name="Contributor" dataDxfId="20"/>
    <tableColumn id="17" xr3:uid="{EF767A93-0B38-4A66-A27B-92321C0E655C}" name="Priority" dataDxfId="19"/>
    <tableColumn id="15" xr3:uid="{2ADBC76B-EB88-4BCD-8956-7B4B22C5A3D4}" name="tHASH" dataDxfId="18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1C221E-3BA9-4FB7-88C0-AA48A74EC340}" name="EbsBaseData4326270415" displayName="EbsBaseData4326270415" ref="A18:H20" totalsRowShown="0">
  <autoFilter ref="A18:H20" xr:uid="{1948C160-1F52-48A7-8061-8AFF06D47134}"/>
  <tableColumns count="8">
    <tableColumn id="1" xr3:uid="{50D5FB71-4B3A-4FB7-8D9F-C9EF0990EDD0}" name="EBS entry no."/>
    <tableColumn id="4" xr3:uid="{10086FB3-CF72-4764-8681-A204C73E9113}" name="EBS run date" dataDxfId="63"/>
    <tableColumn id="8" xr3:uid="{4EC08450-5287-4590-8A2B-CBE3BE1B9369}" name="[Velocity pool]"/>
    <tableColumn id="2" xr3:uid="{E2819C4F-70DD-47B1-AE2C-EA265316194D}" name="Show pool?"/>
    <tableColumn id="3" xr3:uid="{31D6DADD-55AC-4CF3-A392-600471E0426D}" name="[Propability support points]"/>
    <tableColumn id="5" xr3:uid="{72DBC7BF-11A6-4C83-90AF-6C22E5CFAD24}" name="[Project time estimates]"/>
    <tableColumn id="6" xr3:uid="{AF4BC3DE-C878-4A65-A016-892207DBDE41}" name="[Project date estimates]"/>
    <tableColumn id="7" xr3:uid="{E40B65BB-9E73-4142-A13C-20DE928E21C8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3A92769-A43F-48B4-BE1E-543F95FA581D}" name="EbsTaskData9592711216" displayName="EbsTaskData9592711216" ref="J18:T22" totalsRowShown="0">
  <autoFilter ref="J18:T22" xr:uid="{2297DC20-55A3-4C75-B785-3C4ABEF5CB9C}"/>
  <tableColumns count="11">
    <tableColumn id="1" xr3:uid="{99EE6C3F-81D6-4F33-9FC6-FD8F9C3E480D}" name="Data entry no."/>
    <tableColumn id="10" xr3:uid="{41B898C0-5B35-497E-AD6E-A2122F77EA4F}" name="tHASH"/>
    <tableColumn id="5" xr3:uid="{2B1BC014-FE99-4C95-9FD9-BAD3914BDEFE}" name="Logged Priority"/>
    <tableColumn id="7" xr3:uid="{CD85EBCE-3A92-4D3C-A5B3-11223738AF1A}" name="Time spent so far" dataDxfId="62"/>
    <tableColumn id="4" xr3:uid="{B75317B9-7B2D-4764-BEE6-13E067FF3023}" name="User time estimate" dataDxfId="61"/>
    <tableColumn id="3" xr3:uid="{FB19C290-E346-4626-AA29-72BD73C01A0E}" name="[Monte Carlo estimate pool]"/>
    <tableColumn id="2" xr3:uid="{E0C05A3C-0597-484E-B3DE-6328E1FCA72A}" name="[Remaining time pool]"/>
    <tableColumn id="6" xr3:uid="{61643535-F9B8-47F4-A88E-D1654A9C11FE}" name="[Accumulated time pool]"/>
    <tableColumn id="8" xr3:uid="{CEBBF44C-2E40-40B1-8F99-50689E0A7BFD}" name="[Propability support points]"/>
    <tableColumn id="9" xr3:uid="{03BA7A3F-04FA-44CA-B577-C55EBA039DBE}" name="[Interpolated time estimates]"/>
    <tableColumn id="11" xr3:uid="{A2CB1D1D-2D44-48D2-8B44-627E8DC59EE9}" name="[Interpolated date estimates]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60" dataDxfId="58" headerRowBorderDxfId="59">
  <autoFilter ref="A8:D10" xr:uid="{8E9EC0C1-7901-48B6-A59A-1CE6ABEE7A55}"/>
  <tableColumns count="4">
    <tableColumn id="1" xr3:uid="{58BB2187-C79D-4A1A-A9A3-DA2F074C476C}" name="Split entry no." dataDxfId="57"/>
    <tableColumn id="2" xr3:uid="{A755482D-FFF4-43D8-8021-1956CE3A7021}" name="Split start" dataDxfId="56"/>
    <tableColumn id="3" xr3:uid="{FE0A0B8D-1F8A-4CEC-9FB3-C945A45F99BF}" name="Split end" dataDxfId="55"/>
    <tableColumn id="4" xr3:uid="{5443222D-0CE3-4625-9EDB-D13B87B6C388}" name="Time spent" dataDxfId="54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53"/>
    <tableColumn id="9" xr3:uid="{0037D127-E2BA-445A-BC63-1395BA3AC441}" name="Calendar ID" dataDxfId="52"/>
    <tableColumn id="10" xr3:uid="{37CA3B7B-8FF0-4042-97C6-E23A79A74325}" name="Store ID"/>
    <tableColumn id="6" xr3:uid="{044D8005-25C5-4D31-940A-B6DE4C6B0EA5}" name="WorkingDays" dataDxfId="51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50"/>
    <tableColumn id="8" xr3:uid="{1177B0FB-46B2-406D-B988-C64E0ABA6972}" name="AppointmentOffsetHours" dataDxfId="49">
      <calculatedColumnFormula>5/60</calculatedColumnFormula>
    </tableColumn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48"/>
    <tableColumn id="3" xr3:uid="{78DABF02-3853-48FF-81AD-5801C74BED1B}" name="End time" dataDxfId="47"/>
    <tableColumn id="4" xr3:uid="{76C994F9-216A-4848-9FB6-16BAF8B0EEEA}" name="Time delta in h" dataDxfId="46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45"/>
    <tableColumn id="3" xr3:uid="{A62B365F-400F-45A4-B789-FE7B5FDBD312}" name="EBS self time" dataDxfId="4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4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4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41"/>
    <tableColumn id="4" xr3:uid="{F9EDA55E-5206-49A7-A846-6A0B14C04CAF}" name="User time estimate" dataDxfId="4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1091B406-9F52-4589-8D93-67E9BCF9C84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9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160"/>
  <sheetViews>
    <sheetView topLeftCell="A153" workbookViewId="0">
      <selection activeCell="F176" sqref="F176"/>
    </sheetView>
  </sheetViews>
  <sheetFormatPr defaultColWidth="11.5546875" defaultRowHeight="14.4"/>
  <sheetData>
    <row r="1" spans="1:10">
      <c r="A1" t="s">
        <v>212</v>
      </c>
      <c r="B1" t="s">
        <v>185</v>
      </c>
      <c r="C1" t="s">
        <v>213</v>
      </c>
      <c r="D1">
        <v>18</v>
      </c>
      <c r="E1" t="s">
        <v>214</v>
      </c>
      <c r="F1">
        <v>13</v>
      </c>
    </row>
    <row r="2" spans="1:10">
      <c r="A2" s="4" t="s">
        <v>24</v>
      </c>
      <c r="I2" t="s">
        <v>137</v>
      </c>
      <c r="J2" t="s">
        <v>138</v>
      </c>
    </row>
    <row r="3" spans="1:10">
      <c r="A3" t="s">
        <v>3</v>
      </c>
      <c r="B3" t="s">
        <v>187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185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197</v>
      </c>
    </row>
    <row r="14" spans="1:10">
      <c r="A14" t="s">
        <v>94</v>
      </c>
      <c r="B14" t="s">
        <v>198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212</v>
      </c>
      <c r="B21" t="s">
        <v>188</v>
      </c>
      <c r="C21" t="s">
        <v>213</v>
      </c>
      <c r="D21">
        <v>18</v>
      </c>
      <c r="E21" t="s">
        <v>214</v>
      </c>
      <c r="F21">
        <v>13</v>
      </c>
    </row>
    <row r="22" spans="1:13">
      <c r="A22" s="4" t="s">
        <v>24</v>
      </c>
      <c r="I22" t="s">
        <v>137</v>
      </c>
      <c r="J22" t="s">
        <v>138</v>
      </c>
    </row>
    <row r="23" spans="1:13">
      <c r="A23" t="s">
        <v>3</v>
      </c>
      <c r="B23" t="s">
        <v>189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143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188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202</v>
      </c>
    </row>
    <row r="34" spans="1:13">
      <c r="A34" t="s">
        <v>94</v>
      </c>
      <c r="B34" t="s">
        <v>203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5" t="s">
        <v>206</v>
      </c>
      <c r="G38" s="22" t="s">
        <v>207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212</v>
      </c>
      <c r="B41" t="s">
        <v>190</v>
      </c>
      <c r="C41" t="s">
        <v>213</v>
      </c>
      <c r="D41">
        <v>19</v>
      </c>
      <c r="E41" t="s">
        <v>214</v>
      </c>
      <c r="F41">
        <v>13</v>
      </c>
    </row>
    <row r="42" spans="1:13">
      <c r="A42" s="4" t="s">
        <v>24</v>
      </c>
      <c r="I42" t="s">
        <v>137</v>
      </c>
      <c r="J42" t="s">
        <v>138</v>
      </c>
    </row>
    <row r="43" spans="1:13">
      <c r="A43" t="s">
        <v>3</v>
      </c>
      <c r="B43" t="s">
        <v>192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190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197</v>
      </c>
    </row>
    <row r="54" spans="1:13">
      <c r="A54" t="s">
        <v>94</v>
      </c>
      <c r="B54" t="s">
        <v>200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5" t="s">
        <v>206</v>
      </c>
      <c r="G58" s="22" t="s">
        <v>207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5" t="s">
        <v>206</v>
      </c>
      <c r="G59" s="22" t="s">
        <v>207</v>
      </c>
    </row>
    <row r="60" spans="1:13">
      <c r="B60" s="1"/>
      <c r="C60" s="1"/>
      <c r="D60" s="2"/>
    </row>
    <row r="62" spans="1:13">
      <c r="A62" t="s">
        <v>212</v>
      </c>
      <c r="B62" t="s">
        <v>209</v>
      </c>
      <c r="C62" t="s">
        <v>213</v>
      </c>
      <c r="D62">
        <v>23</v>
      </c>
      <c r="E62" t="s">
        <v>214</v>
      </c>
      <c r="F62">
        <v>13</v>
      </c>
    </row>
    <row r="63" spans="1:13">
      <c r="A63" s="4" t="s">
        <v>24</v>
      </c>
      <c r="I63" t="s">
        <v>137</v>
      </c>
      <c r="J63" t="s">
        <v>138</v>
      </c>
    </row>
    <row r="64" spans="1:13">
      <c r="A64" t="s">
        <v>3</v>
      </c>
      <c r="B64" t="s">
        <v>211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209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5" t="s">
        <v>206</v>
      </c>
      <c r="G79" s="22" t="s">
        <v>207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5" t="s">
        <v>206</v>
      </c>
      <c r="G80" s="22" t="s">
        <v>207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191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5" t="s">
        <v>206</v>
      </c>
      <c r="G81" s="22" t="s">
        <v>207</v>
      </c>
      <c r="I81" t="s">
        <v>191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194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210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215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216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212</v>
      </c>
      <c r="B87" t="s">
        <v>217</v>
      </c>
      <c r="C87" t="s">
        <v>213</v>
      </c>
      <c r="D87">
        <v>23</v>
      </c>
      <c r="E87" t="s">
        <v>214</v>
      </c>
      <c r="F87">
        <v>13</v>
      </c>
    </row>
    <row r="88" spans="1:13">
      <c r="A88" s="4" t="s">
        <v>24</v>
      </c>
      <c r="I88" t="s">
        <v>137</v>
      </c>
      <c r="J88" t="s">
        <v>138</v>
      </c>
    </row>
    <row r="89" spans="1:13">
      <c r="A89" t="s">
        <v>3</v>
      </c>
      <c r="B89" t="s">
        <v>218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217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136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5" t="s">
        <v>206</v>
      </c>
      <c r="G104" s="22" t="s">
        <v>207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191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194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210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215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216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212</v>
      </c>
      <c r="B112" t="s">
        <v>223</v>
      </c>
      <c r="C112" t="s">
        <v>213</v>
      </c>
      <c r="D112">
        <v>23</v>
      </c>
      <c r="E112" t="s">
        <v>214</v>
      </c>
      <c r="F112">
        <v>13</v>
      </c>
    </row>
    <row r="113" spans="1:13">
      <c r="A113" s="4" t="s">
        <v>24</v>
      </c>
      <c r="I113" t="s">
        <v>137</v>
      </c>
      <c r="J113" t="s">
        <v>138</v>
      </c>
    </row>
    <row r="114" spans="1:13">
      <c r="A114" t="s">
        <v>3</v>
      </c>
      <c r="B114" t="s">
        <v>224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225</v>
      </c>
    </row>
    <row r="122" spans="1:13">
      <c r="A122" t="s">
        <v>46</v>
      </c>
      <c r="B122" t="s">
        <v>223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136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191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194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210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215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216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212</v>
      </c>
      <c r="B137" t="s">
        <v>193</v>
      </c>
      <c r="C137" t="s">
        <v>213</v>
      </c>
      <c r="D137">
        <v>23</v>
      </c>
      <c r="E137" t="s">
        <v>214</v>
      </c>
      <c r="F137">
        <v>13</v>
      </c>
    </row>
    <row r="138" spans="1:13">
      <c r="A138" s="4" t="s">
        <v>24</v>
      </c>
      <c r="I138" t="s">
        <v>137</v>
      </c>
      <c r="J138" t="s">
        <v>138</v>
      </c>
    </row>
    <row r="139" spans="1:13">
      <c r="A139" t="s">
        <v>3</v>
      </c>
      <c r="B139" t="s">
        <v>195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193</v>
      </c>
    </row>
    <row r="148" spans="1:13">
      <c r="A148" t="s">
        <v>5</v>
      </c>
      <c r="B148" s="2">
        <f>B140/SUM(TimeEntries1325644[Time delta in h])</f>
        <v>1.9999999997671694</v>
      </c>
      <c r="C148" t="s">
        <v>6</v>
      </c>
    </row>
    <row r="149" spans="1:13">
      <c r="A149" t="s">
        <v>93</v>
      </c>
      <c r="B149" t="s">
        <v>204</v>
      </c>
    </row>
    <row r="150" spans="1:13">
      <c r="A150" t="s">
        <v>94</v>
      </c>
      <c r="B150" t="s">
        <v>205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136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MAX((TimeEntries1325644[[#This Row],[End time]]-TimeEntries1325644[[#This Row],[Start time]])*24,0)</f>
        <v>0.25000000011641532</v>
      </c>
      <c r="F154" s="55" t="s">
        <v>206</v>
      </c>
      <c r="G154" s="22" t="s">
        <v>207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Tabelle73671427745[[#This Row],[EBS self time]]/Tabelle73671427745[[#This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MAX((TimeEntries1325644[[#This Row],[End time]]-TimeEntries1325644[[#This Row],[Start time]])*24,0)</f>
        <v>0.24999999994179234</v>
      </c>
      <c r="F155" s="55" t="s">
        <v>206</v>
      </c>
      <c r="G155" s="22" t="s">
        <v>207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Tabelle73671427745[[#This Row],[EBS self time]]/Tabelle73671427745[[#This Row],[Total time]]</f>
        <v>#REF!</v>
      </c>
    </row>
    <row r="156" spans="1:13">
      <c r="B156" s="1"/>
      <c r="C156" s="1"/>
      <c r="D156" s="2"/>
      <c r="I156" t="s">
        <v>191</v>
      </c>
      <c r="J156" s="15">
        <v>0.35</v>
      </c>
      <c r="K156" s="2">
        <v>0.5</v>
      </c>
      <c r="L156" s="2" t="e">
        <f>SUM(#REF!)</f>
        <v>#REF!</v>
      </c>
      <c r="M156" s="16" t="e">
        <f>Tabelle73671427745[[#This Row],[EBS self time]]/Tabelle73671427745[[#This Row],[Total time]]</f>
        <v>#REF!</v>
      </c>
    </row>
    <row r="157" spans="1:13">
      <c r="I157" t="s">
        <v>194</v>
      </c>
      <c r="J157" s="15">
        <v>0.5</v>
      </c>
      <c r="K157" s="2">
        <v>0.5</v>
      </c>
      <c r="L157" s="2" t="e">
        <f>SUM(#REF!)</f>
        <v>#REF!</v>
      </c>
      <c r="M157" s="16" t="e">
        <f>Tabelle73671427745[[#This Row],[EBS self time]]/Tabelle73671427745[[#This Row],[Total time]]</f>
        <v>#REF!</v>
      </c>
    </row>
    <row r="158" spans="1:13">
      <c r="I158" t="s">
        <v>210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Tabelle73671427745[[#This Row],[EBS self time]]/Tabelle73671427745[[#This Row],[Total time]]</f>
        <v>#REF!</v>
      </c>
    </row>
    <row r="159" spans="1:13">
      <c r="I159" t="s">
        <v>215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Tabelle73671427745[[#This Row],[EBS self time]]/Tabelle73671427745[[#This Row],[Total time]]</f>
        <v>#REF!</v>
      </c>
    </row>
    <row r="160" spans="1:13">
      <c r="I160" t="s">
        <v>216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Tabelle73671427745[[#This Row],[EBS self time]]/Tabelle73671427745[[#This Row],[Total time]]</f>
        <v>#REF!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747E7E73-40F3-48E1-80F5-E4FF1E857DFF}"/>
    <hyperlink ref="F154" location="$F$17" display="$F$17" xr:uid="{EF85D6EB-4A3A-407E-884D-09F355518923}"/>
    <hyperlink ref="G154" location="$G$17" display="$G$17" xr:uid="{E7BF2BA6-ACFE-435F-B257-25F911A7EA0D}"/>
    <hyperlink ref="F155" location="$F$18" display="$F$18" xr:uid="{A1EDF734-7205-439D-BCDC-6AED29D3FE74}"/>
    <hyperlink ref="G155" location="$G$18" display="$G$18" xr:uid="{CCACC08B-D61D-49E9-9A4F-398799163974}"/>
  </hyperlinks>
  <pageMargins left="0.7" right="0.7" top="0.78740157499999996" bottom="0.78740157499999996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9"/>
  <sheetViews>
    <sheetView tabSelected="1" zoomScaleNormal="100" workbookViewId="0">
      <selection activeCell="C4" sqref="C4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hidden="1" customWidth="1" outlineLevel="1"/>
    <col min="17" max="17" width="15" style="10" hidden="1" customWidth="1" outlineLevel="1"/>
    <col min="18" max="18" width="17.109375" style="10" hidden="1" customWidth="1" outlineLevel="1"/>
    <col min="19" max="19" width="15.6640625" style="37" customWidth="1" collapsed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>
      <c r="A4" s="49" t="s">
        <v>127</v>
      </c>
      <c r="B4" s="52"/>
      <c r="C4" s="48" t="s">
        <v>189</v>
      </c>
      <c r="D4" s="48" t="s">
        <v>186</v>
      </c>
      <c r="E4" s="48"/>
      <c r="F4" s="48" t="s">
        <v>186</v>
      </c>
      <c r="G4" s="49" t="s">
        <v>196</v>
      </c>
      <c r="H4" s="49" t="s">
        <v>186</v>
      </c>
      <c r="I4" s="49" t="s">
        <v>201</v>
      </c>
      <c r="J4" s="49" t="s">
        <v>186</v>
      </c>
      <c r="K4" s="49"/>
      <c r="L4" s="49" t="s">
        <v>186</v>
      </c>
      <c r="M4" s="49" t="s">
        <v>143</v>
      </c>
      <c r="N4" s="53">
        <v>3</v>
      </c>
      <c r="O4" s="53">
        <v>0.25000000011641499</v>
      </c>
      <c r="P4" s="49" t="s">
        <v>92</v>
      </c>
      <c r="Q4" s="53">
        <v>1.25</v>
      </c>
      <c r="R4" s="56">
        <v>44161.970902777779</v>
      </c>
      <c r="S4" s="54"/>
      <c r="T4" s="49" t="s">
        <v>18</v>
      </c>
      <c r="U4" s="49">
        <v>4</v>
      </c>
      <c r="V4" s="49" t="s">
        <v>188</v>
      </c>
      <c r="W4" s="50"/>
    </row>
    <row r="5" spans="1:26" ht="21" customHeight="1">
      <c r="A5" s="49" t="s">
        <v>191</v>
      </c>
      <c r="B5" s="52"/>
      <c r="C5" s="48" t="s">
        <v>192</v>
      </c>
      <c r="D5" s="48" t="s">
        <v>186</v>
      </c>
      <c r="E5" s="48"/>
      <c r="F5" s="48" t="s">
        <v>186</v>
      </c>
      <c r="G5" s="49" t="s">
        <v>199</v>
      </c>
      <c r="H5" s="49" t="s">
        <v>186</v>
      </c>
      <c r="I5" s="49"/>
      <c r="J5" s="49" t="s">
        <v>186</v>
      </c>
      <c r="K5" s="49"/>
      <c r="L5" s="49" t="s">
        <v>186</v>
      </c>
      <c r="M5" s="49" t="s">
        <v>130</v>
      </c>
      <c r="N5" s="53">
        <v>2</v>
      </c>
      <c r="O5" s="53">
        <v>0.420833333395422</v>
      </c>
      <c r="P5" s="49" t="s">
        <v>92</v>
      </c>
      <c r="Q5" s="53">
        <v>3.2670000000000003</v>
      </c>
      <c r="R5" s="56">
        <v>44162.071423611109</v>
      </c>
      <c r="S5" s="54"/>
      <c r="T5" s="49" t="s">
        <v>18</v>
      </c>
      <c r="U5" s="49">
        <v>5</v>
      </c>
      <c r="V5" s="49" t="s">
        <v>190</v>
      </c>
    </row>
    <row r="6" spans="1:26" ht="21" customHeight="1">
      <c r="A6" s="49" t="s">
        <v>126</v>
      </c>
      <c r="B6" s="52"/>
      <c r="C6" s="48" t="s">
        <v>187</v>
      </c>
      <c r="D6" s="48" t="s">
        <v>186</v>
      </c>
      <c r="E6" s="48"/>
      <c r="F6" s="48" t="s">
        <v>186</v>
      </c>
      <c r="G6" s="49" t="s">
        <v>196</v>
      </c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>
        <v>6</v>
      </c>
      <c r="O6" s="53">
        <v>0</v>
      </c>
      <c r="P6" s="49" t="s">
        <v>92</v>
      </c>
      <c r="Q6" s="53">
        <v>6.9860000000000007</v>
      </c>
      <c r="R6" s="56">
        <v>44163.930439814816</v>
      </c>
      <c r="S6" s="54"/>
      <c r="T6" s="49" t="s">
        <v>18</v>
      </c>
      <c r="U6" s="49">
        <v>6</v>
      </c>
      <c r="V6" s="49" t="s">
        <v>185</v>
      </c>
    </row>
    <row r="7" spans="1:26" ht="21" customHeight="1">
      <c r="A7" s="49" t="s">
        <v>216</v>
      </c>
      <c r="B7" s="52"/>
      <c r="C7" s="48" t="s">
        <v>224</v>
      </c>
      <c r="D7" s="48" t="s">
        <v>186</v>
      </c>
      <c r="E7" s="48" t="s">
        <v>225</v>
      </c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>
        <v>0.25</v>
      </c>
      <c r="O7" s="53">
        <v>0</v>
      </c>
      <c r="P7" s="49" t="s">
        <v>92</v>
      </c>
      <c r="Q7" s="53">
        <v>7.3674999999999997</v>
      </c>
      <c r="R7" s="56">
        <v>44163.938831018517</v>
      </c>
      <c r="S7" s="54">
        <v>44075</v>
      </c>
      <c r="T7" s="49" t="s">
        <v>18</v>
      </c>
      <c r="U7" s="49">
        <v>7</v>
      </c>
      <c r="V7" s="49" t="s">
        <v>223</v>
      </c>
    </row>
    <row r="8" spans="1:26" ht="21" customHeight="1">
      <c r="A8" s="49" t="s">
        <v>215</v>
      </c>
      <c r="B8" s="52"/>
      <c r="C8" s="48" t="s">
        <v>218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131</v>
      </c>
      <c r="N8" s="53">
        <v>2</v>
      </c>
      <c r="O8" s="53">
        <v>1.00000000011642</v>
      </c>
      <c r="P8" s="56">
        <v>44075.693333333336</v>
      </c>
      <c r="Q8" s="49" t="s">
        <v>92</v>
      </c>
      <c r="R8" s="49" t="s">
        <v>92</v>
      </c>
      <c r="S8" s="54"/>
      <c r="T8" s="49" t="s">
        <v>18</v>
      </c>
      <c r="U8" s="49" t="s">
        <v>92</v>
      </c>
      <c r="V8" s="49" t="s">
        <v>217</v>
      </c>
    </row>
    <row r="9" spans="1:26" ht="21" customHeight="1">
      <c r="A9" s="49" t="s">
        <v>210</v>
      </c>
      <c r="B9" s="52"/>
      <c r="C9" s="48" t="s">
        <v>211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131</v>
      </c>
      <c r="N9" s="53">
        <v>4</v>
      </c>
      <c r="O9" s="53">
        <v>7.7499999999417897</v>
      </c>
      <c r="P9" s="56">
        <v>44075.827719907407</v>
      </c>
      <c r="Q9" s="49" t="s">
        <v>92</v>
      </c>
      <c r="R9" s="49" t="s">
        <v>92</v>
      </c>
      <c r="S9" s="54"/>
      <c r="T9" s="49" t="s">
        <v>18</v>
      </c>
      <c r="U9" s="49" t="s">
        <v>92</v>
      </c>
      <c r="V9" s="49" t="s">
        <v>209</v>
      </c>
    </row>
    <row r="10" spans="1:26" ht="21" customHeight="1">
      <c r="A10" s="49" t="s">
        <v>194</v>
      </c>
      <c r="B10" s="52"/>
      <c r="C10" s="48" t="s">
        <v>195</v>
      </c>
      <c r="D10" s="48" t="s">
        <v>186</v>
      </c>
      <c r="E10" s="48"/>
      <c r="F10" s="48" t="s">
        <v>186</v>
      </c>
      <c r="G10" s="49"/>
      <c r="H10" s="49" t="s">
        <v>186</v>
      </c>
      <c r="I10" s="49" t="s">
        <v>201</v>
      </c>
      <c r="J10" s="49" t="s">
        <v>186</v>
      </c>
      <c r="K10" s="49"/>
      <c r="L10" s="49" t="s">
        <v>186</v>
      </c>
      <c r="M10" s="49" t="s">
        <v>131</v>
      </c>
      <c r="N10" s="53">
        <v>1</v>
      </c>
      <c r="O10" s="53">
        <v>0.50000000005820799</v>
      </c>
      <c r="P10" s="56" t="s">
        <v>92</v>
      </c>
      <c r="Q10" s="49" t="s">
        <v>92</v>
      </c>
      <c r="R10" s="49" t="s">
        <v>92</v>
      </c>
      <c r="S10" s="54">
        <v>44560</v>
      </c>
      <c r="T10" s="49" t="s">
        <v>18</v>
      </c>
      <c r="U10" s="49" t="s">
        <v>92</v>
      </c>
      <c r="V10" s="49" t="s">
        <v>193</v>
      </c>
    </row>
    <row r="11" spans="1:26" ht="21" customHeight="1">
      <c r="A11" s="49"/>
      <c r="B11" s="52"/>
      <c r="C11" s="48"/>
      <c r="D11" s="48"/>
      <c r="E11" s="48"/>
      <c r="F11" s="48"/>
      <c r="G11" s="49"/>
      <c r="H11" s="49"/>
      <c r="I11" s="49"/>
      <c r="J11" s="49"/>
      <c r="K11" s="49"/>
      <c r="L11" s="49"/>
      <c r="M11" s="49"/>
      <c r="N11" s="53"/>
      <c r="O11" s="53"/>
      <c r="P11" s="56"/>
      <c r="Q11" s="49"/>
      <c r="R11" s="49"/>
      <c r="S11" s="54"/>
      <c r="T11" s="49"/>
      <c r="U11" s="49"/>
      <c r="V11" s="49"/>
    </row>
    <row r="12" spans="1:26" ht="21" customHeight="1">
      <c r="A12" s="49"/>
      <c r="B12" s="52"/>
      <c r="C12" s="48"/>
      <c r="D12" s="48"/>
      <c r="E12" s="48"/>
      <c r="F12" s="48"/>
      <c r="G12" s="49"/>
      <c r="H12" s="49"/>
      <c r="I12" s="49"/>
      <c r="J12" s="49"/>
      <c r="K12" s="49"/>
      <c r="L12" s="49"/>
      <c r="M12" s="49"/>
      <c r="N12" s="53"/>
      <c r="O12" s="53"/>
      <c r="P12" s="56"/>
      <c r="Q12" s="49"/>
      <c r="R12" s="49"/>
      <c r="S12" s="54"/>
      <c r="T12" s="49"/>
      <c r="U12" s="49"/>
      <c r="V12" s="49"/>
    </row>
    <row r="13" spans="1:26" ht="21" customHeight="1">
      <c r="A13" s="38"/>
      <c r="B13" s="34"/>
      <c r="C13" s="22"/>
      <c r="D13" s="22"/>
      <c r="E13" s="22"/>
      <c r="F13" s="22"/>
      <c r="G13" s="23"/>
      <c r="H13" s="23"/>
      <c r="I13" s="38"/>
      <c r="J13" s="38"/>
      <c r="K13" s="38"/>
      <c r="L13" s="38"/>
      <c r="M13" s="38"/>
      <c r="N13" s="39"/>
      <c r="O13" s="38"/>
      <c r="P13" s="38"/>
      <c r="Q13" s="38"/>
      <c r="R13" s="38"/>
      <c r="S13" s="35"/>
      <c r="T13" s="38"/>
      <c r="U13" s="38"/>
      <c r="V13" s="38"/>
    </row>
    <row r="14" spans="1:26" ht="21" customHeight="1">
      <c r="A14" s="23"/>
      <c r="B14" s="34"/>
      <c r="C14" s="22"/>
      <c r="D14" s="22"/>
      <c r="E14" s="22" t="s">
        <v>111</v>
      </c>
      <c r="F14" s="22"/>
      <c r="I14" s="23"/>
      <c r="J14" s="23"/>
      <c r="K14" s="23"/>
      <c r="L14" s="23"/>
      <c r="M14" s="23"/>
      <c r="N14" s="23"/>
      <c r="O14" s="24"/>
      <c r="P14" s="23"/>
      <c r="Q14" s="24"/>
      <c r="R14" s="24"/>
      <c r="S14" s="35"/>
      <c r="V14" s="23"/>
    </row>
    <row r="19" spans="3:4">
      <c r="C19" s="11"/>
      <c r="D19" s="11"/>
    </row>
  </sheetData>
  <dataConsolidate/>
  <phoneticPr fontId="15" type="noConversion"/>
  <conditionalFormatting sqref="B4:B10">
    <cfRule type="containsText" dxfId="16" priority="10" operator="containsText" text="&lt;now&gt;">
      <formula>NOT(ISERROR(SEARCH("&lt;now&gt;",B4)))</formula>
    </cfRule>
  </conditionalFormatting>
  <conditionalFormatting sqref="M4:M10">
    <cfRule type="containsText" dxfId="15" priority="1" operator="containsText" text="Continuous">
      <formula>NOT(ISERROR(SEARCH("Continuous",M4)))</formula>
    </cfRule>
    <cfRule type="containsText" dxfId="14" priority="2" operator="containsText" text="Meta">
      <formula>NOT(ISERROR(SEARCH("Meta",M4)))</formula>
    </cfRule>
    <cfRule type="containsText" dxfId="13" priority="3" operator="containsText" text="Testing/Review">
      <formula>NOT(ISERROR(SEARCH("Testing/Review",M4)))</formula>
    </cfRule>
    <cfRule type="containsText" dxfId="12" priority="5" operator="containsText" text="Note">
      <formula>NOT(ISERROR(SEARCH("Note",M4)))</formula>
    </cfRule>
    <cfRule type="containsText" dxfId="11" priority="11" operator="containsText" text="Done">
      <formula>NOT(ISERROR(SEARCH("Done",M4)))</formula>
    </cfRule>
    <cfRule type="containsText" dxfId="10" priority="12" operator="containsText" text="In progress">
      <formula>NOT(ISERROR(SEARCH("In progress",M4)))</formula>
    </cfRule>
    <cfRule type="containsText" dxfId="9" priority="13" operator="containsText" text="To do">
      <formula>NOT(ISERROR(SEARCH("To do",M4)))</formula>
    </cfRule>
  </conditionalFormatting>
  <conditionalFormatting sqref="S4:S10">
    <cfRule type="cellIs" dxfId="8" priority="4" operator="lessThan">
      <formula>TODAY()</formula>
    </cfRule>
  </conditionalFormatting>
  <conditionalFormatting sqref="U4:U10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10" xr:uid="{766D8D3E-6ED5-47EC-98D7-2188FA5185B3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0" xr:uid="{77AD9D4D-2403-4B08-8889-3785B6702005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10" xr:uid="{072A1EE0-5111-436F-AA82-7BB5F2F03D4F}">
      <formula1>_Tag_2Vdata</formula1>
    </dataValidation>
  </dataValidations>
  <hyperlinks>
    <hyperlink ref="C6" location="Planning!A1" display="Planning!A1" xr:uid="{00C8E7A7-2E80-4183-933F-3975E4FA5151}"/>
    <hyperlink ref="C4" location="Planning!A1" display="Planning!A1" xr:uid="{1321BC84-BB76-4D91-A9DF-B0A1FDFB085B}"/>
    <hyperlink ref="C5" location="Planning!A1" display="Planning!A1" xr:uid="{95584734-70F3-4D5B-9D2F-FDA405B7C3E8}"/>
    <hyperlink ref="C10" location="Planning!A1" display="Planning!A1" xr:uid="{7794ADAB-AD48-45BA-90B3-144D9C081A06}"/>
    <hyperlink ref="C9" location="Planning!A1" display="Planning!A1" xr:uid="{7BCE2589-0E17-4BC2-A553-95C660550F2E}"/>
    <hyperlink ref="C8" location="Planning!A1" display="Planning!A1" xr:uid="{389C5B0D-D293-4F06-AD91-03A096E7C894}"/>
    <hyperlink ref="C7" location="Planning!A1" display="Planning!A1" xr:uid="{EAA399FC-38CB-4C14-98DC-800C8CFC838D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4F79-1EC7-40FF-A08A-6925F46B1038}">
  <sheetPr codeName="EbsSheetTemplate1"/>
  <dimension ref="A15:T49"/>
  <sheetViews>
    <sheetView workbookViewId="0">
      <selection activeCell="C26" sqref="C26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44075.829351851855</v>
      </c>
      <c r="C19" t="s">
        <v>222</v>
      </c>
      <c r="D19" t="s">
        <v>26</v>
      </c>
      <c r="E19" t="s">
        <v>208</v>
      </c>
      <c r="F19" t="s">
        <v>219</v>
      </c>
      <c r="G19" t="s">
        <v>220</v>
      </c>
      <c r="H19" t="s">
        <v>221</v>
      </c>
      <c r="J19" t="s">
        <v>126</v>
      </c>
      <c r="K19" t="s">
        <v>188</v>
      </c>
      <c r="L19">
        <v>1</v>
      </c>
      <c r="M19" s="2">
        <v>0.25000000011641499</v>
      </c>
      <c r="N19" s="2">
        <v>3</v>
      </c>
      <c r="O19" t="s">
        <v>229</v>
      </c>
      <c r="P19" t="s">
        <v>230</v>
      </c>
      <c r="Q19" t="s">
        <v>230</v>
      </c>
      <c r="R19" t="s">
        <v>226</v>
      </c>
      <c r="S19" t="s">
        <v>231</v>
      </c>
      <c r="T19" t="s">
        <v>232</v>
      </c>
    </row>
    <row r="20" spans="1:20">
      <c r="A20" t="s">
        <v>127</v>
      </c>
      <c r="B20" s="17">
        <v>44161.546388888892</v>
      </c>
      <c r="C20" t="s">
        <v>228</v>
      </c>
      <c r="D20" t="s">
        <v>26</v>
      </c>
      <c r="E20" t="s">
        <v>226</v>
      </c>
      <c r="F20" t="s">
        <v>244</v>
      </c>
      <c r="G20" t="s">
        <v>245</v>
      </c>
      <c r="H20" t="s">
        <v>227</v>
      </c>
      <c r="J20" t="s">
        <v>127</v>
      </c>
      <c r="K20" t="s">
        <v>190</v>
      </c>
      <c r="L20">
        <v>2</v>
      </c>
      <c r="M20" s="2">
        <v>0.420833333395422</v>
      </c>
      <c r="N20" s="2">
        <v>2</v>
      </c>
      <c r="O20" t="s">
        <v>233</v>
      </c>
      <c r="P20" t="s">
        <v>234</v>
      </c>
      <c r="Q20" t="s">
        <v>235</v>
      </c>
      <c r="R20" t="s">
        <v>226</v>
      </c>
      <c r="S20" t="s">
        <v>236</v>
      </c>
      <c r="T20" t="s">
        <v>237</v>
      </c>
    </row>
    <row r="21" spans="1:20">
      <c r="B21" s="17"/>
      <c r="J21" t="s">
        <v>191</v>
      </c>
      <c r="K21" t="s">
        <v>185</v>
      </c>
      <c r="L21">
        <v>3</v>
      </c>
      <c r="M21" s="2">
        <v>0</v>
      </c>
      <c r="N21" s="2">
        <v>6</v>
      </c>
      <c r="O21" t="s">
        <v>238</v>
      </c>
      <c r="P21" t="s">
        <v>238</v>
      </c>
      <c r="Q21" t="s">
        <v>239</v>
      </c>
      <c r="R21" t="s">
        <v>226</v>
      </c>
      <c r="S21" t="s">
        <v>240</v>
      </c>
      <c r="T21" t="s">
        <v>241</v>
      </c>
    </row>
    <row r="22" spans="1:20">
      <c r="B22" s="17"/>
      <c r="J22" t="s">
        <v>194</v>
      </c>
      <c r="K22" t="s">
        <v>223</v>
      </c>
      <c r="L22">
        <v>4</v>
      </c>
      <c r="M22" s="2">
        <v>0</v>
      </c>
      <c r="N22" s="2">
        <v>0.25</v>
      </c>
      <c r="O22" t="s">
        <v>242</v>
      </c>
      <c r="P22" t="s">
        <v>242</v>
      </c>
      <c r="Q22" t="s">
        <v>243</v>
      </c>
      <c r="R22" t="s">
        <v>226</v>
      </c>
      <c r="S22" t="s">
        <v>244</v>
      </c>
      <c r="T22" t="s">
        <v>245</v>
      </c>
    </row>
    <row r="23" spans="1:20">
      <c r="B23" s="17"/>
      <c r="M23" s="2"/>
      <c r="N23" s="2"/>
    </row>
    <row r="24" spans="1:20">
      <c r="B24" s="17"/>
      <c r="M24" s="2"/>
      <c r="N24" s="2"/>
    </row>
    <row r="25" spans="1:20">
      <c r="B25" s="17"/>
      <c r="M25" s="2"/>
      <c r="N25" s="2"/>
    </row>
    <row r="26" spans="1:20">
      <c r="B26" s="17"/>
      <c r="M26" s="2"/>
      <c r="N26" s="2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4" spans="2:2">
      <c r="B44" s="17"/>
    </row>
    <row r="47" spans="2:2">
      <c r="B47" s="17"/>
    </row>
    <row r="48" spans="2:2">
      <c r="B48" s="17"/>
    </row>
    <row r="49" spans="2:2">
      <c r="B49" s="17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0" xr:uid="{503D7EF0-BD68-4F1B-A08C-1DC78EBBFB1D}">
      <formula1>"Yes,No"</formula1>
    </dataValidation>
    <dataValidation type="list" allowBlank="1" showInputMessage="1" showErrorMessage="1" sqref="F16" xr:uid="{EE947B28-D3C6-4A37-A818-455F3BE76CCF}">
      <formula1>"Time,Date"</formula1>
    </dataValidation>
    <dataValidation type="list" allowBlank="1" showInputMessage="1" showErrorMessage="1" sqref="F15:H15" xr:uid="{8321FCB0-644F-4631-8E04-3C5EC294D44A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173</v>
      </c>
    </row>
    <row r="13" spans="1:10">
      <c r="B13" t="s">
        <v>88</v>
      </c>
      <c r="C13" t="s">
        <v>172</v>
      </c>
      <c r="D13" s="2"/>
      <c r="E13" s="2"/>
    </row>
    <row r="14" spans="1:10">
      <c r="B14" s="2" t="s">
        <v>90</v>
      </c>
      <c r="C14" s="12" t="s">
        <v>171</v>
      </c>
    </row>
    <row r="17" spans="1:2">
      <c r="A17" t="s">
        <v>83</v>
      </c>
    </row>
    <row r="19" spans="1:2">
      <c r="A19" s="10" t="s">
        <v>141</v>
      </c>
    </row>
    <row r="20" spans="1:2">
      <c r="A20" s="10"/>
    </row>
    <row r="21" spans="1:2">
      <c r="B21" t="s">
        <v>139</v>
      </c>
    </row>
    <row r="23" spans="1:2">
      <c r="B23" t="s">
        <v>140</v>
      </c>
    </row>
    <row r="25" spans="1:2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170</v>
      </c>
    </row>
    <row r="9" spans="1:2">
      <c r="A9" t="s">
        <v>28</v>
      </c>
    </row>
    <row r="10" spans="1:2">
      <c r="B10" t="s">
        <v>175</v>
      </c>
    </row>
    <row r="11" spans="1:2">
      <c r="B11" t="s">
        <v>182</v>
      </c>
    </row>
    <row r="12" spans="1:2">
      <c r="B12" t="s">
        <v>178</v>
      </c>
    </row>
    <row r="13" spans="1:2">
      <c r="B13" t="s">
        <v>181</v>
      </c>
    </row>
    <row r="14" spans="1:2">
      <c r="B14" t="s">
        <v>179</v>
      </c>
    </row>
    <row r="15" spans="1:2">
      <c r="B15" t="s">
        <v>180</v>
      </c>
    </row>
    <row r="16" spans="1:2">
      <c r="B16" t="s">
        <v>184</v>
      </c>
    </row>
    <row r="17" spans="1:2">
      <c r="A17" t="s">
        <v>31</v>
      </c>
    </row>
    <row r="18" spans="1:2">
      <c r="B18" t="s">
        <v>174</v>
      </c>
    </row>
    <row r="19" spans="1:2">
      <c r="B19" t="s">
        <v>176</v>
      </c>
    </row>
    <row r="20" spans="1:2">
      <c r="B20" t="s">
        <v>177</v>
      </c>
    </row>
    <row r="21" spans="1:2">
      <c r="B21" t="s">
        <v>183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defaultColWidth="11.5546875" defaultRowHeight="14.4"/>
  <sheetData>
    <row r="1" spans="1:5">
      <c r="E1" s="40" t="s">
        <v>135</v>
      </c>
    </row>
    <row r="2" spans="1: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>
      <c r="A3" t="s">
        <v>169</v>
      </c>
      <c r="B3" t="s">
        <v>18</v>
      </c>
      <c r="C3" t="s">
        <v>201</v>
      </c>
      <c r="D3" t="s">
        <v>246</v>
      </c>
      <c r="E3" t="s">
        <v>132</v>
      </c>
    </row>
    <row r="4" spans="1:5">
      <c r="A4" t="s">
        <v>134</v>
      </c>
      <c r="D4" t="s">
        <v>196</v>
      </c>
      <c r="E4" t="s">
        <v>91</v>
      </c>
    </row>
    <row r="5" spans="1:5">
      <c r="A5" t="s">
        <v>163</v>
      </c>
      <c r="D5" t="s">
        <v>199</v>
      </c>
      <c r="E5" t="s">
        <v>130</v>
      </c>
    </row>
    <row r="6" spans="1:5">
      <c r="A6" t="s">
        <v>164</v>
      </c>
      <c r="E6" t="s">
        <v>143</v>
      </c>
    </row>
    <row r="7" spans="1:5">
      <c r="A7" t="s">
        <v>148</v>
      </c>
      <c r="E7" t="s">
        <v>131</v>
      </c>
    </row>
    <row r="8" spans="1:5">
      <c r="A8" t="s">
        <v>162</v>
      </c>
      <c r="E8" t="s">
        <v>134</v>
      </c>
    </row>
    <row r="9" spans="1:5">
      <c r="A9" t="s">
        <v>160</v>
      </c>
      <c r="E9" t="s">
        <v>133</v>
      </c>
    </row>
    <row r="10" spans="1:5">
      <c r="A10" t="s">
        <v>161</v>
      </c>
    </row>
    <row r="11" spans="1:5">
      <c r="A11" t="s">
        <v>159</v>
      </c>
    </row>
    <row r="12" spans="1:5">
      <c r="A12" t="s">
        <v>158</v>
      </c>
    </row>
    <row r="13" spans="1:5">
      <c r="A13" t="s">
        <v>157</v>
      </c>
    </row>
    <row r="14" spans="1:5">
      <c r="A14" t="s">
        <v>156</v>
      </c>
    </row>
    <row r="15" spans="1:5">
      <c r="A15" t="s">
        <v>155</v>
      </c>
    </row>
    <row r="16" spans="1:5">
      <c r="A16" t="s">
        <v>154</v>
      </c>
    </row>
    <row r="17" spans="1:1">
      <c r="A17" t="s">
        <v>149</v>
      </c>
    </row>
    <row r="18" spans="1:1">
      <c r="A18" t="s">
        <v>152</v>
      </c>
    </row>
    <row r="19" spans="1:1">
      <c r="A19" t="s">
        <v>153</v>
      </c>
    </row>
    <row r="20" spans="1:1">
      <c r="A20" t="s">
        <v>151</v>
      </c>
    </row>
    <row r="21" spans="1:1">
      <c r="A21" t="s">
        <v>150</v>
      </c>
    </row>
    <row r="22" spans="1:1">
      <c r="A22" t="s">
        <v>146</v>
      </c>
    </row>
    <row r="23" spans="1:1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VSHEET_STOR_7E980E</vt:lpstr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2020-11-26T15:51:16Z</dcterms:modified>
  <cp:category/>
  <cp:contentStatus/>
</cp:coreProperties>
</file>