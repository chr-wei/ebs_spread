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8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F10B8054-883B-4A1D-A788-C0A41C70A15F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Analysis" sheetId="1004" r:id="rId2"/>
    <sheet name="Settings" sheetId="418" r:id="rId3"/>
    <sheet name="Messages" sheetId="1390" r:id="rId4"/>
    <sheet name="Task sheet template" sheetId="5" state="hidden" r:id="rId5"/>
    <sheet name="Version info" sheetId="3" r:id="rId6"/>
    <sheet name="EbsSheet template" sheetId="440" state="hidden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5" l="1"/>
  <c r="B4" i="5" s="1"/>
  <c r="L16" i="5" l="1"/>
  <c r="B11" i="5"/>
  <c r="J4" i="418"/>
  <c r="M16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<sst xmlns="http://schemas.openxmlformats.org/spreadsheetml/2006/main" count="210" uniqueCount="181">
  <si>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</si>
  <si>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</si>
  <si>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</si>
  <si>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</si>
  <si>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</si>
  <si>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</si>
  <si>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</si>
  <si>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</si>
  <si>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</si>
  <si>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</si>
  <si>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</si>
  <si>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</si>
  <si>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</si>
  <si>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</si>
  <si>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</si>
  <si>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</si>
  <si>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</si>
  <si>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</si>
  <si>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</si>
  <si>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</si>
  <si>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</si>
  <si>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</si>
  <si>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</si>
  <si>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</si>
  <si>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</si>
  <si>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</si>
  <si>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</si>
  <si>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</si>
  <si>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</si>
  <si>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</si>
  <si>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</si>
  <si>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</si>
  <si>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</si>
  <si>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</si>
  <si>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</si>
  <si>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</si>
  <si>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</si>
  <si>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</si>
  <si>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</si>
  <si>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</si>
  <si>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</si>
  <si>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</si>
  <si>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</si>
  <si>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</si>
  <si>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</si>
  <si>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</si>
  <si>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</si>
  <si>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</si>
  <si>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</si>
  <si>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</si>
  <si>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</si>
  <si>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</si>
  <si>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</si>
  <si>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</si>
  <si>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</si>
  <si>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</si>
  <si>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</si>
  <si>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</si>
  <si>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</si>
  <si>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</si>
  <si>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</si>
  <si>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</si>
  <si>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</si>
  <si>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</si>
  <si>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</si>
  <si>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</si>
  <si>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</si>
  <si>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</si>
  <si>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</si>
  <si>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</si>
  <si>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</si>
  <si>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</si>
  <si>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</si>
  <si>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</si>
  <si>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</si>
  <si>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</si>
  <si>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</si>
  <si>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</si>
  <si>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</si>
  <si>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</si>
  <si>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</si>
  <si>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</si>
  <si>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</si>
  <si>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</si>
  <si>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</si>
  <si>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</si>
  <si>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</si>
  <si>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</si>
  <si>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hh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</si>
  <si>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</si>
  <si>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</si>
  <si>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</si>
  <si>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</si>
  <si>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</si>
  <si>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</si>
  <si>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</si>
  <si>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</si>
  <si>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</si>
  <si>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</si>
  <si>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</si>
  <si>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</si>
  <si>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</si>
  <si>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</si>
  <si>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</si>
  <si>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</si>
  <si>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</si>
  <si>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</si>
  <si>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</si>
  <si>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</si>
  <si>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</si>
  <si>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</si>
  <si>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</si>
  <si>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</si>
  <si>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</si>
  <si>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</si>
  <si>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</si>
  <si>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</si>
  <si>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</si>
  <si>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</si>
  <si>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</si>
  <si>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</si>
  <si>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 xml:space="preserve"> (imported2)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</si>
  <si>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</si>
  <si>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</si>
  <si>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</si>
  <si>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</si>
  <si>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</si>
  <si>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</si>
  <si>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</si>
  <si>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</si>
  <si>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</si>
  <si>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</si>
  <si>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</si>
  <si>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</si>
  <si>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</si>
  <si>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#000003</t>
  </si>
  <si>
    <t>#000004</t>
  </si>
  <si>
    <t>#000005</t>
  </si>
  <si>
    <t>#000006</t>
  </si>
  <si>
    <t>#000007</t>
  </si>
  <si>
    <t>#000008</t>
  </si>
  <si>
    <t>#000009</t>
  </si>
  <si>
    <t>#000010</t>
  </si>
  <si>
    <t>#000011</t>
  </si>
  <si>
    <t>Day</t>
  </si>
  <si>
    <t>#000012</t>
  </si>
  <si>
    <t>#000013</t>
  </si>
  <si>
    <t>#000014</t>
  </si>
  <si>
    <t>#000015</t>
  </si>
  <si>
    <t>#000016</t>
  </si>
  <si>
    <t>#000017</t>
  </si>
  <si>
    <t>#000018</t>
  </si>
  <si>
    <t>#000019</t>
  </si>
  <si>
    <t>#000020</t>
  </si>
  <si>
    <t>#000021</t>
  </si>
  <si>
    <t>#000022</t>
  </si>
  <si>
    <t>#000023</t>
  </si>
  <si>
    <t>#000024</t>
  </si>
  <si>
    <t>#000025</t>
  </si>
  <si>
    <t>#000026</t>
  </si>
  <si>
    <t>#000027</t>
  </si>
  <si>
    <t>#000028</t>
  </si>
  <si>
    <t>#000029</t>
  </si>
  <si>
    <t>#000030</t>
  </si>
  <si>
    <t>#000031</t>
  </si>
  <si>
    <t>#000032</t>
  </si>
  <si>
    <t>#000033</t>
  </si>
  <si>
    <t>#000034</t>
  </si>
  <si>
    <t>#000035</t>
  </si>
  <si>
    <t>#000036</t>
  </si>
  <si>
    <t>#000037</t>
  </si>
  <si>
    <t>#000038</t>
  </si>
  <si>
    <t>#000039</t>
  </si>
  <si>
    <t>#000040</t>
  </si>
  <si>
    <t>#000041</t>
  </si>
  <si>
    <t>#000042</t>
  </si>
  <si>
    <t>#000043</t>
  </si>
  <si>
    <t>#000044</t>
  </si>
  <si>
    <t>#000045</t>
  </si>
  <si>
    <t>#000046</t>
  </si>
  <si>
    <t>Created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</si>
</sst>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5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22" fontId="6" fillId="0" borderId="0" xfId="1" applyNumberFormat="1" applyFill="1" applyAlignment="1"/>
    <xf numFmtId="0" fontId="1" fillId="0" borderId="0" xfId="0" applyFont="1" applyAlignment="1"/>
    <xf numFmtId="0" fontId="0" fillId="0" borderId="0" xfId="0" applyAlignment="1"/>
    <xf numFmtId="0" fontId="5" fillId="0" borderId="0" xfId="0" applyFont="1" applyAlignment="1"/>
    <xf numFmtId="0" fontId="0" fillId="0" borderId="0" xfId="0" applyFill="1" applyAlignment="1">
      <alignment wrapText="1"/>
    </xf>
    <xf numFmtId="0" fontId="6" fillId="0" borderId="0" xfId="1" applyFill="1" applyAlignment="1">
      <alignment wrapText="1"/>
    </xf>
    <xf numFmtId="0" fontId="7" fillId="0" borderId="0" xfId="2" applyFont="1" applyFill="1" applyAlignment="1">
      <alignment wrapText="1"/>
    </xf>
    <xf numFmtId="0" fontId="7" fillId="0" borderId="0" xfId="0" applyFont="1" applyFill="1" applyAlignment="1">
      <alignment wrapText="1"/>
    </xf>
    <xf numFmtId="2" fontId="0" fillId="0" borderId="0" xfId="0" applyNumberFormat="1" applyFill="1" applyAlignment="1">
      <alignment wrapText="1"/>
    </xf>
    <xf numFmtId="14" fontId="6" fillId="0" borderId="0" xfId="1" applyNumberFormat="1" applyFill="1" applyAlignment="1">
      <alignment wrapText="1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  <xf numFmtId="22" fontId="0" fillId="0" borderId="0" xfId="0" applyNumberFormat="1" applyFill="1" applyAlignment="1">
      <alignment wrapText="1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5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b/>
        <i val="0"/>
        <color rgb="FF00B0F0"/>
      </font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colors>
    <mruColors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200025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752475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18</xdr:col>
      <xdr:colOff>571500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76200</xdr:colOff>
          <xdr:row>0</xdr:row>
          <xdr:rowOff>85725</xdr:rowOff>
        </xdr:from>
        <xdr:to>
          <xdr:col>2</xdr:col>
          <xdr:colOff>609600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85725</xdr:rowOff>
        </xdr:from>
        <xdr:to>
          <xdr:col>6</xdr:col>
          <xdr:colOff>123825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352425</xdr:rowOff>
        </xdr:from>
        <xdr:to>
          <xdr:col>4</xdr:col>
          <xdr:colOff>57150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0</xdr:row>
          <xdr:rowOff>85725</xdr:rowOff>
        </xdr:from>
        <xdr:to>
          <xdr:col>4</xdr:col>
          <xdr:colOff>57150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561975</xdr:rowOff>
        </xdr:from>
        <xdr:to>
          <xdr:col>2</xdr:col>
          <xdr:colOff>2133600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704850</xdr:colOff>
          <xdr:row>0</xdr:row>
          <xdr:rowOff>85725</xdr:rowOff>
        </xdr:from>
        <xdr:to>
          <xdr:col>3</xdr:col>
          <xdr:colOff>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76200</xdr:rowOff>
        </xdr:from>
        <xdr:to>
          <xdr:col>7</xdr:col>
          <xdr:colOff>838200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333375</xdr:rowOff>
        </xdr:from>
        <xdr:to>
          <xdr:col>7</xdr:col>
          <xdr:colOff>838200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66675</xdr:rowOff>
        </xdr:from>
        <xdr:to>
          <xdr:col>9</xdr:col>
          <xdr:colOff>742950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</xdr:colOff>
          <xdr:row>0</xdr:row>
          <xdr:rowOff>333375</xdr:rowOff>
        </xdr:from>
        <xdr:to>
          <xdr:col>9</xdr:col>
          <xdr:colOff>742950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8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0</xdr:row>
          <xdr:rowOff>352425</xdr:rowOff>
        </xdr:from>
        <xdr:to>
          <xdr:col>6</xdr:col>
          <xdr:colOff>123825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161925</xdr:colOff>
          <xdr:row>0</xdr:row>
          <xdr:rowOff>590550</xdr:rowOff>
        </xdr:from>
        <xdr:to>
          <xdr:col>7</xdr:col>
          <xdr:colOff>838200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3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4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4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18</xdr:row>
          <xdr:rowOff>171450</xdr:rowOff>
        </xdr:from>
        <xdr:to>
          <xdr:col>0</xdr:col>
          <xdr:colOff>1638300</xdr:colOff>
          <xdr:row>20</xdr:row>
          <xdr:rowOff>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4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180975</xdr:rowOff>
        </xdr:from>
        <xdr:to>
          <xdr:col>0</xdr:col>
          <xdr:colOff>1638300</xdr:colOff>
          <xdr:row>22</xdr:row>
          <xdr:rowOff>9525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4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 of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5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14</xdr:row>
      <xdr:rowOff>0</xdr:rowOff>
    </xdr:from>
    <xdr:to>
      <xdr:col>9</xdr:col>
      <xdr:colOff>1304925</xdr:colOff>
      <xdr:row>16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14</xdr:row>
      <xdr:rowOff>0</xdr:rowOff>
    </xdr:from>
    <xdr:to>
      <xdr:col>12</xdr:col>
      <xdr:colOff>514350</xdr:colOff>
      <xdr:row>16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8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8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4" insertRow="1" totalsRowShown="0" dataDxfId="12">
  <autoFilter ref="A3:Q4" xr:uid="{520F3973-795E-47E6-97CD-1C1265CA838A}"/>
  <sortState xmlns:xlrd2="http://schemas.microsoft.com/office/spreadsheetml/2017/richdata2" ref="A4:Q4">
    <sortCondition descending="1" ref="P3:P4"/>
  </sortState>
  <tableColumns count="17">
    <tableColumn id="1" xr3:uid="{78BB2EF9-C626-4B0D-94B3-1781BE57C67F}" name="Task no." dataDxfId="29" dataCellStyle="Standard"/>
    <tableColumn id="3" xr3:uid="{3AD21368-826B-4507-A159-BE8BE5B02C1F}" name="Indicator" dataDxfId="28" dataCellStyle="Spaltenebene_1"/>
    <tableColumn id="2" xr3:uid="{C139B307-7150-4838-B1FD-482AAB7B1208}" name="Task name" dataDxfId="27" dataCellStyle="Link"/>
    <tableColumn id="18" xr3:uid="{3B298737-E571-4F23-9C71-2BC3C2385355}" name="Comment" dataDxfId="26" dataCellStyle="Link"/>
    <tableColumn id="4" xr3:uid="{E2EAEAF6-33EC-4D8C-B42E-C249C36E3D3C}" name="%Tag 1" dataDxfId="25" dataCellStyle="Standard"/>
    <tableColumn id="5" xr3:uid="{1E4EAD98-8B30-4F09-AA64-D7613D00651F}" name="%Tag 2" dataDxfId="24" dataCellStyle="Standard"/>
    <tableColumn id="6" xr3:uid="{9E1E50BB-6DA2-47A1-BB20-8C9FAC4B0DB5}" name="%Tag 3" dataDxfId="23" dataCellStyle="Standard"/>
    <tableColumn id="10" xr3:uid="{85CEF83B-6217-49AE-8974-E4D5953E2637}" name="Kanban list" dataDxfId="22" dataCellStyle="Standard"/>
    <tableColumn id="11" xr3:uid="{E542542F-D34F-488A-95AF-76A724785E5A}" name="User time estimate" dataDxfId="21" dataCellStyle="Standard"/>
    <tableColumn id="12" xr3:uid="{7DA005F8-D924-4031-B65E-6C6F60E3212D}" name="Total time" dataDxfId="20" dataCellStyle="Standard"/>
    <tableColumn id="16" xr3:uid="{209AEE68-BDAE-4E8C-BCF6-6EEA4F9A7FDE}" name="Finished on" dataDxfId="19" dataCellStyle="Standard"/>
    <tableColumn id="8" xr3:uid="{727785B7-29B9-493D-A20B-C319B38E1DF3}" name="EBS 50% time" dataDxfId="18" dataCellStyle="Standard"/>
    <tableColumn id="9" xr3:uid="{B12BA9B8-3C81-408C-AFE4-25993FD8491D}" name="EBS 50% date" dataDxfId="17" dataCellStyle="Standard"/>
    <tableColumn id="20" xr3:uid="{DAE27A09-2EB0-4A47-A9F0-48ED802D8570}" name="Due date" dataDxfId="16" dataCellStyle="Spaltenebene_1"/>
    <tableColumn id="19" xr3:uid="{7A8CB495-6AE9-4A1E-AC5B-8B6487C84135}" name="Contributor" dataDxfId="15" dataCellStyle="Standard"/>
    <tableColumn id="17" xr3:uid="{EF767A93-0B38-4A66-A27B-92321C0E655C}" name="Priority" dataDxfId="14" dataCellStyle="Standard"/>
    <tableColumn id="15" xr3:uid="{2ADBC76B-EB88-4BCD-8956-7B4B22C5A3D4}" name="tHASH" dataDxfId="13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54" totalsRowShown="0" headerRowDxfId="50" dataDxfId="48" headerRowBorderDxfId="49">
  <autoFilter ref="A8:D54" xr:uid="{8E9EC0C1-7901-48B6-A59A-1CE6ABEE7A55}"/>
  <tableColumns count="4">
    <tableColumn id="1" xr3:uid="{58BB2187-C79D-4A1A-A9A3-DA2F074C476C}" name="Split entry no." dataDxfId="47"/>
    <tableColumn id="2" xr3:uid="{A755482D-FFF4-43D8-8021-1956CE3A7021}" name="Split start" dataDxfId="46"/>
    <tableColumn id="3" xr3:uid="{FE0A0B8D-1F8A-4CEC-9FB3-C945A45F99BF}" name="Split end" dataDxfId="45"/>
    <tableColumn id="4" xr3:uid="{5443222D-0CE3-4625-9EDB-D13B87B6C388}" name="Time spent" dataDxfId="44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43" dataCellStyle="Link"/>
    <tableColumn id="9" xr3:uid="{0037D127-E2BA-445A-BC63-1395BA3AC441}" name="Calendar ID" dataDxfId="42" dataCellStyle="Link"/>
    <tableColumn id="10" xr3:uid="{37CA3B7B-8FF0-4042-97C6-E23A79A74325}" name="Store ID"/>
    <tableColumn id="6" xr3:uid="{044D8005-25C5-4D31-940A-B6DE4C6B0EA5}" name="WorkingDays" dataDxfId="41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40"/>
    <tableColumn id="8" xr3:uid="{1177B0FB-46B2-406D-B988-C64E0ABA6972}" name="AppointmentOffsetHours" dataDxfId="39">
      <calculatedColumnFormula>5/60</calculatedColumnFormula>
    </tableColumn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5:G16" totalsRowShown="0">
  <autoFilter ref="A15:G16" xr:uid="{40D13D02-1E69-496D-8B92-B7ECCFB4FAB3}"/>
  <sortState xmlns:xlrd2="http://schemas.microsoft.com/office/spreadsheetml/2017/richdata2" ref="A16:E16">
    <sortCondition ref="A15:A16"/>
  </sortState>
  <tableColumns count="7">
    <tableColumn id="1" xr3:uid="{79398A77-C401-45B7-A5F3-FD95241DA46D}" name="Time entry no."/>
    <tableColumn id="2" xr3:uid="{B05CE561-2857-4C79-94B9-B743D40A6B9B}" name="Start time" dataDxfId="38"/>
    <tableColumn id="3" xr3:uid="{78DABF02-3853-48FF-81AD-5801C74BED1B}" name="End time" dataDxfId="37"/>
    <tableColumn id="4" xr3:uid="{76C994F9-216A-4848-9FB6-16BAF8B0EEEA}" name="Time delta in h" dataDxfId="36">
      <calculatedColumnFormula>MAX((TimeEntries[[#This Row],[End time]]-TimeEntries[[#This Row],[Start time]])*24,0)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5:M16" totalsRowShown="0">
  <autoFilter ref="I15:M16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35"/>
    <tableColumn id="3" xr3:uid="{A62B365F-400F-45A4-B789-FE7B5FDBD312}" name="EBS self time" dataDxfId="34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33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32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31"/>
    <tableColumn id="4" xr3:uid="{F9EDA55E-5206-49A7-A846-6A0B14C04CAF}" name="User time estimate" dataDxfId="30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V39"/>
  <sheetViews>
    <sheetView tabSelected="1" topLeftCell="B1" zoomScaleNormal="100" workbookViewId="0">
      <selection activeCell="C15" sqref="C15"/>
    </sheetView>
  </sheetViews>
  <sheetFormatPr baseColWidth="10" defaultColWidth="11.42578125" defaultRowHeight="15" outlineLevelCol="1" x14ac:dyDescent="0.25"/>
  <cols>
    <col min="1" max="1" width="10.42578125" style="6" hidden="1" customWidth="1" outlineLevel="1"/>
    <col min="2" max="2" width="13.5703125" style="38" bestFit="1" customWidth="1" collapsed="1"/>
    <col min="3" max="3" width="32.140625" style="9" customWidth="1"/>
    <col min="4" max="4" width="25.7109375" style="9" customWidth="1"/>
    <col min="6" max="6" width="9.85546875" style="7" customWidth="1"/>
    <col min="7" max="7" width="11.42578125" style="7" bestFit="1" customWidth="1"/>
    <col min="8" max="8" width="13" style="7" bestFit="1" customWidth="1"/>
    <col min="9" max="10" width="20.42578125" style="10" bestFit="1" customWidth="1"/>
    <col min="11" max="11" width="21.5703125" style="6" hidden="1" customWidth="1" outlineLevel="1"/>
    <col min="12" max="12" width="15" style="10" hidden="1" customWidth="1" outlineLevel="1"/>
    <col min="13" max="13" width="15.7109375" style="10" hidden="1" customWidth="1" outlineLevel="1"/>
    <col min="14" max="14" width="15.7109375" style="38" customWidth="1" collapsed="1"/>
    <col min="15" max="15" width="13.5703125" hidden="1" customWidth="1" outlineLevel="1"/>
    <col min="16" max="16" width="11.42578125" hidden="1" customWidth="1" outlineLevel="1"/>
    <col min="17" max="17" width="20.28515625" style="6" hidden="1" customWidth="1" outlineLevel="1"/>
    <col min="18" max="18" width="15.7109375" style="38" customWidth="1" collapsed="1"/>
    <col min="19" max="19" width="9.85546875" customWidth="1"/>
    <col min="20" max="20" width="15.85546875" customWidth="1"/>
    <col min="21" max="21" width="3.7109375" style="3" customWidth="1"/>
  </cols>
  <sheetData>
    <row r="1" spans="1:22" ht="65.25" customHeight="1" x14ac:dyDescent="0.25">
      <c r="A1" s="3"/>
      <c r="C1" s="8"/>
      <c r="D1" s="8"/>
      <c r="E1" s="19"/>
      <c r="F1" s="19"/>
      <c r="G1" s="19"/>
      <c r="H1" s="10"/>
      <c r="K1" s="3"/>
      <c r="O1" s="3"/>
      <c r="P1" s="3"/>
      <c r="Q1"/>
      <c r="U1"/>
    </row>
    <row r="2" spans="1:22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37" t="s">
        <v>78</v>
      </c>
      <c r="M2" s="37" t="s">
        <v>78</v>
      </c>
      <c r="O2" s="8"/>
      <c r="P2" s="8"/>
      <c r="Q2" s="8"/>
      <c r="U2"/>
    </row>
    <row r="3" spans="1:22" x14ac:dyDescent="0.25">
      <c r="A3" s="6" t="s">
        <v>12</v>
      </c>
      <c r="B3" s="38" t="s">
        <v>10</v>
      </c>
      <c r="C3" s="9" t="s">
        <v>3</v>
      </c>
      <c r="D3" s="9" t="s">
        <v>2</v>
      </c>
      <c r="E3" s="7" t="s">
        <v>22</v>
      </c>
      <c r="F3" s="7" t="s">
        <v>23</v>
      </c>
      <c r="G3" s="7" t="s">
        <v>24</v>
      </c>
      <c r="H3" s="10" t="s">
        <v>1</v>
      </c>
      <c r="I3" s="10" t="s">
        <v>79</v>
      </c>
      <c r="J3" s="18" t="s">
        <v>72</v>
      </c>
      <c r="K3" t="s">
        <v>16</v>
      </c>
      <c r="L3" s="7" t="s">
        <v>83</v>
      </c>
      <c r="M3" s="7" t="s">
        <v>77</v>
      </c>
      <c r="N3" s="38" t="s">
        <v>14</v>
      </c>
      <c r="O3" s="6" t="s">
        <v>15</v>
      </c>
      <c r="P3" t="s">
        <v>13</v>
      </c>
      <c r="Q3" t="s">
        <v>47</v>
      </c>
      <c r="U3"/>
    </row>
    <row r="4" spans="1:22" ht="15" customHeight="1" x14ac:dyDescent="0.25">
      <c r="A4" s="46"/>
      <c r="B4" s="47"/>
      <c r="C4" s="48"/>
      <c r="D4" s="48"/>
      <c r="E4" s="49"/>
      <c r="F4" s="46"/>
      <c r="G4" s="46"/>
      <c r="H4" s="46"/>
      <c r="I4" s="50"/>
      <c r="J4" s="50"/>
      <c r="K4" s="46"/>
      <c r="L4" s="50"/>
      <c r="M4" s="54"/>
      <c r="N4" s="51"/>
      <c r="O4" s="46"/>
      <c r="P4" s="46"/>
      <c r="Q4" s="46"/>
      <c r="U4"/>
    </row>
    <row r="5" spans="1:22" ht="15" customHeight="1" x14ac:dyDescent="0.25">
      <c r="A5" s="39"/>
      <c r="B5" s="35"/>
      <c r="C5" s="23"/>
      <c r="D5" s="23"/>
      <c r="E5" s="24"/>
      <c r="F5" s="39"/>
      <c r="G5" s="39"/>
      <c r="H5" s="39"/>
      <c r="I5" s="40"/>
      <c r="J5" s="39"/>
      <c r="K5" s="39"/>
      <c r="L5" s="39"/>
      <c r="M5" s="39"/>
      <c r="N5" s="36"/>
      <c r="O5" s="39"/>
      <c r="P5" s="39"/>
      <c r="Q5" s="39"/>
      <c r="U5"/>
    </row>
    <row r="6" spans="1:22" ht="15" customHeight="1" x14ac:dyDescent="0.25">
      <c r="A6" s="24"/>
      <c r="B6" s="35"/>
      <c r="C6" s="23"/>
      <c r="D6" s="23" t="s">
        <v>114</v>
      </c>
      <c r="F6" s="24"/>
      <c r="G6" s="24"/>
      <c r="H6" s="24"/>
      <c r="I6" s="24"/>
      <c r="J6" s="25"/>
      <c r="K6" s="24"/>
      <c r="L6" s="25"/>
      <c r="M6" s="25"/>
      <c r="N6" s="36"/>
      <c r="Q6" s="24"/>
      <c r="U6"/>
    </row>
    <row r="7" spans="1:22" ht="15" customHeight="1" x14ac:dyDescent="0.25">
      <c r="U7"/>
    </row>
    <row r="8" spans="1:22" ht="15" customHeight="1" x14ac:dyDescent="0.25">
      <c r="U8"/>
    </row>
    <row r="9" spans="1:22" ht="15" customHeight="1" x14ac:dyDescent="0.25">
      <c r="U9"/>
    </row>
    <row r="10" spans="1:22" s="44" customFormat="1" x14ac:dyDescent="0.25">
      <c r="A10" s="6"/>
      <c r="B10" s="38"/>
      <c r="C10" s="9"/>
      <c r="D10" s="9"/>
      <c r="E10"/>
      <c r="F10" s="7"/>
      <c r="G10" s="7"/>
      <c r="H10" s="7"/>
      <c r="I10" s="10"/>
      <c r="J10" s="10"/>
      <c r="K10" s="6"/>
      <c r="L10" s="10"/>
      <c r="M10" s="10"/>
      <c r="N10" s="38"/>
      <c r="O10"/>
      <c r="P10"/>
      <c r="Q10" s="6"/>
      <c r="R10" s="42"/>
      <c r="S10" s="41"/>
      <c r="T10" s="41"/>
      <c r="U10" s="43"/>
    </row>
    <row r="11" spans="1:22" s="44" customFormat="1" x14ac:dyDescent="0.25">
      <c r="A11" s="6"/>
      <c r="B11" s="38"/>
      <c r="C11" s="11"/>
      <c r="D11" s="9"/>
      <c r="E11"/>
      <c r="F11" s="7"/>
      <c r="G11" s="7"/>
      <c r="H11" s="7"/>
      <c r="I11" s="10"/>
      <c r="J11" s="10"/>
      <c r="K11" s="6"/>
      <c r="L11" s="10"/>
      <c r="M11" s="10"/>
      <c r="N11" s="38"/>
      <c r="O11"/>
      <c r="P11"/>
      <c r="Q11" s="6"/>
      <c r="R11" s="42"/>
      <c r="S11" s="41"/>
      <c r="T11" s="41"/>
      <c r="U11" s="43"/>
      <c r="V11" s="45"/>
    </row>
    <row r="39" spans="22:22" x14ac:dyDescent="0.25">
      <c r="V39" t="s">
        <v>88</v>
      </c>
    </row>
  </sheetData>
  <dataConsolidate/>
  <conditionalFormatting sqref="B4">
    <cfRule type="containsText" dxfId="11" priority="7" operator="containsText" text="&lt;current">
      <formula>NOT(ISERROR(SEARCH("&lt;current",B4)))</formula>
    </cfRule>
  </conditionalFormatting>
  <conditionalFormatting sqref="H4">
    <cfRule type="containsText" dxfId="10" priority="2" operator="containsText" text="Note">
      <formula>NOT(ISERROR(SEARCH("Note",H4)))</formula>
    </cfRule>
    <cfRule type="containsText" dxfId="9" priority="8" operator="containsText" text="Done">
      <formula>NOT(ISERROR(SEARCH("Done",H4)))</formula>
    </cfRule>
    <cfRule type="containsText" dxfId="8" priority="9" operator="containsText" text="In progress">
      <formula>NOT(ISERROR(SEARCH("In progress",H4)))</formula>
    </cfRule>
    <cfRule type="containsText" dxfId="7" priority="10" operator="containsText" text="To do">
      <formula>NOT(ISERROR(SEARCH("To do",H4)))</formula>
    </cfRule>
  </conditionalFormatting>
  <conditionalFormatting sqref="N4">
    <cfRule type="cellIs" dxfId="6" priority="1" operator="lessThan">
      <formula>TODAY()</formula>
    </cfRule>
  </conditionalFormatting>
  <conditionalFormatting sqref="P4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L2" xr:uid="{97887939-3BEB-4208-B392-81AF3EE745BF}">
      <formula1>"cumulative, single"</formula1>
    </dataValidation>
    <dataValidation type="list" allowBlank="1" showInputMessage="1" showErrorMessage="1" sqref="M2" xr:uid="{AE25932B-CEE6-4C5E-83FE-7FE3F6CE570D}">
      <formula1>"cumulative,single"</formula1>
    </dataValidation>
    <dataValidation type="list" allowBlank="1" showInputMessage="1" showErrorMessage="1" sqref="H4" xr:uid="{6C3476F0-112C-4267-BE3C-B2374FE0AF43}">
      <formula1>"Note,To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O4" xr:uid="{5BC6DE82-994E-4984-9BFB-1292C1A6B6C3}">
      <formula1>"Me,Me3"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F3A7B580-EA12-4D74-A276-E8131ECA15AD}">
      <formula1>"preparation,non food,food"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" xr:uid="{30D3624E-7845-4C45-B3E6-C685E7F46B03}">
      <formula1>"a"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" xr:uid="{7C4BF1B3-2795-45BD-9176-C3CE0B631706}">
      <formula1>"b"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2</xdr:col>
                    <xdr:colOff>609600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104775</xdr:colOff>
                    <xdr:row>0</xdr:row>
                    <xdr:rowOff>85725</xdr:rowOff>
                  </from>
                  <to>
                    <xdr:col>6</xdr:col>
                    <xdr:colOff>123825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3</xdr:col>
                    <xdr:colOff>333375</xdr:colOff>
                    <xdr:row>0</xdr:row>
                    <xdr:rowOff>352425</xdr:rowOff>
                  </from>
                  <to>
                    <xdr:col>4</xdr:col>
                    <xdr:colOff>57150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3</xdr:col>
                    <xdr:colOff>333375</xdr:colOff>
                    <xdr:row>0</xdr:row>
                    <xdr:rowOff>85725</xdr:rowOff>
                  </from>
                  <to>
                    <xdr:col>4</xdr:col>
                    <xdr:colOff>57150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695325</xdr:colOff>
                    <xdr:row>0</xdr:row>
                    <xdr:rowOff>561975</xdr:rowOff>
                  </from>
                  <to>
                    <xdr:col>2</xdr:col>
                    <xdr:colOff>2133600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704850</xdr:colOff>
                    <xdr:row>0</xdr:row>
                    <xdr:rowOff>85725</xdr:rowOff>
                  </from>
                  <to>
                    <xdr:col>3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6</xdr:col>
                    <xdr:colOff>161925</xdr:colOff>
                    <xdr:row>0</xdr:row>
                    <xdr:rowOff>76200</xdr:rowOff>
                  </from>
                  <to>
                    <xdr:col>7</xdr:col>
                    <xdr:colOff>838200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6</xdr:col>
                    <xdr:colOff>161925</xdr:colOff>
                    <xdr:row>0</xdr:row>
                    <xdr:rowOff>333375</xdr:rowOff>
                  </from>
                  <to>
                    <xdr:col>7</xdr:col>
                    <xdr:colOff>838200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8</xdr:col>
                    <xdr:colOff>28575</xdr:colOff>
                    <xdr:row>0</xdr:row>
                    <xdr:rowOff>66675</xdr:rowOff>
                  </from>
                  <to>
                    <xdr:col>9</xdr:col>
                    <xdr:colOff>742950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8</xdr:col>
                    <xdr:colOff>28575</xdr:colOff>
                    <xdr:row>0</xdr:row>
                    <xdr:rowOff>333375</xdr:rowOff>
                  </from>
                  <to>
                    <xdr:col>9</xdr:col>
                    <xdr:colOff>742950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104775</xdr:colOff>
                    <xdr:row>0</xdr:row>
                    <xdr:rowOff>352425</xdr:rowOff>
                  </from>
                  <to>
                    <xdr:col>6</xdr:col>
                    <xdr:colOff>123825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6</xdr:col>
                    <xdr:colOff>161925</xdr:colOff>
                    <xdr:row>0</xdr:row>
                    <xdr:rowOff>590550</xdr:rowOff>
                  </from>
                  <to>
                    <xdr:col>7</xdr:col>
                    <xdr:colOff>838200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54"/>
  <sheetViews>
    <sheetView workbookViewId="0">
      <selection activeCell="I9" sqref="I9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106</v>
      </c>
    </row>
    <row r="2" spans="1:4" x14ac:dyDescent="0.25">
      <c r="A2" s="10"/>
    </row>
    <row r="3" spans="1:4" x14ac:dyDescent="0.25">
      <c r="A3" t="s">
        <v>107</v>
      </c>
      <c r="B3" s="30">
        <v>43817.077002314814</v>
      </c>
      <c r="C3" s="28"/>
      <c r="D3" s="28"/>
    </row>
    <row r="4" spans="1:4" x14ac:dyDescent="0.25">
      <c r="A4" t="s">
        <v>108</v>
      </c>
      <c r="B4" s="30">
        <v>43862</v>
      </c>
      <c r="C4" s="28"/>
      <c r="D4" s="28"/>
    </row>
    <row r="5" spans="1:4" x14ac:dyDescent="0.25">
      <c r="A5" t="s">
        <v>109</v>
      </c>
      <c r="B5" s="27" t="s">
        <v>144</v>
      </c>
      <c r="C5" s="28"/>
      <c r="D5" s="28"/>
    </row>
    <row r="6" spans="1:4" ht="27" customHeight="1" x14ac:dyDescent="0.25"/>
    <row r="8" spans="1:4" ht="15.75" thickBot="1" x14ac:dyDescent="0.3">
      <c r="A8" s="29" t="s">
        <v>111</v>
      </c>
      <c r="B8" s="29" t="s">
        <v>105</v>
      </c>
      <c r="C8" s="34" t="s">
        <v>104</v>
      </c>
      <c r="D8" s="29" t="s">
        <v>110</v>
      </c>
    </row>
    <row r="9" spans="1:4" x14ac:dyDescent="0.25">
      <c r="A9" s="31" t="s">
        <v>133</v>
      </c>
      <c r="B9" s="32">
        <v>43817.077002314814</v>
      </c>
      <c r="C9" s="32">
        <v>43818</v>
      </c>
      <c r="D9" s="33">
        <v>0</v>
      </c>
    </row>
    <row r="10" spans="1:4" x14ac:dyDescent="0.25">
      <c r="A10" s="31" t="s">
        <v>134</v>
      </c>
      <c r="B10" s="32">
        <v>43818</v>
      </c>
      <c r="C10" s="32">
        <v>43819</v>
      </c>
      <c r="D10" s="33">
        <v>0</v>
      </c>
    </row>
    <row r="11" spans="1:4" x14ac:dyDescent="0.25">
      <c r="A11" s="31" t="s">
        <v>135</v>
      </c>
      <c r="B11" s="32">
        <v>43819</v>
      </c>
      <c r="C11" s="32">
        <v>43820</v>
      </c>
      <c r="D11" s="33">
        <v>0</v>
      </c>
    </row>
    <row r="12" spans="1:4" x14ac:dyDescent="0.25">
      <c r="A12" s="31" t="s">
        <v>136</v>
      </c>
      <c r="B12" s="32">
        <v>43820</v>
      </c>
      <c r="C12" s="32">
        <v>43821</v>
      </c>
      <c r="D12" s="33">
        <v>0</v>
      </c>
    </row>
    <row r="13" spans="1:4" x14ac:dyDescent="0.25">
      <c r="A13" s="31" t="s">
        <v>137</v>
      </c>
      <c r="B13" s="32">
        <v>43821</v>
      </c>
      <c r="C13" s="32">
        <v>43822</v>
      </c>
      <c r="D13" s="33">
        <v>0</v>
      </c>
    </row>
    <row r="14" spans="1:4" x14ac:dyDescent="0.25">
      <c r="A14" s="31" t="s">
        <v>138</v>
      </c>
      <c r="B14" s="32">
        <v>43822</v>
      </c>
      <c r="C14" s="32">
        <v>43823</v>
      </c>
      <c r="D14" s="33">
        <v>0</v>
      </c>
    </row>
    <row r="15" spans="1:4" x14ac:dyDescent="0.25">
      <c r="A15" s="31" t="s">
        <v>139</v>
      </c>
      <c r="B15" s="32">
        <v>43823</v>
      </c>
      <c r="C15" s="32">
        <v>43824</v>
      </c>
      <c r="D15" s="33">
        <v>0</v>
      </c>
    </row>
    <row r="16" spans="1:4" x14ac:dyDescent="0.25">
      <c r="A16" s="31" t="s">
        <v>140</v>
      </c>
      <c r="B16" s="32">
        <v>43824</v>
      </c>
      <c r="C16" s="32">
        <v>43825</v>
      </c>
      <c r="D16" s="33">
        <v>0</v>
      </c>
    </row>
    <row r="17" spans="1:4" x14ac:dyDescent="0.25">
      <c r="A17" s="31" t="s">
        <v>141</v>
      </c>
      <c r="B17" s="32">
        <v>43825</v>
      </c>
      <c r="C17" s="32">
        <v>43826</v>
      </c>
      <c r="D17" s="33">
        <v>0</v>
      </c>
    </row>
    <row r="18" spans="1:4" x14ac:dyDescent="0.25">
      <c r="A18" s="31" t="s">
        <v>142</v>
      </c>
      <c r="B18" s="32">
        <v>43826</v>
      </c>
      <c r="C18" s="32">
        <v>43827</v>
      </c>
      <c r="D18" s="33">
        <v>0</v>
      </c>
    </row>
    <row r="19" spans="1:4" x14ac:dyDescent="0.25">
      <c r="A19" s="31" t="s">
        <v>143</v>
      </c>
      <c r="B19" s="32">
        <v>43827</v>
      </c>
      <c r="C19" s="32">
        <v>43828</v>
      </c>
      <c r="D19" s="33">
        <v>0</v>
      </c>
    </row>
    <row r="20" spans="1:4" x14ac:dyDescent="0.25">
      <c r="A20" s="31" t="s">
        <v>145</v>
      </c>
      <c r="B20" s="32">
        <v>43828</v>
      </c>
      <c r="C20" s="32">
        <v>43829</v>
      </c>
      <c r="D20" s="33">
        <v>0</v>
      </c>
    </row>
    <row r="21" spans="1:4" x14ac:dyDescent="0.25">
      <c r="A21" s="31" t="s">
        <v>146</v>
      </c>
      <c r="B21" s="32">
        <v>43829</v>
      </c>
      <c r="C21" s="32">
        <v>43830</v>
      </c>
      <c r="D21" s="33">
        <v>0</v>
      </c>
    </row>
    <row r="22" spans="1:4" x14ac:dyDescent="0.25">
      <c r="A22" s="31" t="s">
        <v>147</v>
      </c>
      <c r="B22" s="32">
        <v>43830</v>
      </c>
      <c r="C22" s="32">
        <v>43831</v>
      </c>
      <c r="D22" s="33">
        <v>0</v>
      </c>
    </row>
    <row r="23" spans="1:4" x14ac:dyDescent="0.25">
      <c r="A23" s="31" t="s">
        <v>148</v>
      </c>
      <c r="B23" s="32">
        <v>43831</v>
      </c>
      <c r="C23" s="32">
        <v>43832</v>
      </c>
      <c r="D23" s="33">
        <v>0</v>
      </c>
    </row>
    <row r="24" spans="1:4" x14ac:dyDescent="0.25">
      <c r="A24" s="31" t="s">
        <v>149</v>
      </c>
      <c r="B24" s="32">
        <v>43832</v>
      </c>
      <c r="C24" s="32">
        <v>43833</v>
      </c>
      <c r="D24" s="33">
        <v>0</v>
      </c>
    </row>
    <row r="25" spans="1:4" x14ac:dyDescent="0.25">
      <c r="A25" s="31" t="s">
        <v>150</v>
      </c>
      <c r="B25" s="32">
        <v>43833</v>
      </c>
      <c r="C25" s="32">
        <v>43834</v>
      </c>
      <c r="D25" s="33">
        <v>0</v>
      </c>
    </row>
    <row r="26" spans="1:4" x14ac:dyDescent="0.25">
      <c r="A26" s="31" t="s">
        <v>151</v>
      </c>
      <c r="B26" s="32">
        <v>43834</v>
      </c>
      <c r="C26" s="32">
        <v>43835</v>
      </c>
      <c r="D26" s="33">
        <v>0</v>
      </c>
    </row>
    <row r="27" spans="1:4" x14ac:dyDescent="0.25">
      <c r="A27" s="31" t="s">
        <v>152</v>
      </c>
      <c r="B27" s="32">
        <v>43835</v>
      </c>
      <c r="C27" s="32">
        <v>43836</v>
      </c>
      <c r="D27" s="33">
        <v>0</v>
      </c>
    </row>
    <row r="28" spans="1:4" x14ac:dyDescent="0.25">
      <c r="A28" s="31" t="s">
        <v>153</v>
      </c>
      <c r="B28" s="32">
        <v>43836</v>
      </c>
      <c r="C28" s="32">
        <v>43837</v>
      </c>
      <c r="D28" s="33">
        <v>0</v>
      </c>
    </row>
    <row r="29" spans="1:4" x14ac:dyDescent="0.25">
      <c r="A29" s="31" t="s">
        <v>154</v>
      </c>
      <c r="B29" s="32">
        <v>43837</v>
      </c>
      <c r="C29" s="32">
        <v>43838</v>
      </c>
      <c r="D29" s="33">
        <v>0</v>
      </c>
    </row>
    <row r="30" spans="1:4" x14ac:dyDescent="0.25">
      <c r="A30" s="31" t="s">
        <v>155</v>
      </c>
      <c r="B30" s="32">
        <v>43838</v>
      </c>
      <c r="C30" s="32">
        <v>43839</v>
      </c>
      <c r="D30" s="33">
        <v>0</v>
      </c>
    </row>
    <row r="31" spans="1:4" x14ac:dyDescent="0.25">
      <c r="A31" s="31" t="s">
        <v>156</v>
      </c>
      <c r="B31" s="32">
        <v>43839</v>
      </c>
      <c r="C31" s="32">
        <v>43840</v>
      </c>
      <c r="D31" s="33">
        <v>0</v>
      </c>
    </row>
    <row r="32" spans="1:4" x14ac:dyDescent="0.25">
      <c r="A32" s="31" t="s">
        <v>157</v>
      </c>
      <c r="B32" s="32">
        <v>43840</v>
      </c>
      <c r="C32" s="32">
        <v>43841</v>
      </c>
      <c r="D32" s="33">
        <v>0</v>
      </c>
    </row>
    <row r="33" spans="1:4" x14ac:dyDescent="0.25">
      <c r="A33" s="31" t="s">
        <v>158</v>
      </c>
      <c r="B33" s="32">
        <v>43841</v>
      </c>
      <c r="C33" s="32">
        <v>43842</v>
      </c>
      <c r="D33" s="33">
        <v>0</v>
      </c>
    </row>
    <row r="34" spans="1:4" x14ac:dyDescent="0.25">
      <c r="A34" s="31" t="s">
        <v>159</v>
      </c>
      <c r="B34" s="32">
        <v>43842</v>
      </c>
      <c r="C34" s="32">
        <v>43843</v>
      </c>
      <c r="D34" s="33">
        <v>0</v>
      </c>
    </row>
    <row r="35" spans="1:4" x14ac:dyDescent="0.25">
      <c r="A35" s="31" t="s">
        <v>160</v>
      </c>
      <c r="B35" s="32">
        <v>43843</v>
      </c>
      <c r="C35" s="32">
        <v>43844</v>
      </c>
      <c r="D35" s="33">
        <v>0</v>
      </c>
    </row>
    <row r="36" spans="1:4" x14ac:dyDescent="0.25">
      <c r="A36" s="31" t="s">
        <v>161</v>
      </c>
      <c r="B36" s="32">
        <v>43844</v>
      </c>
      <c r="C36" s="32">
        <v>43845</v>
      </c>
      <c r="D36" s="33">
        <v>0</v>
      </c>
    </row>
    <row r="37" spans="1:4" x14ac:dyDescent="0.25">
      <c r="A37" s="31" t="s">
        <v>162</v>
      </c>
      <c r="B37" s="32">
        <v>43845</v>
      </c>
      <c r="C37" s="32">
        <v>43846</v>
      </c>
      <c r="D37" s="33">
        <v>0</v>
      </c>
    </row>
    <row r="38" spans="1:4" x14ac:dyDescent="0.25">
      <c r="A38" s="31" t="s">
        <v>163</v>
      </c>
      <c r="B38" s="32">
        <v>43846</v>
      </c>
      <c r="C38" s="32">
        <v>43847</v>
      </c>
      <c r="D38" s="33">
        <v>0</v>
      </c>
    </row>
    <row r="39" spans="1:4" x14ac:dyDescent="0.25">
      <c r="A39" s="31" t="s">
        <v>164</v>
      </c>
      <c r="B39" s="32">
        <v>43847</v>
      </c>
      <c r="C39" s="32">
        <v>43848</v>
      </c>
      <c r="D39" s="33">
        <v>0</v>
      </c>
    </row>
    <row r="40" spans="1:4" x14ac:dyDescent="0.25">
      <c r="A40" s="31" t="s">
        <v>165</v>
      </c>
      <c r="B40" s="32">
        <v>43848</v>
      </c>
      <c r="C40" s="32">
        <v>43849</v>
      </c>
      <c r="D40" s="33">
        <v>0</v>
      </c>
    </row>
    <row r="41" spans="1:4" x14ac:dyDescent="0.25">
      <c r="A41" s="31" t="s">
        <v>166</v>
      </c>
      <c r="B41" s="32">
        <v>43849</v>
      </c>
      <c r="C41" s="32">
        <v>43850</v>
      </c>
      <c r="D41" s="33">
        <v>0</v>
      </c>
    </row>
    <row r="42" spans="1:4" x14ac:dyDescent="0.25">
      <c r="A42" s="31" t="s">
        <v>167</v>
      </c>
      <c r="B42" s="32">
        <v>43850</v>
      </c>
      <c r="C42" s="32">
        <v>43851</v>
      </c>
      <c r="D42" s="33">
        <v>0</v>
      </c>
    </row>
    <row r="43" spans="1:4" x14ac:dyDescent="0.25">
      <c r="A43" s="31" t="s">
        <v>168</v>
      </c>
      <c r="B43" s="32">
        <v>43851</v>
      </c>
      <c r="C43" s="32">
        <v>43852</v>
      </c>
      <c r="D43" s="33">
        <v>0</v>
      </c>
    </row>
    <row r="44" spans="1:4" x14ac:dyDescent="0.25">
      <c r="A44" s="31" t="s">
        <v>169</v>
      </c>
      <c r="B44" s="32">
        <v>43852</v>
      </c>
      <c r="C44" s="32">
        <v>43853</v>
      </c>
      <c r="D44" s="33">
        <v>0</v>
      </c>
    </row>
    <row r="45" spans="1:4" x14ac:dyDescent="0.25">
      <c r="A45" s="31" t="s">
        <v>170</v>
      </c>
      <c r="B45" s="32">
        <v>43853</v>
      </c>
      <c r="C45" s="32">
        <v>43854</v>
      </c>
      <c r="D45" s="33">
        <v>0</v>
      </c>
    </row>
    <row r="46" spans="1:4" x14ac:dyDescent="0.25">
      <c r="A46" s="31" t="s">
        <v>171</v>
      </c>
      <c r="B46" s="32">
        <v>43854</v>
      </c>
      <c r="C46" s="32">
        <v>43855</v>
      </c>
      <c r="D46" s="33">
        <v>0</v>
      </c>
    </row>
    <row r="47" spans="1:4" x14ac:dyDescent="0.25">
      <c r="A47" s="31" t="s">
        <v>172</v>
      </c>
      <c r="B47" s="32">
        <v>43855</v>
      </c>
      <c r="C47" s="32">
        <v>43856</v>
      </c>
      <c r="D47" s="33">
        <v>0</v>
      </c>
    </row>
    <row r="48" spans="1:4" x14ac:dyDescent="0.25">
      <c r="A48" s="31" t="s">
        <v>173</v>
      </c>
      <c r="B48" s="32">
        <v>43856</v>
      </c>
      <c r="C48" s="32">
        <v>43857</v>
      </c>
      <c r="D48" s="33">
        <v>0</v>
      </c>
    </row>
    <row r="49" spans="1:4" x14ac:dyDescent="0.25">
      <c r="A49" s="31" t="s">
        <v>174</v>
      </c>
      <c r="B49" s="32">
        <v>43857</v>
      </c>
      <c r="C49" s="32">
        <v>43858</v>
      </c>
      <c r="D49" s="33">
        <v>0</v>
      </c>
    </row>
    <row r="50" spans="1:4" x14ac:dyDescent="0.25">
      <c r="A50" s="31" t="s">
        <v>175</v>
      </c>
      <c r="B50" s="32">
        <v>43858</v>
      </c>
      <c r="C50" s="32">
        <v>43859</v>
      </c>
      <c r="D50" s="33">
        <v>0</v>
      </c>
    </row>
    <row r="51" spans="1:4" x14ac:dyDescent="0.25">
      <c r="A51" s="31" t="s">
        <v>176</v>
      </c>
      <c r="B51" s="32">
        <v>43859</v>
      </c>
      <c r="C51" s="32">
        <v>43860</v>
      </c>
      <c r="D51" s="33">
        <v>0</v>
      </c>
    </row>
    <row r="52" spans="1:4" x14ac:dyDescent="0.25">
      <c r="A52" s="31" t="s">
        <v>177</v>
      </c>
      <c r="B52" s="32">
        <v>43860</v>
      </c>
      <c r="C52" s="32">
        <v>43861</v>
      </c>
      <c r="D52" s="33">
        <v>0</v>
      </c>
    </row>
    <row r="53" spans="1:4" x14ac:dyDescent="0.25">
      <c r="A53" s="31" t="s">
        <v>178</v>
      </c>
      <c r="B53" s="32">
        <v>43861</v>
      </c>
      <c r="C53" s="32">
        <v>43862</v>
      </c>
      <c r="D53" s="33">
        <v>0</v>
      </c>
    </row>
    <row r="54" spans="1:4" x14ac:dyDescent="0.25">
      <c r="A54" s="31" t="s">
        <v>179</v>
      </c>
      <c r="B54" s="32">
        <v>43862</v>
      </c>
      <c r="C54" s="32">
        <v>43862</v>
      </c>
      <c r="D54" s="33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4"/>
  <sheetViews>
    <sheetView workbookViewId="0">
      <selection activeCell="C18" sqref="C18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25</v>
      </c>
    </row>
    <row r="2" spans="1:10" x14ac:dyDescent="0.25">
      <c r="H2" s="26" t="s">
        <v>103</v>
      </c>
    </row>
    <row r="3" spans="1:10" x14ac:dyDescent="0.25">
      <c r="A3" t="s">
        <v>15</v>
      </c>
      <c r="B3" s="2" t="s">
        <v>61</v>
      </c>
      <c r="C3" s="2" t="s">
        <v>89</v>
      </c>
      <c r="D3" s="2" t="s">
        <v>90</v>
      </c>
      <c r="E3" s="2" t="s">
        <v>66</v>
      </c>
      <c r="F3" t="s">
        <v>63</v>
      </c>
      <c r="G3" t="s">
        <v>64</v>
      </c>
      <c r="H3" t="s">
        <v>62</v>
      </c>
      <c r="I3" t="s">
        <v>68</v>
      </c>
      <c r="J3" t="s">
        <v>67</v>
      </c>
    </row>
    <row r="4" spans="1:10" x14ac:dyDescent="0.25">
      <c r="A4" t="s">
        <v>19</v>
      </c>
      <c r="B4" s="12" t="s">
        <v>131</v>
      </c>
      <c r="C4" t="s">
        <v>129</v>
      </c>
      <c r="D4" t="s">
        <v>130</v>
      </c>
      <c r="E4" s="13" t="s">
        <v>84</v>
      </c>
      <c r="F4" s="13">
        <v>0.33333333333333331</v>
      </c>
      <c r="G4" s="13">
        <v>0.77083333333333337</v>
      </c>
      <c r="H4" t="s">
        <v>65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113</v>
      </c>
      <c r="B6" s="20" t="s">
        <v>112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80</v>
      </c>
      <c r="B8" s="20"/>
      <c r="C8" s="5"/>
      <c r="D8" s="5"/>
      <c r="E8" s="5"/>
    </row>
    <row r="9" spans="1:10" x14ac:dyDescent="0.25">
      <c r="A9" t="s">
        <v>81</v>
      </c>
      <c r="B9" s="22"/>
      <c r="C9" s="5"/>
      <c r="D9" s="5"/>
    </row>
    <row r="10" spans="1:10" x14ac:dyDescent="0.25">
      <c r="A10" t="s">
        <v>82</v>
      </c>
      <c r="B10" s="21"/>
      <c r="C10" s="5"/>
      <c r="D10" s="5"/>
      <c r="E10" s="5"/>
    </row>
    <row r="12" spans="1:10" x14ac:dyDescent="0.25">
      <c r="B12" t="s">
        <v>92</v>
      </c>
      <c r="C12" t="s">
        <v>129</v>
      </c>
    </row>
    <row r="13" spans="1:10" x14ac:dyDescent="0.25">
      <c r="B13" t="s">
        <v>91</v>
      </c>
      <c r="C13" t="s">
        <v>130</v>
      </c>
      <c r="D13" s="2"/>
      <c r="E13" s="2"/>
    </row>
    <row r="14" spans="1:10" x14ac:dyDescent="0.25">
      <c r="B14" s="2" t="s">
        <v>93</v>
      </c>
      <c r="C14" s="12" t="s">
        <v>131</v>
      </c>
    </row>
    <row r="17" spans="1:2" x14ac:dyDescent="0.25">
      <c r="A17" t="s">
        <v>85</v>
      </c>
    </row>
    <row r="24" spans="1:2" x14ac:dyDescent="0.25">
      <c r="A24" t="s">
        <v>115</v>
      </c>
      <c r="B24" s="20" t="s">
        <v>121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18</xdr:row>
                    <xdr:rowOff>171450</xdr:rowOff>
                  </from>
                  <to>
                    <xdr:col>0</xdr:col>
                    <xdr:colOff>1638300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20</xdr:row>
                    <xdr:rowOff>180975</xdr:rowOff>
                  </from>
                  <to>
                    <xdr:col>0</xdr:col>
                    <xdr:colOff>1638300</xdr:colOff>
                    <xdr:row>22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C13" sqref="C13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46.140625" bestFit="1" customWidth="1"/>
    <col min="4" max="4" width="28.7109375" customWidth="1"/>
    <col min="5" max="5" width="10.5703125" bestFit="1" customWidth="1"/>
  </cols>
  <sheetData>
    <row r="3" spans="1:5" x14ac:dyDescent="0.25">
      <c r="A3" t="s">
        <v>116</v>
      </c>
      <c r="B3" t="s">
        <v>119</v>
      </c>
      <c r="C3" t="s">
        <v>117</v>
      </c>
      <c r="D3" t="s">
        <v>120</v>
      </c>
      <c r="E3" t="s">
        <v>118</v>
      </c>
    </row>
    <row r="4" spans="1:5" x14ac:dyDescent="0.25">
      <c r="B4" s="1"/>
    </row>
  </sheetData>
  <conditionalFormatting sqref="E4">
    <cfRule type="containsText" dxfId="5" priority="1" operator="containsText" text="Verbose">
      <formula>NOT(ISERROR(SEARCH("Verbose",E4)))</formula>
    </cfRule>
    <cfRule type="containsText" dxfId="4" priority="2" operator="containsText" text="Info">
      <formula>NOT(ISERROR(SEARCH("Info",E4)))</formula>
    </cfRule>
    <cfRule type="containsText" dxfId="3" priority="3" operator="containsText" text="Warning">
      <formula>NOT(ISERROR(SEARCH("Warning",E4)))</formula>
    </cfRule>
    <cfRule type="containsText" dxfId="2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7"/>
  <sheetViews>
    <sheetView workbookViewId="0">
      <selection activeCell="B14" sqref="B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25</v>
      </c>
    </row>
    <row r="2" spans="1:13" x14ac:dyDescent="0.25">
      <c r="A2" t="s">
        <v>3</v>
      </c>
      <c r="B2" t="s">
        <v>95</v>
      </c>
    </row>
    <row r="3" spans="1:13" x14ac:dyDescent="0.25">
      <c r="A3" t="s">
        <v>79</v>
      </c>
      <c r="B3" s="2" t="s">
        <v>95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14</v>
      </c>
      <c r="B5" s="5" t="s">
        <v>95</v>
      </c>
    </row>
    <row r="6" spans="1:13" x14ac:dyDescent="0.25">
      <c r="A6" t="s">
        <v>15</v>
      </c>
      <c r="B6" s="5" t="s">
        <v>19</v>
      </c>
    </row>
    <row r="7" spans="1:13" x14ac:dyDescent="0.25">
      <c r="A7" t="s">
        <v>1</v>
      </c>
      <c r="B7" t="s">
        <v>94</v>
      </c>
    </row>
    <row r="8" spans="1:13" x14ac:dyDescent="0.25">
      <c r="A8" t="s">
        <v>16</v>
      </c>
      <c r="B8" s="5" t="s">
        <v>95</v>
      </c>
    </row>
    <row r="9" spans="1:13" x14ac:dyDescent="0.25">
      <c r="A9" t="s">
        <v>2</v>
      </c>
    </row>
    <row r="10" spans="1:13" x14ac:dyDescent="0.25">
      <c r="A10" t="s">
        <v>47</v>
      </c>
      <c r="B10" t="s">
        <v>95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96</v>
      </c>
    </row>
    <row r="13" spans="1:13" x14ac:dyDescent="0.25">
      <c r="A13" t="s">
        <v>97</v>
      </c>
    </row>
    <row r="14" spans="1:13" x14ac:dyDescent="0.25">
      <c r="A14" t="s">
        <v>180</v>
      </c>
      <c r="B14" t="s">
        <v>95</v>
      </c>
    </row>
    <row r="15" spans="1:13" x14ac:dyDescent="0.25">
      <c r="A15" t="s">
        <v>11</v>
      </c>
      <c r="B15" t="s">
        <v>7</v>
      </c>
      <c r="C15" t="s">
        <v>8</v>
      </c>
      <c r="D15" t="s">
        <v>9</v>
      </c>
      <c r="E15" t="s">
        <v>10</v>
      </c>
      <c r="F15" t="s">
        <v>86</v>
      </c>
      <c r="G15" t="s">
        <v>87</v>
      </c>
      <c r="I15" t="s">
        <v>71</v>
      </c>
      <c r="J15" s="15" t="s">
        <v>69</v>
      </c>
      <c r="K15" s="2" t="s">
        <v>70</v>
      </c>
      <c r="L15" t="s">
        <v>72</v>
      </c>
      <c r="M15" t="s">
        <v>73</v>
      </c>
    </row>
    <row r="16" spans="1:13" x14ac:dyDescent="0.25">
      <c r="B16" s="1"/>
      <c r="C16" s="1"/>
      <c r="D16" s="2">
        <f>MAX((TimeEntries[[#This Row],[End time]]-TimeEntries[[#This Row],[Start time]])*24,0)</f>
        <v>0</v>
      </c>
      <c r="J16" s="15"/>
      <c r="K16" s="2"/>
      <c r="L16" s="2">
        <f>SUM(TimeEntries[Time delta in h])</f>
        <v>0</v>
      </c>
      <c r="M16" s="16" t="e">
        <f>Tabelle7367[[#This Row],[EBS self time]]/Tabelle7367[[#This Row],[Total time]]</f>
        <v>#DIV/0!</v>
      </c>
    </row>
    <row r="17" spans="2:4" x14ac:dyDescent="0.25">
      <c r="B17" s="1"/>
      <c r="C17" s="1"/>
      <c r="D17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B14" sqref="B14"/>
    </sheetView>
  </sheetViews>
  <sheetFormatPr baseColWidth="10" defaultColWidth="11.42578125" defaultRowHeight="15" x14ac:dyDescent="0.25"/>
  <sheetData>
    <row r="1" spans="1:2" x14ac:dyDescent="0.25">
      <c r="A1" s="10" t="s">
        <v>34</v>
      </c>
    </row>
    <row r="2" spans="1:2" x14ac:dyDescent="0.25">
      <c r="A2" t="s">
        <v>20</v>
      </c>
    </row>
    <row r="3" spans="1:2" x14ac:dyDescent="0.25">
      <c r="A3" t="s">
        <v>21</v>
      </c>
    </row>
    <row r="8" spans="1:2" x14ac:dyDescent="0.25">
      <c r="A8" s="10" t="s">
        <v>122</v>
      </c>
    </row>
    <row r="9" spans="1:2" x14ac:dyDescent="0.25">
      <c r="A9" s="6" t="s">
        <v>29</v>
      </c>
    </row>
    <row r="10" spans="1:2" x14ac:dyDescent="0.25">
      <c r="B10" t="s">
        <v>123</v>
      </c>
    </row>
    <row r="11" spans="1:2" x14ac:dyDescent="0.25">
      <c r="B11" t="s">
        <v>124</v>
      </c>
    </row>
    <row r="12" spans="1:2" x14ac:dyDescent="0.25">
      <c r="B12" t="s">
        <v>127</v>
      </c>
    </row>
    <row r="13" spans="1:2" x14ac:dyDescent="0.25">
      <c r="B13" t="s">
        <v>132</v>
      </c>
    </row>
    <row r="14" spans="1:2" x14ac:dyDescent="0.25">
      <c r="A14" t="s">
        <v>32</v>
      </c>
    </row>
    <row r="15" spans="1:2" x14ac:dyDescent="0.25">
      <c r="B15" t="s">
        <v>128</v>
      </c>
    </row>
    <row r="16" spans="1:2" x14ac:dyDescent="0.25">
      <c r="A16" s="10" t="s">
        <v>125</v>
      </c>
    </row>
    <row r="17" spans="1:3" x14ac:dyDescent="0.25">
      <c r="B17" t="s">
        <v>126</v>
      </c>
    </row>
    <row r="18" spans="1:3" x14ac:dyDescent="0.25">
      <c r="A18" s="10" t="s">
        <v>98</v>
      </c>
      <c r="B18" s="10"/>
    </row>
    <row r="19" spans="1:3" x14ac:dyDescent="0.25">
      <c r="B19" t="s">
        <v>102</v>
      </c>
    </row>
    <row r="20" spans="1:3" x14ac:dyDescent="0.25">
      <c r="B20" t="s">
        <v>99</v>
      </c>
    </row>
    <row r="21" spans="1:3" x14ac:dyDescent="0.25">
      <c r="B21" t="s">
        <v>100</v>
      </c>
    </row>
    <row r="22" spans="1:3" x14ac:dyDescent="0.25">
      <c r="B22" t="s">
        <v>101</v>
      </c>
    </row>
    <row r="23" spans="1:3" x14ac:dyDescent="0.25">
      <c r="A23" s="10" t="s">
        <v>57</v>
      </c>
    </row>
    <row r="24" spans="1:3" x14ac:dyDescent="0.25">
      <c r="B24" t="s">
        <v>58</v>
      </c>
    </row>
    <row r="25" spans="1:3" x14ac:dyDescent="0.25">
      <c r="A25" s="10" t="s">
        <v>51</v>
      </c>
    </row>
    <row r="26" spans="1:3" x14ac:dyDescent="0.25">
      <c r="B26" t="s">
        <v>52</v>
      </c>
    </row>
    <row r="27" spans="1:3" x14ac:dyDescent="0.25">
      <c r="C27" t="s">
        <v>53</v>
      </c>
    </row>
    <row r="28" spans="1:3" x14ac:dyDescent="0.25">
      <c r="C28" t="s">
        <v>55</v>
      </c>
    </row>
    <row r="29" spans="1:3" x14ac:dyDescent="0.25">
      <c r="B29" t="s">
        <v>56</v>
      </c>
    </row>
    <row r="30" spans="1:3" x14ac:dyDescent="0.25">
      <c r="B30" t="s">
        <v>54</v>
      </c>
    </row>
    <row r="31" spans="1:3" x14ac:dyDescent="0.25">
      <c r="A31" s="10" t="s">
        <v>46</v>
      </c>
    </row>
    <row r="32" spans="1:3" x14ac:dyDescent="0.25">
      <c r="A32" t="s">
        <v>29</v>
      </c>
    </row>
    <row r="33" spans="1:2" x14ac:dyDescent="0.25">
      <c r="B33" t="s">
        <v>45</v>
      </c>
    </row>
    <row r="34" spans="1:2" x14ac:dyDescent="0.25">
      <c r="A34" s="10" t="s">
        <v>28</v>
      </c>
    </row>
    <row r="35" spans="1:2" x14ac:dyDescent="0.25">
      <c r="A35" t="s">
        <v>29</v>
      </c>
    </row>
    <row r="36" spans="1:2" x14ac:dyDescent="0.25">
      <c r="B36" t="s">
        <v>30</v>
      </c>
    </row>
    <row r="37" spans="1:2" x14ac:dyDescent="0.25">
      <c r="B37" t="s">
        <v>31</v>
      </c>
    </row>
    <row r="38" spans="1:2" x14ac:dyDescent="0.25">
      <c r="A38" t="s">
        <v>32</v>
      </c>
    </row>
    <row r="39" spans="1:2" x14ac:dyDescent="0.25">
      <c r="B39" t="s">
        <v>33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75</v>
      </c>
      <c r="F15" s="52" t="s">
        <v>76</v>
      </c>
      <c r="G15" s="53"/>
      <c r="H15" s="53"/>
    </row>
    <row r="16" spans="5:8" x14ac:dyDescent="0.25">
      <c r="E16" s="14" t="s">
        <v>74</v>
      </c>
      <c r="F16" s="52" t="s">
        <v>37</v>
      </c>
      <c r="G16" s="53"/>
      <c r="H16" s="53"/>
    </row>
    <row r="17" spans="1:20" x14ac:dyDescent="0.25">
      <c r="J17" s="10" t="s">
        <v>44</v>
      </c>
      <c r="K17" s="10"/>
    </row>
    <row r="18" spans="1:20" x14ac:dyDescent="0.25">
      <c r="A18" t="s">
        <v>17</v>
      </c>
      <c r="B18" t="s">
        <v>50</v>
      </c>
      <c r="C18" t="s">
        <v>35</v>
      </c>
      <c r="D18" t="s">
        <v>26</v>
      </c>
      <c r="E18" t="s">
        <v>40</v>
      </c>
      <c r="F18" t="s">
        <v>36</v>
      </c>
      <c r="G18" t="s">
        <v>38</v>
      </c>
      <c r="H18" t="s">
        <v>48</v>
      </c>
      <c r="J18" t="s">
        <v>49</v>
      </c>
      <c r="K18" t="s">
        <v>47</v>
      </c>
      <c r="L18" t="s">
        <v>18</v>
      </c>
      <c r="M18" s="2" t="s">
        <v>39</v>
      </c>
      <c r="N18" s="2" t="s">
        <v>79</v>
      </c>
      <c r="O18" t="s">
        <v>41</v>
      </c>
      <c r="P18" t="s">
        <v>43</v>
      </c>
      <c r="Q18" t="s">
        <v>42</v>
      </c>
      <c r="R18" t="s">
        <v>40</v>
      </c>
      <c r="S18" t="s">
        <v>60</v>
      </c>
      <c r="T18" t="s">
        <v>59</v>
      </c>
    </row>
    <row r="19" spans="1:20" x14ac:dyDescent="0.25">
      <c r="B19" s="17"/>
      <c r="D19" t="s">
        <v>27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1" priority="1" operator="containsText" text="No">
      <formula>NOT(ISERROR(SEARCH("No",D1)))</formula>
    </cfRule>
    <cfRule type="containsText" dxfId="0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Planning</vt:lpstr>
      <vt:lpstr>Analysis</vt:lpstr>
      <vt:lpstr>Settings</vt:lpstr>
      <vt:lpstr>Messages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2020-08-18T18:38:16Z</dcterms:modified>
  <cp:category/>
  <cp:contentStatus/>
</cp:coreProperties>
</file>