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9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8E99F7BE-922F-4CAA-A8F4-5EB94779476D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tAAF8231FB67247C24" sheetId="1514" state="hidden" r:id="rId2"/>
    <sheet name="tC5F28114EEBEA0BC0" sheetId="1515" state="hidden" r:id="rId3"/>
    <sheet name="EbsSheet (Me)" sheetId="1405" r:id="rId4"/>
    <sheet name="Analysis" sheetId="1004" r:id="rId5"/>
    <sheet name="Settings" sheetId="418" r:id="rId6"/>
    <sheet name="Messages" sheetId="1390" r:id="rId7"/>
    <sheet name="Task sheet template" sheetId="5" state="hidden" r:id="rId8"/>
    <sheet name="VSHEET_STOR_E65DEF" sheetId="1397" state="hidden" r:id="rId9"/>
    <sheet name="Version info" sheetId="3" r:id="rId10"/>
    <sheet name="EbsSheet template" sheetId="440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" i="1515" l="1"/>
  <c r="M21" i="1515" s="1"/>
  <c r="L20" i="1515"/>
  <c r="M20" i="1515" s="1"/>
  <c r="M19" i="1515"/>
  <c r="L19" i="1515"/>
  <c r="L18" i="1515"/>
  <c r="M18" i="1515" s="1"/>
  <c r="M17" i="1515"/>
  <c r="L17" i="1515"/>
  <c r="D17" i="1515"/>
  <c r="M16" i="1515"/>
  <c r="L16" i="1515"/>
  <c r="D16" i="1515"/>
  <c r="L15" i="1515"/>
  <c r="M15" i="1515" s="1"/>
  <c r="D15" i="1515"/>
  <c r="B4" i="1515"/>
  <c r="B11" i="1515" s="1"/>
  <c r="D25" i="1514"/>
  <c r="D24" i="1514"/>
  <c r="D23" i="1514"/>
  <c r="D22" i="1514"/>
  <c r="M21" i="1514"/>
  <c r="L21" i="1514"/>
  <c r="D21" i="1514"/>
  <c r="L20" i="1514"/>
  <c r="M20" i="1514" s="1"/>
  <c r="D20" i="1514"/>
  <c r="L19" i="1514"/>
  <c r="M19" i="1514" s="1"/>
  <c r="D19" i="1514"/>
  <c r="L18" i="1514"/>
  <c r="M18" i="1514" s="1"/>
  <c r="D18" i="1514"/>
  <c r="M17" i="1514"/>
  <c r="L17" i="1514"/>
  <c r="D17" i="1514"/>
  <c r="L16" i="1514"/>
  <c r="M16" i="1514" s="1"/>
  <c r="D16" i="1514"/>
  <c r="L15" i="1514"/>
  <c r="M15" i="1514" s="1"/>
  <c r="D15" i="1514"/>
  <c r="B4" i="1514"/>
  <c r="B11" i="1514" s="1"/>
  <c r="M131" i="1397"/>
  <c r="L131" i="1397"/>
  <c r="L130" i="1397"/>
  <c r="M130" i="1397" s="1"/>
  <c r="L129" i="1397"/>
  <c r="M129" i="1397" s="1"/>
  <c r="L128" i="1397"/>
  <c r="M128" i="1397" s="1"/>
  <c r="L127" i="1397"/>
  <c r="M127" i="1397" s="1"/>
  <c r="L126" i="1397"/>
  <c r="M126" i="1397" s="1"/>
  <c r="M125" i="1397"/>
  <c r="L125" i="1397"/>
  <c r="L108" i="1397"/>
  <c r="M108" i="1397" s="1"/>
  <c r="L107" i="1397"/>
  <c r="M107" i="1397" s="1"/>
  <c r="L106" i="1397"/>
  <c r="M106" i="1397" s="1"/>
  <c r="L105" i="1397"/>
  <c r="M105" i="1397" s="1"/>
  <c r="L104" i="1397"/>
  <c r="M104" i="1397" s="1"/>
  <c r="L103" i="1397"/>
  <c r="M103" i="1397" s="1"/>
  <c r="M102" i="1397"/>
  <c r="L102" i="1397"/>
  <c r="L85" i="1397"/>
  <c r="M85" i="1397" s="1"/>
  <c r="D85" i="1397"/>
  <c r="L68" i="1397"/>
  <c r="M68" i="1397" s="1"/>
  <c r="L67" i="1397"/>
  <c r="M67" i="1397" s="1"/>
  <c r="L66" i="1397"/>
  <c r="M66" i="1397" s="1"/>
  <c r="M65" i="1397"/>
  <c r="L65" i="1397"/>
  <c r="L64" i="1397"/>
  <c r="M64" i="1397" s="1"/>
  <c r="D64" i="1397"/>
  <c r="L63" i="1397"/>
  <c r="M63" i="1397" s="1"/>
  <c r="D63" i="1397"/>
  <c r="L62" i="1397"/>
  <c r="M62" i="1397" s="1"/>
  <c r="D62" i="1397"/>
  <c r="M45" i="1397"/>
  <c r="L45" i="1397"/>
  <c r="L44" i="1397"/>
  <c r="M44" i="1397" s="1"/>
  <c r="L43" i="1397"/>
  <c r="M43" i="1397" s="1"/>
  <c r="L42" i="1397"/>
  <c r="M42" i="1397" s="1"/>
  <c r="L41" i="1397"/>
  <c r="M41" i="1397" s="1"/>
  <c r="L40" i="1397"/>
  <c r="M40" i="1397" s="1"/>
  <c r="D40" i="1397"/>
  <c r="L39" i="1397"/>
  <c r="M39" i="1397" s="1"/>
  <c r="D39" i="1397"/>
  <c r="L22" i="1397"/>
  <c r="M22" i="1397" s="1"/>
  <c r="L21" i="1397"/>
  <c r="M21" i="1397" s="1"/>
  <c r="L20" i="1397"/>
  <c r="M20" i="1397" s="1"/>
  <c r="L19" i="1397"/>
  <c r="M19" i="1397" s="1"/>
  <c r="L18" i="1397"/>
  <c r="M18" i="1397" s="1"/>
  <c r="D18" i="1397"/>
  <c r="L17" i="1397"/>
  <c r="M17" i="1397" s="1"/>
  <c r="D17" i="1397"/>
  <c r="L16" i="1397"/>
  <c r="M16" i="1397" s="1"/>
  <c r="D16" i="1397"/>
  <c r="B91" i="1397"/>
  <c r="B98" i="1397" s="1"/>
  <c r="B51" i="1397" l="1"/>
  <c r="B58" i="1397" s="1"/>
  <c r="B114" i="1397"/>
  <c r="B121" i="1397" s="1"/>
  <c r="B74" i="1397"/>
  <c r="B81" i="1397" s="1"/>
  <c r="B28" i="1397"/>
  <c r="B35" i="1397" s="1"/>
  <c r="B5" i="1397"/>
  <c r="B12" i="1397" s="1"/>
  <c r="J4" i="418" l="1"/>
  <c r="D15" i="5" l="1"/>
  <c r="B4" i="5" s="1"/>
  <c r="L15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tc={AF0BCD2F-1576-43E5-88C4-24FC1923FC78}</author>
  </authors>
  <commentList>
    <comment ref="P18" authorId="0" shapeId="0" xr:uid="{AF0BCD2F-1576-43E5-88C4-24FC1923FC7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<sst xmlns="http://schemas.openxmlformats.org/spreadsheetml/2006/main" count="778" uniqueCount="245">
  <si>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</si>
  <si>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</si>
  <si>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</si>
  <si>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</si>
  <si>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</si>
  <si>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</si>
  <si>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</si>
  <si>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</si>
  <si>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</si>
  <si>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</si>
  <si>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</si>
  <si>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</si>
  <si>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</si>
  <si>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</si>
  <si>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</si>
  <si>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</si>
  <si>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</si>
  <si>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</si>
  <si>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</si>
  <si>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</si>
  <si>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</si>
  <si>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</si>
  <si>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</si>
  <si>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</si>
  <si>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</si>
  <si>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</si>
  <si>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</si>
  <si>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</si>
  <si>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</si>
  <si>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</si>
  <si>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</si>
  <si>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</si>
  <si>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</si>
  <si>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</si>
  <si>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</si>
  <si>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</si>
  <si>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</si>
  <si>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</si>
  <si>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</si>
  <si>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</si>
  <si>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</si>
  <si>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</si>
  <si>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</si>
  <si>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</si>
  <si>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</si>
  <si>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</si>
  <si>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</si>
  <si>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</si>
  <si>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</si>
  <si>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</si>
  <si>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</si>
  <si>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</si>
  <si>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</si>
  <si>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</si>
  <si>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</si>
  <si>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</si>
  <si>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</si>
  <si>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</si>
  <si>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</si>
  <si>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</si>
  <si>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</si>
  <si>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</si>
  <si>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</si>
  <si>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</si>
  <si>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</si>
  <si>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</si>
  <si>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</si>
  <si>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</si>
  <si>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</si>
  <si>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</si>
  <si>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</si>
  <si>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</si>
  <si>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</si>
  <si>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</si>
  <si>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</si>
  <si>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</si>
  <si>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</si>
  <si>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</si>
  <si>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</si>
  <si>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</si>
  <si>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</si>
  <si>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</si>
  <si>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</si>
  <si>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</si>
  <si>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</si>
  <si>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</si>
  <si>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</si>
  <si>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</si>
  <si>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</si>
  <si>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</si>
  <si>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</si>
  <si>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</si>
  <si>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</si>
  <si>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</si>
  <si>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</si>
  <si>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</si>
  <si>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</si>
  <si>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</si>
  <si>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</si>
  <si>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</si>
  <si>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</si>
  <si>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</si>
  <si>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</si>
  <si>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</si>
  <si>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</si>
  <si>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</si>
  <si>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</si>
  <si>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</si>
  <si>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</si>
  <si>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</si>
  <si>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</si>
  <si>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</si>
  <si>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</si>
  <si>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</si>
  <si>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</si>
  <si>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</si>
  <si>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</si>
  <si>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</si>
  <si>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</si>
  <si>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</si>
  <si>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</si>
  <si>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</si>
  <si>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</si>
  <si>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</si>
  <si>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</si>
  <si>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</si>
  <si>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</si>
  <si>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</si>
  <si>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</si>
  <si>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</si>
  <si>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</si>
  <si>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</si>
  <si>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0000000038A1BB1005E5101AA1BB08002B2A56C20030454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</si>
  <si>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00000000F593AB5CD8A4614C8B1EC114C84EFB870100D67807C5E37E4B47A653892DF42F73BD00000000010D0000</t>
  </si>
  <si>
    <t>Add DoEvents for long-running operations</t>
  </si>
  <si>
    <t>VIRTUAL_SHEET_NAME</t>
  </si>
  <si>
    <t>VIRTUAL_SHEET_RANGE_ROWS</t>
  </si>
  <si>
    <t>VIRTUAL_SHEET_RANGE_COLS</t>
  </si>
  <si>
    <t>Take bags</t>
  </si>
  <si>
    <t>Done</t>
  </si>
  <si>
    <t>Take two</t>
  </si>
  <si>
    <t>{%Tag 1;%Tag 3}</t>
  </si>
  <si>
    <t>{important;preparation}</t>
  </si>
  <si>
    <t>#000001</t>
  </si>
  <si>
    <t>SetPlainDelta()</t>
  </si>
  <si>
    <t>SetCalendarDelta()</t>
  </si>
  <si>
    <t>#000002</t>
  </si>
  <si>
    <t>#000003</t>
  </si>
  <si>
    <t>#000004</t>
  </si>
  <si>
    <t>#000005</t>
  </si>
  <si>
    <t>#000006</t>
  </si>
  <si>
    <t>#000007</t>
  </si>
  <si>
    <t>Take umbrella</t>
  </si>
  <si>
    <t>{%Tag 3}</t>
  </si>
  <si>
    <t>{preparation}</t>
  </si>
  <si>
    <t>Buy soy sauce</t>
  </si>
  <si>
    <t>In progress</t>
  </si>
  <si>
    <t>Buy pineapples</t>
  </si>
  <si>
    <t>Pineapples are well hidden</t>
  </si>
  <si>
    <t>{%Tag 2;%Tag 3}</t>
  </si>
  <si>
    <t>{fruit;food}</t>
  </si>
  <si>
    <t>#000008</t>
  </si>
  <si>
    <t>#000009</t>
  </si>
  <si>
    <t>#000010</t>
  </si>
  <si>
    <t>#000011</t>
  </si>
  <si>
    <t>Buy strawberries</t>
  </si>
  <si>
    <t>Have a chat with the store owner</t>
  </si>
  <si>
    <t>{non food}</t>
  </si>
  <si>
    <t>t1B16087FBAFA8F2DD</t>
  </si>
  <si>
    <t>tC5F28114EEBEA0BC0</t>
  </si>
  <si>
    <t>tAAF8231FB67247C24</t>
  </si>
  <si>
    <t>t542BC5542C608ACDC</t>
  </si>
  <si>
    <t>t3EAAC5681780C3894</t>
  </si>
  <si>
    <t>t4397B9B5873422F48</t>
  </si>
  <si>
    <t>preparation</t>
  </si>
  <si>
    <t>food</t>
  </si>
  <si>
    <t>fruit</t>
  </si>
  <si>
    <t>non food</t>
  </si>
  <si>
    <t>important</t>
  </si>
  <si>
    <t>{0,050;0,200;0,350;0,500;0,650;0,800;0,950}</t>
  </si>
  <si>
    <t>{4,500;5,500;6,500;7,000;9,500;9,600;11,500}</t>
  </si>
  <si>
    <t>{18/02/2020 12:30:00;18/02/2020 13:30:00;18/02/2020 14:30:00;18/02/2020 15:00:00;18/02/2020 17:30:00;18/02/2020 17:36:00;19/02/2020 09:00:00}</t>
  </si>
  <si>
    <t>e637063BE1A4F3CAD2</t>
  </si>
  <si>
    <t>{0,667;2,000}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</si>
  <si>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</si>
  <si>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</si>
  <si>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</si>
  <si>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</si>
  <si>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</si>
  <si>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</si>
  <si>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</si>
  <si>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</si>
  <si>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</si>
  <si>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</si>
  <si>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</si>
  <si>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</si>
  <si>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</si>
  <si>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</si>
  <si>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</si>
  <si>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</si>
  <si>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</si>
  <si>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</si>
  <si>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</si>
  <si>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</si>
  <si>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</si>
  <si>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</si>
  <si>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</si>
  <si>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</si>
  <si>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</si>
  <si>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</si>
  <si>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</si>
  <si>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</si>
  <si>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</si>
  <si>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</si>
  <si>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</si>
  <si>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</si>
  <si>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</si>
  <si>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</si>
  <si>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</si>
  <si>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</si>
  <si>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tDBBB22AAC7E0AF9EB</t>
  </si>
  <si>
    <t>&lt;ENTER_NAME&gt;</t>
  </si>
  <si>
    <t>&lt;ENTER_ESTIMATE&gt;</t>
  </si>
  <si>
    <t>tD542D62BAFACEB254</t>
  </si>
  <si>
    <t>Erdnüsse kaufen</t>
  </si>
  <si>
    <t>{important;food}</t>
  </si>
  <si>
    <t>{%Tag 1;%Tag 2}</t>
  </si>
  <si>
    <t>{fruit;fruit}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</si>
  <si>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</si>
  <si>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e87A54AD7CFFCD7396</t>
  </si>
  <si>
    <t>{9,825;0,667;2,000}</t>
  </si>
  <si>
    <t>All</t>
  </si>
  <si>
    <t>{0,509;0,509;2,500;2,500;0,509;2,500;0,509;7,496;0,509;7,496;2,500;7,496;7,496;0,509;7,496;7,496;0,509;2,500;2,500;0,509;2,500;0,509;7,496;7,496;2,500;2,500;0,509;7,496;0,509;2,500;0,509;2,500;2,500;0,509;7,496;0,509;2,500;2,500;2,500;2,500;2,500;7,496;7,496;7,496;0,509;7,496;0,509;7,496;2,500;2,500}</t>
  </si>
  <si>
    <t>{0,509;0,509;2,500;2,500;2,500;7,496;7,496}</t>
  </si>
  <si>
    <t>{20/04/2020 08:30:32;20/04/2020 08:30:32;20/04/2020 10:30:00;20/04/2020 10:30:00;20/04/2020 10:30:00;20/04/2020 15:29:47;20/04/2020 15:29:47}</t>
  </si>
  <si>
    <t>{0,204;1,000;0,204;1,000;2,999;2,999;0,204;1,000;2,999;0,204;2,999;1,000;2,999;2,999;0,204;1,000;2,999;1,000;0,204;2,999;0,204;2,999;0,204;0,204;1,000;2,999;2,999;0,204;2,999;2,999;0,204;2,999;1,000;0,204;1,000;0,204;0,204;2,999;1,000;1,000;0,204;2,999;0,204;1,000;0,204;2,999;1,000;0,204;0,204;1,000}</t>
  </si>
  <si>
    <t>{0,712;1,509;2,704;3,500;3,507;5,499;0,712;8,496;3,507;7,700;5,499;8,496;10,495;3,507;7,700;8,496;3,507;3,500;2,704;3,507;2,704;3,507;7,700;7,700;3,500;5,499;3,507;7,700;3,507;5,499;0,712;5,499;3,500;0,712;8,496;0,712;2,704;5,499;3,500;3,500;2,704;10,495;7,700;8,496;0,712;10,495;1,509;7,700;2,704;3,500}</t>
  </si>
  <si>
    <t>{0,712;2,704;3,500;3,507;5,499;7,700;9,046}</t>
  </si>
  <si>
    <t>{20/04/2020 08:42:45;20/04/2020 10:42:13;20/04/2020 11:30:00;20/04/2020 11:30:27;20/04/2020 13:29:55;20/04/2020 15:41:59;20/04/2020 17:02:45}</t>
  </si>
  <si>
    <t>{0,125;0,025;0,025;0,025;0,025;0,125;0,125;0,125;0,375;0,125;0,125;0,025;0,025;0,025;0,125;0,375;0,125;0,375;0,025;0,125;0,025;0,375;0,125;0,025;0,025;0,375;0,125;0,025;0,125;0,125;0,025;0,375;0,375;0,025;0,125;0,025;0,125;0,125;0,375;0,125;0,025;0,025;0,375;0,025;0,125;0,025;0,375;0,375;0,375;0,375}</t>
  </si>
  <si>
    <t>{1,499;0,500;0,102;0,500;0,102;1,499;1,499;0,102;0,102;0,500;0,102;0,102;1,499;0,102;0,500;0,500;0,500;0,500;0,102;1,499;1,499;0,500;1,499;1,499;1,499;0,500;0,500;0,102;0,500;1,499;1,499;1,499;0,102;0,500;0,500;0,102;0,500;0,500;0,102;0,102;0,500;0,102;1,499;1,499;0,102;0,102;1,499;0,102;1,499;0,500}</t>
  </si>
  <si>
    <t>{0,999;0,000;0,000;0,000;0,000;0,999;0,999;0,000;0,000;0,000;0,000;0,000;0,999;0,000;0,000;0,000;0,000;0,000;0,000;0,999;0,999;0,000;0,999;0,999;0,999;0,000;0,000;0,000;0,000;0,999;0,999;0,999;0,000;0,000;0,000;0,000;0,000;0,000;0,000;0,000;0,000;0,000;0,999;0,999;0,000;0,000;0,999;0,000;0,999;0,000}</t>
  </si>
  <si>
    <t>{1,712;1,509;2,704;3,500;3,507;6,498;1,712;8,496;3,507;7,700;5,499;8,496;11,494;3,507;7,700;8,496;3,507;3,500;2,704;4,507;3,703;3,507;8,699;8,699;4,499;5,499;3,507;7,700;3,507;6,498;1,712;6,498;3,500;0,712;8,496;0,712;2,704;5,499;3,500;3,500;2,704;10,495;8,699;9,496;0,712;10,495;2,508;7,700;3,703;3,500}</t>
  </si>
  <si>
    <t>{0,937;2,704;3,501;3,556;5,923;8,496;9,770}</t>
  </si>
  <si>
    <t>{20/04/2020 08:56:14;20/04/2020 10:42:13;20/04/2020 11:30:02;20/04/2020 11:33:23;20/04/2020 13:55:23;20/04/2020 16:29:47;20/04/2020 17:46:13}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</si>
</sst>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65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22" fontId="3" fillId="0" borderId="0" xfId="0" applyNumberFormat="1" applyFont="1"/>
    <xf numFmtId="0" fontId="7" fillId="10" borderId="0" xfId="2" applyFont="1" applyFill="1"/>
    <xf numFmtId="0" fontId="7" fillId="0" borderId="0" xfId="0" applyFont="1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2" fontId="7" fillId="0" borderId="0" xfId="0" applyNumberFormat="1" applyFont="1" applyFill="1" applyAlignment="1">
      <alignment wrapText="1"/>
    </xf>
    <xf numFmtId="22" fontId="7" fillId="0" borderId="0" xfId="0" applyNumberFormat="1" applyFont="1" applyFill="1" applyAlignment="1">
      <alignment wrapText="1"/>
    </xf>
    <xf numFmtId="0" fontId="0" fillId="0" borderId="0" xfId="0" applyFill="1" applyAlignment="1">
      <alignment wrapText="1"/>
    </xf>
    <xf numFmtId="2" fontId="0" fillId="0" borderId="0" xfId="0" applyNumberFormat="1" applyFill="1" applyAlignment="1">
      <alignment wrapText="1"/>
    </xf>
    <xf numFmtId="22" fontId="0" fillId="0" borderId="0" xfId="0" applyNumberFormat="1" applyFill="1" applyAlignment="1">
      <alignment wrapText="1"/>
    </xf>
    <xf numFmtId="14" fontId="6" fillId="0" borderId="0" xfId="1" applyNumberFormat="1" applyFill="1" applyAlignment="1">
      <alignment wrapTex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  <xf numFmtId="0" fontId="0" fillId="0" borderId="0" xfId="0" applyFill="1" applyAlignment="1"/>
    <xf numFmtId="0" fontId="6" fillId="0" borderId="0" xfId="1" applyFill="1" applyAlignment="1"/>
    <xf numFmtId="0" fontId="7" fillId="0" borderId="0" xfId="2" applyFont="1" applyFill="1" applyAlignment="1"/>
    <xf numFmtId="0" fontId="7" fillId="0" borderId="0" xfId="0" applyFont="1" applyFill="1" applyAlignment="1"/>
    <xf numFmtId="2" fontId="0" fillId="0" borderId="0" xfId="0" applyNumberFormat="1" applyFill="1" applyAlignment="1"/>
    <xf numFmtId="22" fontId="0" fillId="0" borderId="0" xfId="0" applyNumberFormat="1" applyFill="1" applyAlignment="1"/>
    <xf numFmtId="14" fontId="6" fillId="0" borderId="0" xfId="1" applyNumberForma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118"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17/02/2020 19:37:29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33D-4534-A32E-7BAB819C7CE9}"/>
            </c:ext>
          </c:extLst>
        </c:ser>
        <c:ser>
          <c:idx val="1"/>
          <c:order val="1"/>
          <c:tx>
            <c:v>Velo pool on: 19/04/2020 18:23:22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833D-4534-A32E-7BAB819C7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43878.817696759259</c:v>
              </c:pt>
              <c:pt idx="1">
                <c:v>43940.766226851854</c:v>
              </c:pt>
            </c:numLit>
          </c:xVal>
          <c:yVal>
            <c:numLit>
              <c:formatCode>General</c:formatCode>
              <c:ptCount val="2"/>
              <c:pt idx="0">
                <c:v>5.5</c:v>
              </c:pt>
              <c:pt idx="1">
                <c:v>2.2190000000000003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E63D-40CB-A4E9-41940568C6D1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43878.817696759259</c:v>
              </c:pt>
              <c:pt idx="1">
                <c:v>43940.766226851854</c:v>
              </c:pt>
            </c:numLit>
          </c:xVal>
          <c:yVal>
            <c:numLit>
              <c:formatCode>General</c:formatCode>
              <c:ptCount val="2"/>
              <c:pt idx="0">
                <c:v>8</c:v>
              </c:pt>
              <c:pt idx="1">
                <c:v>4.7119999999999997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E63D-40CB-A4E9-41940568C6D1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43878.817696759259</c:v>
              </c:pt>
              <c:pt idx="1">
                <c:v>43940.766226851854</c:v>
              </c:pt>
            </c:numLit>
          </c:xVal>
          <c:yVal>
            <c:numLit>
              <c:formatCode>General</c:formatCode>
              <c:ptCount val="2"/>
              <c:pt idx="0">
                <c:v>10.5</c:v>
              </c:pt>
              <c:pt idx="1">
                <c:v>7.8465000000000007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E63D-40CB-A4E9-41940568C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11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2C8EB99-111E-4418-8FF3-77AF700BFEB7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7225C92-F65F-41AB-87BE-25776CCB20EB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42BE977-DCDD-435E-B447-B61CFBD824F1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33520F9-3807-4829-8A9D-0C569CD6726E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6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7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7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7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7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8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11" totalsRowShown="0" dataDxfId="0">
  <autoFilter ref="A3:Q11" xr:uid="{520F3973-795E-47E6-97CD-1C1265CA838A}"/>
  <sortState xmlns:xlrd2="http://schemas.microsoft.com/office/spreadsheetml/2017/richdata2" ref="A4:Q11">
    <sortCondition descending="1" ref="P3:P11"/>
  </sortState>
  <tableColumns count="17">
    <tableColumn id="1" xr3:uid="{78BB2EF9-C626-4B0D-94B3-1781BE57C67F}" name="Task no." dataDxfId="17" dataCellStyle="Standard"/>
    <tableColumn id="3" xr3:uid="{3AD21368-826B-4507-A159-BE8BE5B02C1F}" name="Indicator" dataDxfId="16" dataCellStyle="Spaltenebene_1"/>
    <tableColumn id="2" xr3:uid="{C139B307-7150-4838-B1FD-482AAB7B1208}" name="Task name" dataDxfId="15" dataCellStyle="Link"/>
    <tableColumn id="18" xr3:uid="{3B298737-E571-4F23-9C71-2BC3C2385355}" name="Comment" dataDxfId="14" dataCellStyle="Link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5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2" xr:uid="{93E3B8B7-873A-40B4-B0BF-7C33C4423BC9}" name="TimeEntries821435675153345697995107121135151165181195211225241255271285301315331345361375391405421173347647995109125139155169185199215229245259275172945561533587593173187215227436093109171185201215231245265289319321361385407421441465555565601611615631323" displayName="TimeEntries821435675153345697995107121135151165181195211225241255271285301315331345361375391405421173347647995109125139155169185199215229245259275172945561533587593173187215227436093109171185201215231245265289319321361385407421441465555565601611615631323" ref="A14:G25" totalsRowShown="0">
  <autoFilter ref="A14:G25" xr:uid="{EBE32B90-2856-4685-8D5F-A9779E0DBAF4}"/>
  <tableColumns count="7">
    <tableColumn id="1" xr3:uid="{537959E0-109E-43B2-A250-0DF510BE1D53}" name="Time entry no."/>
    <tableColumn id="2" xr3:uid="{1A92F35D-6F97-4AD5-9C87-B170CB01C323}" name="Start time" dataDxfId="47"/>
    <tableColumn id="3" xr3:uid="{8C2BA9FB-2CF7-493F-96CE-217C90CEEBE4}" name="End time" dataDxfId="46"/>
    <tableColumn id="4" xr3:uid="{5B8B7A10-C558-498F-AC12-4D2CFBD7C31B}" name="Time delta in h" dataDxfId="45">
      <calculatedColumnFormula>MAX((C15-B15)*24,0)</calculatedColumnFormula>
    </tableColumn>
    <tableColumn id="5" xr3:uid="{67C37101-8F48-42A5-9178-1B536ABDF552}" name="Indicator"/>
    <tableColumn id="6" xr3:uid="{9926F056-1494-4992-B11C-7441C7F88DC2}" name="Action1" dataDxfId="44" dataCellStyle="Link"/>
    <tableColumn id="7" xr3:uid="{67A86250-33BE-4FAD-8008-C818E749AC5A}" name="Action2" dataDxfId="43" dataCellStyle="Link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3" xr:uid="{EEA13CFA-C1FF-449E-A376-2506D32787F2}" name="Tabelle7367922445776163446708096108122136152166182196212226242256272286302316332346362376392406422183448658096110126140156170186200216230246260276183046571634597694174188216228446194110172186202216232246266290320322362386408422442466556566602612616631324" displayName="Tabelle7367922445776163446708096108122136152166182196212226242256272286302316332346362376392406422183448658096110126140156170186200216230246260276183046571634597694174188216228446194110172186202216232246266290320322362386408422442466556566602612616631324" ref="I14:M21" totalsRowShown="0">
  <autoFilter ref="I14:M21" xr:uid="{AC21E83A-2128-4B2B-8671-874B1F2BA0B1}"/>
  <tableColumns count="5">
    <tableColumn id="1" xr3:uid="{F9D509DD-01CD-47A1-AE98-4E7ACCD840E6}" name="Comparison entry no."/>
    <tableColumn id="2" xr3:uid="{976A84EF-4C8F-4D9A-B177-C2A8AC8326DE}" name="Propability Support point" dataDxfId="42"/>
    <tableColumn id="3" xr3:uid="{A7D30899-3FC8-4CCC-8DB4-84DD6C3B08F0}" name="EBS self time" dataDxfId="41"/>
    <tableColumn id="4" xr3:uid="{EE107AD2-AB34-4D47-850E-1AB37CD9695B}" name="Total time">
      <calculatedColumnFormula>#REF!</calculatedColumnFormula>
    </tableColumn>
    <tableColumn id="5" xr3:uid="{783A23FE-7965-4C8F-98C0-ADBCB6A4E001}" name="Total time / Your estimate" dataDxfId="40">
      <calculatedColumnFormula>Tabelle7367922445776163446708096108122136152166182196212226242256272286302316332346362376392406422183448658096110126140156170186200216230246260276183046571634597694174188216228446194110172186202216232246266290320322362386408422442466556566602612616631324[[#This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time]]/Tabelle7367922445776163446708096108122136152166182196212226242256272286302316332346362376392406422183448658096110126140156170186200216230246260276183046571634597694174188216228446194110172186202216232246266290320322362386408422442466556566602612616631324[[#This Row],[Total time]]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6" xr:uid="{450DE4DC-25CE-488F-B969-0FE331E33E8E}" name="TimeEntries152539537113294364779110511713314716317719320722323725326728329731332734335737338740341715294560779110712113715116718119721122724125727115374964192756699116918520922537588710716718319721322724325928735538340341943546355156359760963164166161327" displayName="TimeEntries152539537113294364779110511713314716317719320722323725326728329731332734335737338740341715294560779110712113715116718119721122724125727115374964192756699116918520922537588710716718319721322724325928735538340341943546355156359760963164166161327" ref="A14:G17" totalsRowShown="0">
  <autoFilter ref="A14:G17" xr:uid="{6C88CA3B-5C28-427B-A0BA-0233B2167054}"/>
  <tableColumns count="7">
    <tableColumn id="1" xr3:uid="{53313BFA-1B48-49B3-B641-F45BBFFFD625}" name="Time entry no."/>
    <tableColumn id="2" xr3:uid="{9153D8F5-EA63-4AE7-89A0-80E584410292}" name="Start time" dataDxfId="39"/>
    <tableColumn id="3" xr3:uid="{0465F02B-E64E-4492-81A9-60F4CE99CA5F}" name="End time" dataDxfId="38"/>
    <tableColumn id="4" xr3:uid="{BF085286-3402-4406-882B-5F0FEA44AA3A}" name="Time delta in h" dataDxfId="37">
      <calculatedColumnFormula>MAX((C15-B15)*24,0)</calculatedColumnFormula>
    </tableColumn>
    <tableColumn id="5" xr3:uid="{54D7C4DB-4BCD-4805-BF13-262D46B38DA3}" name="Indicator"/>
    <tableColumn id="6" xr3:uid="{60BAEBB4-CBC8-40EA-9C63-FE4E907B5C7E}" name="Action1" dataDxfId="36" dataCellStyle="Link"/>
    <tableColumn id="7" xr3:uid="{3DAF541E-5240-4D6F-A2AD-F4C3A957A528}" name="Action2" dataDxfId="35" dataCellStyle="Link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7" xr:uid="{E48E6F8A-8779-4377-98D2-49A973D0DF80}" name="Tabelle7367162840547214304465789210611813414816417819420822423825426828429831432834435837438840441816304661789210812213815216818219821222824225827216385065202857709217018621022638598810816818419821422824426028835638440442043646455256459861063264266261328" displayName="Tabelle7367162840547214304465789210611813414816417819420822423825426828429831432834435837438840441816304661789210812213815216818219821222824225827216385065202857709217018621022638598810816818419821422824426028835638440442043646455256459861063264266261328" ref="I14:M21" totalsRowShown="0">
  <autoFilter ref="I14:M21" xr:uid="{2359DAF4-236A-418D-9445-33D009FB16A3}"/>
  <tableColumns count="5">
    <tableColumn id="1" xr3:uid="{63C23FA5-C1DE-4797-AF2A-436E4E78358E}" name="Comparison entry no."/>
    <tableColumn id="2" xr3:uid="{A245E5B6-0C74-48C7-8EBD-22EF7E51202C}" name="Propability Support point" dataDxfId="34"/>
    <tableColumn id="3" xr3:uid="{D7AE62B2-9A2C-44ED-B8EB-989B6E3CB284}" name="EBS self time" dataDxfId="33"/>
    <tableColumn id="4" xr3:uid="{3EB7FD80-1E43-48EC-AC85-362F73BCF7DE}" name="Total time">
      <calculatedColumnFormula>#REF!</calculatedColumnFormula>
    </tableColumn>
    <tableColumn id="5" xr3:uid="{9F22C5D4-CE80-4B12-BA83-560C9483C3B9}" name="Total time / Your estimate" dataDxfId="32">
      <calculatedColumnFormula>Tabelle7367162840547214304465789210611813414816417819420822423825426828429831432834435837438840441816304661789210812213815216818219821222824225827216385065202857709217018621022638598810816818419821422824426028835638440442043646455256459861063264266261328[[#This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time]]/Tabelle7367162840547214304465789210611813414816417819420822423825426828429831432834435837438840441816304661789210812213815216818219821222824225827216385065202857709217018621022638598810816818419821422824426028835638440442043646455256459861063264266261328[[#This Row],[Total time]]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B6E4CA-8078-4EB2-996B-E662EECF26CA}" name="EbsBaseData4326270489" displayName="EbsBaseData4326270489" ref="A18:H20" totalsRowShown="0">
  <autoFilter ref="A18:H20" xr:uid="{1948C160-1F52-48A7-8061-8AFF06D47134}"/>
  <tableColumns count="8">
    <tableColumn id="1" xr3:uid="{E6BEF93E-0B5C-43B8-89CF-C62D27CA2DAC}" name="EBS entry no."/>
    <tableColumn id="4" xr3:uid="{29329024-2EEE-45EA-B998-5CDBC9E950F5}" name="EBS run date" dataDxfId="117"/>
    <tableColumn id="8" xr3:uid="{33AFB60A-3051-4DB6-A6B8-0435DDB02ECE}" name="[Velocity pool]"/>
    <tableColumn id="2" xr3:uid="{895066AF-2A51-416F-A6FE-62CB7A01DF26}" name="Show pool?"/>
    <tableColumn id="3" xr3:uid="{CDD9E8F6-BE77-41C8-99D8-D114ACAE99C9}" name="[Propability support points]"/>
    <tableColumn id="5" xr3:uid="{157A0266-4D3A-4F56-8527-AE9E73B9F527}" name="[Project time estimates]"/>
    <tableColumn id="6" xr3:uid="{8D50710C-652F-413E-A15F-BC565A3019FF}" name="[Project date estimates]"/>
    <tableColumn id="7" xr3:uid="{6C1099F2-F9D5-4C7A-953D-B1AD1675D801}" name="eHASH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D4EFFA-43C8-41F3-80D4-25ADD61C649D}" name="EbsTaskData9592711290" displayName="EbsTaskData9592711290" ref="J18:T22" totalsRowShown="0">
  <autoFilter ref="J18:T22" xr:uid="{2297DC20-55A3-4C75-B785-3C4ABEF5CB9C}"/>
  <tableColumns count="11">
    <tableColumn id="1" xr3:uid="{428AC8C3-73B3-4C2C-93D7-18A3CD0B6F01}" name="Data entry no."/>
    <tableColumn id="10" xr3:uid="{FE4E3CE0-401E-4E04-ACEE-65397BC404C5}" name="tHASH"/>
    <tableColumn id="5" xr3:uid="{D1B05325-A0C2-4996-9C76-DBA98C706165}" name="Logged Priority"/>
    <tableColumn id="7" xr3:uid="{BD8AF817-8C86-4CB8-A17D-F12728C2FAE1}" name="Time spent so far" dataDxfId="116"/>
    <tableColumn id="4" xr3:uid="{BD24E662-9F4E-4C61-82B5-EAD94B1901CC}" name="User time estimate" dataDxfId="115"/>
    <tableColumn id="3" xr3:uid="{398A22D4-3766-44B5-B551-96ADF54972F4}" name="[Monte Carlo estimate pool]"/>
    <tableColumn id="2" xr3:uid="{28ADD1FF-53E8-4F98-9AC0-21A34F348176}" name="[Remaining time pool]"/>
    <tableColumn id="6" xr3:uid="{D677D706-8056-473C-8451-5700EC733CD9}" name="[Accumulated time pool]"/>
    <tableColumn id="8" xr3:uid="{F8B8129E-441C-4FF7-BA7B-B7B48CF28123}" name="[Propability support points]"/>
    <tableColumn id="9" xr3:uid="{27CA39DF-0F63-49C2-81FE-ED6793C64D54}" name="[Interpolated time estimates]"/>
    <tableColumn id="11" xr3:uid="{FF086BCC-7FDD-4936-A7E9-36C8BE6A1F6E}" name="[Interpolated date estimates]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114" dataDxfId="112" headerRowBorderDxfId="113">
  <autoFilter ref="A8:D54" xr:uid="{8E9EC0C1-7901-48B6-A59A-1CE6ABEE7A55}"/>
  <tableColumns count="4">
    <tableColumn id="1" xr3:uid="{58BB2187-C79D-4A1A-A9A3-DA2F074C476C}" name="Split entry no." dataDxfId="111"/>
    <tableColumn id="2" xr3:uid="{A755482D-FFF4-43D8-8021-1956CE3A7021}" name="Split start" dataDxfId="110"/>
    <tableColumn id="3" xr3:uid="{FE0A0B8D-1F8A-4CEC-9FB3-C945A45F99BF}" name="Split end" dataDxfId="109"/>
    <tableColumn id="4" xr3:uid="{5443222D-0CE3-4625-9EDB-D13B87B6C388}" name="Time spent" dataDxfId="108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107" dataCellStyle="Link"/>
    <tableColumn id="9" xr3:uid="{0037D127-E2BA-445A-BC63-1395BA3AC441}" name="Calendar ID" dataDxfId="106" dataCellStyle="Link"/>
    <tableColumn id="10" xr3:uid="{37CA3B7B-8FF0-4042-97C6-E23A79A74325}" name="Store ID"/>
    <tableColumn id="6" xr3:uid="{044D8005-25C5-4D31-940A-B6DE4C6B0EA5}" name="WorkingDays" dataDxfId="105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104"/>
    <tableColumn id="8" xr3:uid="{1177B0FB-46B2-406D-B988-C64E0ABA6972}" name="AppointmentOffsetHours" dataDxfId="103">
      <calculatedColumnFormula>5/60</calculatedColumnFormula>
    </tableColumn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102"/>
    <tableColumn id="3" xr3:uid="{78DABF02-3853-48FF-81AD-5801C74BED1B}" name="End time" dataDxfId="101"/>
    <tableColumn id="4" xr3:uid="{76C994F9-216A-4848-9FB6-16BAF8B0EEEA}" name="Time delta in h" dataDxfId="100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99"/>
    <tableColumn id="3" xr3:uid="{A62B365F-400F-45A4-B789-FE7B5FDBD312}" name="EBS self time" dataDxfId="98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97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8" xr:uid="{6B4B9DCE-0537-42B8-9E0F-D15F758A7129}" name="TimeEntries21375169951051251351391571992172292472712831719213960739310712713961953739110712513915917119320323725527182339667791105121135207221279289" displayName="TimeEntries21375169951051251351391571992172292472712831719213960739310712713961953739110712513915917119320323725527182339667791105121135207221279289" ref="A15:G18" totalsRowShown="0">
  <autoFilter ref="A15:G18" xr:uid="{3F7114D7-ED42-4E4B-9F4E-6CFE8F60C883}"/>
  <tableColumns count="7">
    <tableColumn id="1" xr3:uid="{2F0495BB-4019-4C76-B1BD-04DF31181361}" name="Time entry no."/>
    <tableColumn id="2" xr3:uid="{4B6CEC96-3CAC-4AB5-9E0F-0EBFAE2235CC}" name="Start time" dataDxfId="93"/>
    <tableColumn id="3" xr3:uid="{5F7FE69E-3E69-48F6-A3E6-6D7471F81E24}" name="End time" dataDxfId="92"/>
    <tableColumn id="4" xr3:uid="{81BB34DF-F520-469B-8BE4-577FBBD871BC}" name="Time delta in h" dataDxfId="91">
      <calculatedColumnFormula>MAX((C16-B16)*24,0)</calculatedColumnFormula>
    </tableColumn>
    <tableColumn id="5" xr3:uid="{49BCDBEA-1C08-4C46-A5F9-22E18EEC6C30}" name="Indicator"/>
    <tableColumn id="6" xr3:uid="{540270F4-C5BC-435D-8EE4-9D06D9D1B6F1}" name="Action1" dataDxfId="90" dataCellStyle="Link"/>
    <tableColumn id="7" xr3:uid="{F4696BC4-6DCA-4B6E-9E32-B75CE0E8A7C1}" name="Action2" dataDxfId="89" dataCellStyle="Link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9" xr:uid="{A398208E-1FE6-4DC4-938D-E46AF93D2CB1}" name="Tabelle736722385270961061261361401582002182302482722841820224061749410812814072054749210812614016017219420423825627292440687892106122136208222280290" displayName="Tabelle736722385270961061261361401582002182302482722841820224061749410812814072054749210812614016017219420423825627292440687892106122136208222280290" ref="I15:M22" totalsRowShown="0">
  <autoFilter ref="I15:M22" xr:uid="{67090D77-703C-4113-AEE8-628240F8A4C8}"/>
  <tableColumns count="5">
    <tableColumn id="1" xr3:uid="{F98D9F32-F6F9-4BB0-9146-0E76104F5180}" name="Comparison entry no."/>
    <tableColumn id="2" xr3:uid="{E0DB7EDA-8AF6-49E7-A6CB-3F4E7560280A}" name="Propability Support point" dataDxfId="88"/>
    <tableColumn id="3" xr3:uid="{268F856C-46FC-4BEA-8EB4-F4FF4E5A3DFE}" name="EBS self time" dataDxfId="87"/>
    <tableColumn id="4" xr3:uid="{DBD81451-FF16-44BA-90F4-978FBB4F612B}" name="Total time">
      <calculatedColumnFormula>#REF!</calculatedColumnFormula>
    </tableColumn>
    <tableColumn id="5" xr3:uid="{D705401A-3841-4C07-B0BC-285E99DA1187}" name="Total time / Your estimate" dataDxfId="86">
      <calculatedColumnFormula>Tabelle736722385270961061261361401582002182302482722841820224061749410812814072054749210812614016017219420423825627292440687892106122136208222280290[[#This Row],[EBS self time]]/Tabelle736722385270961061261361401582002182302482722841820224061749410812814072054749210812614016017219420423825627292440687892106122136208222280290[[#This Row],[Total time]]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0" xr:uid="{17F9490F-33B8-46E5-9C84-40AC683B66EB}" name="TimeEntries217355162621395673991091291391591691891992192292492592792893093193393493693793994098214151738310311313314316317319320322323325326382141518235164165183203223315681105163181193211223241253285337381399417429461521533593607627639657669687699711311" displayName="TimeEntries217355162621395673991091291391591691891992192292492592792893093193393493693793994098214151738310311313314316317319320322323325326382141518235164165183203223315681105163181193211223241253285337381399417429461521533593607627639657669687699711311" ref="A38:G40" totalsRowShown="0">
  <autoFilter ref="A38:G40" xr:uid="{947F7BBF-E48D-45F8-8705-962E91CF1652}"/>
  <tableColumns count="7">
    <tableColumn id="1" xr3:uid="{EA44FD31-4B79-4FDE-9EB2-955CABC38266}" name="Time entry no."/>
    <tableColumn id="2" xr3:uid="{259D6B42-B18E-4A1F-9523-C72BE3CD2E70}" name="Start time" dataDxfId="85"/>
    <tableColumn id="3" xr3:uid="{372B9C38-75A3-468C-A574-2431EA142E26}" name="End time" dataDxfId="84"/>
    <tableColumn id="4" xr3:uid="{B9C31D74-960E-4CA2-9C83-96BF90F15413}" name="Time delta in h" dataDxfId="83">
      <calculatedColumnFormula>MAX((C39-B39)*24,0)</calculatedColumnFormula>
    </tableColumn>
    <tableColumn id="5" xr3:uid="{1C5E95D3-12B2-4E02-B82E-FF562202C675}" name="Indicator"/>
    <tableColumn id="6" xr3:uid="{5DD2A1FF-1F50-4ED8-8114-963397832DA4}" name="Action1" dataDxfId="82" dataCellStyle="Link"/>
    <tableColumn id="7" xr3:uid="{AC9B4DF7-BA84-4C99-B76C-E97F0EC58800}" name="Action2" dataDxfId="81" dataCellStyle="Link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1" xr:uid="{06C1B8DA-5ACA-48BA-A234-B6E62E465AF3}" name="Tabelle7367518365263722405774100110130140160170190200220230250260280290310320340350370380400410922425274841041141341441641741942042242342542649224252924526516618420422432578210616418219421222424225428633838240041843046252253459460862864065867068870071312" displayName="Tabelle7367518365263722405774100110130140160170190200220230250260280290310320340350370380400410922425274841041141341441641741942042242342542649224252924526516618420422432578210616418219421222424225428633838240041843046252253459460862864065867068870071312" ref="I38:M45" totalsRowShown="0">
  <autoFilter ref="I38:M45" xr:uid="{6FFD00C9-439D-445B-8BEC-CE48C3DA67CB}"/>
  <tableColumns count="5">
    <tableColumn id="1" xr3:uid="{B9B55882-A12C-4347-9533-2BE0E7FEF60A}" name="Comparison entry no."/>
    <tableColumn id="2" xr3:uid="{6D3CB504-39B0-4228-A2E1-59B79F22C1F2}" name="Propability Support point" dataDxfId="80"/>
    <tableColumn id="3" xr3:uid="{CC5F9436-8462-467A-B1DF-9A4C3BFAA1F5}" name="EBS self time" dataDxfId="79"/>
    <tableColumn id="4" xr3:uid="{3F6717D4-17A2-4AF3-906D-DE893D5EEDB0}" name="Total time">
      <calculatedColumnFormula>#REF!</calculatedColumnFormula>
    </tableColumn>
    <tableColumn id="5" xr3:uid="{B19C1094-6066-468A-A543-F19CFFA2AA93}" name="Total time / Your estimate" dataDxfId="78">
      <calculatedColumnFormula>Tabelle7367518365263722405774100110130140160170190200220230250260280290310320340350370380400410922425274841041141341441641741942042242342542649224252924526516618420422432578210616418219421222424225428633838240041843046252253459460862864065867068870071312[[#This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time]]/Tabelle7367518365263722405774100110130140160170190200220230250260280290310320340350370380400410922425274841041141341441641741942042242342542649224252924526516618420422432578210616418219421222424225428633838240041843046252253459460862864065867068870071312[[#This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2" xr:uid="{F67B9BF8-7B2C-4A70-8482-694D4F2ABC81}" name="TimeEntries1937627585103117133215225297313" displayName="TimeEntries1937627585103117133215225297313" ref="A61:G64" totalsRowShown="0">
  <autoFilter ref="A61:G64" xr:uid="{B55002B3-4131-4DD1-8072-C9E050AF27A2}"/>
  <tableColumns count="7">
    <tableColumn id="1" xr3:uid="{23F79D34-1DF6-4C5F-911D-5E4682A8FCBB}" name="Time entry no."/>
    <tableColumn id="2" xr3:uid="{33062D19-36FA-4AE0-A8B2-2C884C6CA6B2}" name="Start time" dataDxfId="77"/>
    <tableColumn id="3" xr3:uid="{DE47E990-0214-48AD-B69A-DE0D96E5BC16}" name="End time" dataDxfId="76"/>
    <tableColumn id="4" xr3:uid="{AEFEB295-95AC-40E4-81BB-BA1DA0D58D08}" name="Time delta in h" dataDxfId="75">
      <calculatedColumnFormula>MAX((C62-B62)*24,0)</calculatedColumnFormula>
    </tableColumn>
    <tableColumn id="5" xr3:uid="{31CC0460-B3AC-41BF-88E1-9EAC35BDDE21}" name="Indicator"/>
    <tableColumn id="6" xr3:uid="{D84DF033-B72E-47BE-9EFD-5213D066FC0F}" name="Action1" dataDxfId="74" dataCellStyle="Link"/>
    <tableColumn id="7" xr3:uid="{1C1507D0-7AA9-486C-9593-C5C826E54980}" name="Action2" dataDxfId="73" dataCellStyle="Link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3" xr:uid="{139EA43C-9637-4D08-92C9-02708ADFE3CE}" name="Tabelle73672038637686104118134216226298314" displayName="Tabelle73672038637686104118134216226298314" ref="I61:M68" totalsRowShown="0">
  <autoFilter ref="I61:M68" xr:uid="{4CC0CD93-2463-4535-8B92-C0965813A9FB}"/>
  <tableColumns count="5">
    <tableColumn id="1" xr3:uid="{5497FD0C-4FA1-4B21-A741-F6B158A6BC39}" name="Comparison entry no."/>
    <tableColumn id="2" xr3:uid="{2FBE6007-6636-4C24-B759-7D558A782079}" name="Propability Support point" dataDxfId="72"/>
    <tableColumn id="3" xr3:uid="{11BD9495-C7C8-4E4E-A5AF-ADEA473B84B3}" name="EBS self time" dataDxfId="71"/>
    <tableColumn id="4" xr3:uid="{FB4DD6EB-E4A3-4ACA-B5F7-3E25D05B04C8}" name="Total time">
      <calculatedColumnFormula>#REF!</calculatedColumnFormula>
    </tableColumn>
    <tableColumn id="5" xr3:uid="{CD2F3830-922E-471A-96C1-0E745B2B12B3}" name="Total time / Your estimate" dataDxfId="70">
      <calculatedColumnFormula>Tabelle73672038637686104118134216226298314[[#This Row],[EBS self time]]/Tabelle73672038637686104118134216226298314[[#This Row],[Total time]]</calculatedColumnFormula>
    </tableColumn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4" xr:uid="{BFE222E0-FA16-450B-9D8F-85856BB218CB}" name="TimeEntries217314395107129139159169219227249259301315" displayName="TimeEntries217314395107129139159169219227249259301315" ref="A84:G85" totalsRowShown="0">
  <autoFilter ref="A84:G85" xr:uid="{57189937-D977-433A-99D8-141A06A644C4}"/>
  <tableColumns count="7">
    <tableColumn id="1" xr3:uid="{F4324831-72C3-436B-A97B-4C3990ADC022}" name="Time entry no."/>
    <tableColumn id="2" xr3:uid="{6372A419-8C7E-49CE-9077-B9C92CC2A4D7}" name="Start time" dataDxfId="69"/>
    <tableColumn id="3" xr3:uid="{AD4FE99B-124B-4EA2-A96E-A9F83AC7ACDD}" name="End time" dataDxfId="68"/>
    <tableColumn id="4" xr3:uid="{1DBB530E-196F-4F1C-98B0-0F49F0B74705}" name="Time delta in h" dataDxfId="67">
      <calculatedColumnFormula>MAX((C85-B85)*24,0)</calculatedColumnFormula>
    </tableColumn>
    <tableColumn id="5" xr3:uid="{ED6991D4-A344-492B-A98B-D24011188FD5}" name="Indicator"/>
    <tableColumn id="6" xr3:uid="{064F925F-7432-49B9-A025-852C5BD305FE}" name="Action1"/>
    <tableColumn id="7" xr3:uid="{02A5195E-A4AD-4249-A895-D2DF1C1277AA}" name="Action2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5" xr:uid="{ED6AE5BC-8C78-4812-8861-6C84425F2D5F}" name="Tabelle7367518324496108130140160170220228250260302316" displayName="Tabelle7367518324496108130140160170220228250260302316" ref="I84:M85" totalsRowShown="0">
  <autoFilter ref="I84:M85" xr:uid="{D244CBAD-4CCB-491D-9A1C-AF29D2A2D454}"/>
  <tableColumns count="5">
    <tableColumn id="1" xr3:uid="{A4169A78-D4C4-47FD-91C4-AB7A5D8A1BB5}" name="Comparison entry no."/>
    <tableColumn id="2" xr3:uid="{6BB825A3-8B11-4E62-8E4E-750161D557AC}" name="Propability Support point" dataDxfId="66"/>
    <tableColumn id="3" xr3:uid="{9E66A61B-552D-41CA-A045-25345605B042}" name="EBS self time" dataDxfId="65"/>
    <tableColumn id="4" xr3:uid="{D136AAC1-0B3F-4443-A68E-746FD9D04372}" name="Total time">
      <calculatedColumnFormula>#REF!</calculatedColumnFormula>
    </tableColumn>
    <tableColumn id="5" xr3:uid="{399309F6-226E-4DA6-8D5E-9294BA054EAB}" name="Total time / Your estimate" dataDxfId="64">
      <calculatedColumnFormula>Tabelle7367518324496108130140160170220228250260302316[[#This Row],[EBS self time]]/Tabelle7367518324496108130140160170220228250260302316[[#This Row],[Total time]]</calculatedColumnFormula>
    </tableColumn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6" xr:uid="{0EEA1283-1721-491F-B99C-5415B8AB9B96}" name="TimeEntries619314966825416075871031131311431611731912032212332512632812933113233413533713834014131325435675871051171351471651771952072252372552671325436921396081951771891992212312414962991111751872052172352472712913673874114234474674954975696036196351317" displayName="TimeEntries619314966825416075871031131311431611731912032212332512632812933113233413533713834014131325435675871051171351471651771952072252372552671325436921396081951771891992212312414962991111751872052172352472712913673874114234474674954975696036196351317" ref="A101:G102" insertRow="1" totalsRowShown="0">
  <autoFilter ref="A101:G102" xr:uid="{383607D2-6DE2-4F56-BFBF-15188AB34754}"/>
  <tableColumns count="7">
    <tableColumn id="1" xr3:uid="{B7ABB66A-B089-49AC-89DF-8FD0439AB969}" name="Time entry no."/>
    <tableColumn id="2" xr3:uid="{7EAB0FFB-913B-4EDB-A399-26AC3D0DD3A6}" name="Start time" dataDxfId="63"/>
    <tableColumn id="3" xr3:uid="{C34F81F3-5302-4E84-8EC8-41B0BF63E621}" name="End time" dataDxfId="62"/>
    <tableColumn id="4" xr3:uid="{0B4AF134-F5C3-41E9-BE94-8A45C4F2C1AA}" name="Time delta in h" dataDxfId="61"/>
    <tableColumn id="5" xr3:uid="{75379771-4938-4881-BB79-43C685CA2F2D}" name="Indicator"/>
    <tableColumn id="6" xr3:uid="{B3F072A9-831D-4A8E-8994-A8310EF05E7E}" name="Action1" dataDxfId="60" dataCellStyle="Link"/>
    <tableColumn id="7" xr3:uid="{E921322E-106C-432F-8D62-CA83EF4C426B}" name="Action2" dataDxfId="59" dataCellStyle="Link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7" xr:uid="{F7D93817-17AE-4215-A15A-76AA3B01FCFC}" name="Tabelle7367720325068926426176881041141321441621741922042222342522642822943123243423543723844024141426445776881061181361481661781962082262382562681426447022406182961781902002222322425063100112176188206218236248272292368388412424448468496498570604620631318" displayName="Tabelle7367720325068926426176881041141321441621741922042222342522642822943123243423543723844024141426445776881061181361481661781962082262382562681426447022406182961781902002222322425063100112176188206218236248272292368388412424448468496498570604620631318" ref="I101:M108" totalsRowShown="0">
  <autoFilter ref="I101:M108" xr:uid="{C42C31EB-87F3-4456-BC60-D22AA3140F4F}"/>
  <tableColumns count="5">
    <tableColumn id="1" xr3:uid="{7951A753-9BE5-4D42-8B58-39E985B8CD76}" name="Comparison entry no."/>
    <tableColumn id="2" xr3:uid="{126AE6D7-8628-4FFB-98E8-092E9A387338}" name="Propability Support point" dataDxfId="58"/>
    <tableColumn id="3" xr3:uid="{2EBFEE57-88D8-4244-BAA5-A2272D84486B}" name="EBS self time" dataDxfId="57"/>
    <tableColumn id="4" xr3:uid="{8659BAD2-E11F-49C0-8BF2-2FF74FB78507}" name="Total time">
      <calculatedColumnFormula>#REF!</calculatedColumnFormula>
    </tableColumn>
    <tableColumn id="5" xr3:uid="{933BB95C-FA11-47F7-82D2-5C5D9936C425}" name="Total time / Your estimate" dataDxfId="56">
      <calculatedColumnFormula>Tabelle7367720325068926426176881041141321441621741922042222342522642822943123243423543723844024141426445776881061181361481661781962082262382562681426447022406182961781902002222322425063100112176188206218236248272292368388412424448468496498570604620631318[[#This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time]]/Tabelle7367720325068926426176881041141321441621741922042222342522642822943123243423543723844024141426445776881061181361481661781962082262382562681426447022406182961781902002222322425063100112176188206218236248272292368388412424448468496498570604620631318[[#This Row],[Total time]]</calculatedColumnFormula>
    </tableColumn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8" xr:uid="{5623A48F-6291-44FE-B50B-5D4E1D6D5587}" name="TimeEntries132347587917374751718310112513715516718519721522724525727528730531733534736537739540742519374969819911112914115917118920121923124926127919334760174562879718119119521923724327536610311513517918920921923924927729337338941542545346950952757361319" displayName="TimeEntries132347587917374751718310112513715516718519721522724525727528730531733534736537739540742519374969819911112914115917118920121923124926127919334760174562879718119119521923724327536610311513517918920921923924927729337338941542545346950952757361319" ref="A124:G125" insertRow="1" totalsRowShown="0">
  <autoFilter ref="A124:G125" xr:uid="{63A62FE9-CCC1-4EA1-B450-B5A80A82D076}"/>
  <tableColumns count="7">
    <tableColumn id="1" xr3:uid="{4F1380C6-2649-4A56-98B1-101A03630596}" name="Time entry no."/>
    <tableColumn id="2" xr3:uid="{0F59D2B9-B7DE-4B27-8BB5-A8E29345E448}" name="Start time" dataDxfId="55"/>
    <tableColumn id="3" xr3:uid="{6116396A-A1E3-4D9C-95E2-DED7FF7513A5}" name="End time" dataDxfId="54"/>
    <tableColumn id="4" xr3:uid="{81741A74-A7C9-411B-BEFF-ECBACA20AAD1}" name="Time delta in h" dataDxfId="53"/>
    <tableColumn id="5" xr3:uid="{6E0E9A0F-4BC2-4A21-BEAA-784840A174D2}" name="Indicator"/>
    <tableColumn id="6" xr3:uid="{777D48DD-F7A5-4F30-A275-0CC782F376EF}" name="Action1" dataDxfId="52" dataCellStyle="Link"/>
    <tableColumn id="7" xr3:uid="{92279134-1FFA-4835-B481-68B3907E8490}" name="Action2" dataDxfId="51" dataCellStyle="Link"/>
  </tableColumns>
  <tableStyleInfo name="TableStyleDark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9" xr:uid="{B3726507-58CC-4E1A-84D2-F7329237CC36}" name="Tabelle7367142448598018384852728410212613815616818619821622824625827628830631833634836637839640842620385070821001121301421601721902022202322502622802034486118466388981821921962202382442854681041161361801902102202402502782943743904164264544705105285741320" displayName="Tabelle7367142448598018384852728410212613815616818619821622824625827628830631833634836637839640842620385070821001121301421601721902022202322502622802034486118466388981821921962202382442854681041161361801902102202402502782943743904164264544705105285741320" ref="I124:M131" totalsRowShown="0">
  <autoFilter ref="I124:M131" xr:uid="{BD91F445-CD40-41C9-B199-2A58C1F85FCE}"/>
  <tableColumns count="5">
    <tableColumn id="1" xr3:uid="{3466CA79-59D1-4464-9287-4E22173CD836}" name="Comparison entry no."/>
    <tableColumn id="2" xr3:uid="{447AF758-D7C4-4AA3-98AA-45B9892F54A3}" name="Propability Support point" dataDxfId="50"/>
    <tableColumn id="3" xr3:uid="{EF137EC0-6D4A-49DB-8A81-BB0E7ACA05FF}" name="EBS self time" dataDxfId="49"/>
    <tableColumn id="4" xr3:uid="{78B7DCAD-6F63-47FD-ABA8-C00AF17B75FB}" name="Total time">
      <calculatedColumnFormula>#REF!</calculatedColumnFormula>
    </tableColumn>
    <tableColumn id="5" xr3:uid="{6F51AA66-8E14-400E-A76A-A31F60915C94}" name="Total time / Your estimate" dataDxfId="48">
      <calculatedColumnFormula>Tabelle7367142448598018384852728410212613815616818619821622824625827628830631833634836637839640842620385070821001121301421601721902022202322502622802034486118466388981821921962202382442854681041161361801902102202402502782943743904164264544705105285741320[[#This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time]]/Tabelle7367142448598018384852728410212613815616818619821622824625827628830631833634836637839640842620385070821001121301421601721902022202322502622802034486118466388981821921962202382442854681041161361801902102202402502782943743904164264544705105285741320[[#This Row],[Total time]]</calculatedColumnFormula>
    </tableColumn>
  </tableColumns>
  <tableStyleInfo name="TableStyleDark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96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95"/>
    <tableColumn id="4" xr3:uid="{F9EDA55E-5206-49A7-A846-6A0B14C04CAF}" name="User time estimate" dataDxfId="94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AF0BCD2F-1576-43E5-88C4-24FC1923FC78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12" Type="http://schemas.openxmlformats.org/officeDocument/2006/relationships/table" Target="../tables/table24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Relationship Id="rId6" Type="http://schemas.openxmlformats.org/officeDocument/2006/relationships/table" Target="../tables/table18.xml"/><Relationship Id="rId11" Type="http://schemas.openxmlformats.org/officeDocument/2006/relationships/table" Target="../tables/table23.xml"/><Relationship Id="rId5" Type="http://schemas.openxmlformats.org/officeDocument/2006/relationships/table" Target="../tables/table17.xml"/><Relationship Id="rId10" Type="http://schemas.openxmlformats.org/officeDocument/2006/relationships/table" Target="../tables/table22.xml"/><Relationship Id="rId4" Type="http://schemas.openxmlformats.org/officeDocument/2006/relationships/table" Target="../tables/table16.xml"/><Relationship Id="rId9" Type="http://schemas.openxmlformats.org/officeDocument/2006/relationships/table" Target="../tables/table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N13" sqref="N13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8" bestFit="1" customWidth="1" collapsed="1"/>
    <col min="3" max="3" width="32.140625" style="9" customWidth="1"/>
    <col min="4" max="4" width="25.7109375" style="9" customWidth="1"/>
    <col min="6" max="6" width="9.8554687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8" customWidth="1" collapsed="1"/>
    <col min="15" max="15" width="13.5703125" hidden="1" customWidth="1" outlineLevel="1"/>
    <col min="16" max="16" width="11.42578125" hidden="1" customWidth="1" outlineLevel="1"/>
    <col min="17" max="17" width="20.28515625" style="6" hidden="1" customWidth="1" outlineLevel="1"/>
    <col min="18" max="18" width="15.7109375" style="38" customWidth="1" collapsed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7" t="s">
        <v>78</v>
      </c>
      <c r="M2" s="37" t="s">
        <v>78</v>
      </c>
      <c r="O2" s="8"/>
      <c r="P2" s="8"/>
      <c r="Q2" s="8"/>
      <c r="U2"/>
    </row>
    <row r="3" spans="1:22" x14ac:dyDescent="0.25">
      <c r="A3" s="6" t="s">
        <v>12</v>
      </c>
      <c r="B3" s="38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8" t="s">
        <v>14</v>
      </c>
      <c r="O3" s="6" t="s">
        <v>15</v>
      </c>
      <c r="P3" t="s">
        <v>13</v>
      </c>
      <c r="Q3" t="s">
        <v>47</v>
      </c>
      <c r="U3"/>
    </row>
    <row r="4" spans="1:22" ht="15" customHeight="1" x14ac:dyDescent="0.25">
      <c r="A4" s="43" t="s">
        <v>143</v>
      </c>
      <c r="B4" s="44"/>
      <c r="C4" s="45" t="s">
        <v>152</v>
      </c>
      <c r="D4" s="45"/>
      <c r="E4" s="43"/>
      <c r="F4" s="43"/>
      <c r="G4" s="43" t="s">
        <v>174</v>
      </c>
      <c r="H4" s="43" t="s">
        <v>139</v>
      </c>
      <c r="I4" s="46">
        <v>0.5</v>
      </c>
      <c r="J4" s="46">
        <v>0.75</v>
      </c>
      <c r="K4" s="47">
        <v>43877.967650462961</v>
      </c>
      <c r="L4" s="46" t="s">
        <v>95</v>
      </c>
      <c r="M4" s="47" t="s">
        <v>95</v>
      </c>
      <c r="N4" s="44" t="s">
        <v>95</v>
      </c>
      <c r="O4" s="43" t="s">
        <v>19</v>
      </c>
      <c r="P4" s="43" t="s">
        <v>95</v>
      </c>
      <c r="Q4" s="43" t="s">
        <v>168</v>
      </c>
      <c r="U4"/>
    </row>
    <row r="5" spans="1:22" ht="15" customHeight="1" x14ac:dyDescent="0.25">
      <c r="A5" s="48" t="s">
        <v>150</v>
      </c>
      <c r="B5" s="44"/>
      <c r="C5" s="45" t="s">
        <v>138</v>
      </c>
      <c r="D5" s="45" t="s">
        <v>140</v>
      </c>
      <c r="E5" s="43" t="s">
        <v>178</v>
      </c>
      <c r="F5" s="48"/>
      <c r="G5" s="48" t="s">
        <v>174</v>
      </c>
      <c r="H5" s="48" t="s">
        <v>139</v>
      </c>
      <c r="I5" s="49">
        <v>1</v>
      </c>
      <c r="J5" s="49">
        <v>0.50000000005820799</v>
      </c>
      <c r="K5" s="50">
        <v>43876.756701388891</v>
      </c>
      <c r="L5" s="48" t="s">
        <v>95</v>
      </c>
      <c r="M5" s="48" t="s">
        <v>95</v>
      </c>
      <c r="N5" s="44" t="s">
        <v>95</v>
      </c>
      <c r="O5" s="48" t="s">
        <v>19</v>
      </c>
      <c r="P5" s="48" t="s">
        <v>95</v>
      </c>
      <c r="Q5" s="48" t="s">
        <v>173</v>
      </c>
      <c r="U5"/>
    </row>
    <row r="6" spans="1:22" ht="15" customHeight="1" x14ac:dyDescent="0.25">
      <c r="A6" s="54" t="s">
        <v>161</v>
      </c>
      <c r="B6" s="55"/>
      <c r="C6" s="56" t="s">
        <v>224</v>
      </c>
      <c r="D6" s="56"/>
      <c r="E6" s="57" t="s">
        <v>176</v>
      </c>
      <c r="F6" s="54" t="s">
        <v>176</v>
      </c>
      <c r="G6" s="54"/>
      <c r="H6" s="54" t="s">
        <v>139</v>
      </c>
      <c r="I6" s="58">
        <v>5</v>
      </c>
      <c r="J6" s="58">
        <v>0.50888888875488203</v>
      </c>
      <c r="K6" s="59">
        <v>43940.764502314814</v>
      </c>
      <c r="L6" s="54" t="s">
        <v>95</v>
      </c>
      <c r="M6" s="54" t="s">
        <v>95</v>
      </c>
      <c r="N6" s="60"/>
      <c r="O6" s="54" t="s">
        <v>19</v>
      </c>
      <c r="P6" s="54" t="s">
        <v>95</v>
      </c>
      <c r="Q6" s="54" t="s">
        <v>223</v>
      </c>
      <c r="U6"/>
    </row>
    <row r="7" spans="1:22" ht="15" customHeight="1" x14ac:dyDescent="0.25">
      <c r="A7" s="48" t="s">
        <v>151</v>
      </c>
      <c r="B7" s="44"/>
      <c r="C7" s="45" t="s">
        <v>221</v>
      </c>
      <c r="D7" s="45"/>
      <c r="E7" s="43"/>
      <c r="F7" s="48"/>
      <c r="G7" s="48"/>
      <c r="H7" s="48" t="s">
        <v>94</v>
      </c>
      <c r="I7" s="49" t="s">
        <v>222</v>
      </c>
      <c r="J7" s="49">
        <v>0</v>
      </c>
      <c r="K7" s="48" t="s">
        <v>95</v>
      </c>
      <c r="L7" s="48" t="s">
        <v>95</v>
      </c>
      <c r="M7" s="48" t="s">
        <v>95</v>
      </c>
      <c r="N7" s="51"/>
      <c r="O7" s="48" t="s">
        <v>19</v>
      </c>
      <c r="P7" s="48">
        <v>5</v>
      </c>
      <c r="Q7" s="48" t="s">
        <v>220</v>
      </c>
      <c r="U7"/>
    </row>
    <row r="8" spans="1:22" ht="15" customHeight="1" x14ac:dyDescent="0.25">
      <c r="A8" s="48" t="s">
        <v>148</v>
      </c>
      <c r="B8" s="44"/>
      <c r="C8" s="45" t="s">
        <v>165</v>
      </c>
      <c r="D8" s="45"/>
      <c r="E8" s="43"/>
      <c r="F8" s="48" t="s">
        <v>176</v>
      </c>
      <c r="G8" s="48" t="s">
        <v>175</v>
      </c>
      <c r="H8" s="48" t="s">
        <v>94</v>
      </c>
      <c r="I8" s="49">
        <v>5</v>
      </c>
      <c r="J8" s="49">
        <v>0</v>
      </c>
      <c r="K8" s="48" t="s">
        <v>95</v>
      </c>
      <c r="L8" s="49">
        <v>2.5</v>
      </c>
      <c r="M8" s="50">
        <v>43941.4375</v>
      </c>
      <c r="N8" s="44" t="s">
        <v>95</v>
      </c>
      <c r="O8" s="48" t="s">
        <v>19</v>
      </c>
      <c r="P8" s="48">
        <v>4</v>
      </c>
      <c r="Q8" s="48" t="s">
        <v>171</v>
      </c>
      <c r="U8"/>
    </row>
    <row r="9" spans="1:22" ht="15" customHeight="1" x14ac:dyDescent="0.25">
      <c r="A9" s="48" t="s">
        <v>149</v>
      </c>
      <c r="B9" s="44"/>
      <c r="C9" s="45" t="s">
        <v>166</v>
      </c>
      <c r="D9" s="45"/>
      <c r="E9" s="43"/>
      <c r="F9" s="48"/>
      <c r="G9" s="48" t="s">
        <v>177</v>
      </c>
      <c r="H9" s="48" t="s">
        <v>94</v>
      </c>
      <c r="I9" s="49">
        <v>2</v>
      </c>
      <c r="J9" s="49">
        <v>0</v>
      </c>
      <c r="K9" s="48" t="s">
        <v>95</v>
      </c>
      <c r="L9" s="49">
        <v>4.4994999999999994</v>
      </c>
      <c r="M9" s="50">
        <v>43941.520798611113</v>
      </c>
      <c r="N9" s="44" t="s">
        <v>95</v>
      </c>
      <c r="O9" s="48" t="s">
        <v>19</v>
      </c>
      <c r="P9" s="48">
        <v>3</v>
      </c>
      <c r="Q9" s="48" t="s">
        <v>172</v>
      </c>
      <c r="U9"/>
    </row>
    <row r="10" spans="1:22" s="63" customFormat="1" x14ac:dyDescent="0.25">
      <c r="A10" s="48" t="s">
        <v>147</v>
      </c>
      <c r="B10" s="44"/>
      <c r="C10" s="45" t="s">
        <v>157</v>
      </c>
      <c r="D10" s="45" t="s">
        <v>158</v>
      </c>
      <c r="E10" s="43"/>
      <c r="F10" s="48" t="s">
        <v>176</v>
      </c>
      <c r="G10" s="48" t="s">
        <v>175</v>
      </c>
      <c r="H10" s="48" t="s">
        <v>156</v>
      </c>
      <c r="I10" s="49">
        <v>0.25</v>
      </c>
      <c r="J10" s="49">
        <v>2.5002777776098801</v>
      </c>
      <c r="K10" s="48" t="s">
        <v>95</v>
      </c>
      <c r="L10" s="49">
        <v>4.4994999999999994</v>
      </c>
      <c r="M10" s="50">
        <v>43941.520798611113</v>
      </c>
      <c r="N10" s="44" t="s">
        <v>95</v>
      </c>
      <c r="O10" s="48" t="s">
        <v>19</v>
      </c>
      <c r="P10" s="48">
        <v>2</v>
      </c>
      <c r="Q10" s="48" t="s">
        <v>170</v>
      </c>
      <c r="R10" s="61"/>
      <c r="S10" s="57"/>
      <c r="T10" s="57"/>
      <c r="U10" s="62"/>
    </row>
    <row r="11" spans="1:22" s="63" customFormat="1" x14ac:dyDescent="0.25">
      <c r="A11" s="54" t="s">
        <v>146</v>
      </c>
      <c r="B11" s="55"/>
      <c r="C11" s="56" t="s">
        <v>155</v>
      </c>
      <c r="D11" s="56"/>
      <c r="E11" s="57" t="s">
        <v>178</v>
      </c>
      <c r="F11" s="54"/>
      <c r="G11" s="54" t="s">
        <v>175</v>
      </c>
      <c r="H11" s="54" t="s">
        <v>156</v>
      </c>
      <c r="I11" s="58">
        <v>1</v>
      </c>
      <c r="J11" s="58">
        <v>0.50000000005820799</v>
      </c>
      <c r="K11" s="54" t="s">
        <v>95</v>
      </c>
      <c r="L11" s="58">
        <v>4.7119999999999997</v>
      </c>
      <c r="M11" s="59">
        <v>43941.529664351852</v>
      </c>
      <c r="N11" s="60">
        <v>43877</v>
      </c>
      <c r="O11" s="54" t="s">
        <v>19</v>
      </c>
      <c r="P11" s="54">
        <v>1</v>
      </c>
      <c r="Q11" s="54" t="s">
        <v>169</v>
      </c>
      <c r="R11" s="61"/>
      <c r="S11" s="57"/>
      <c r="T11" s="57"/>
      <c r="U11" s="62"/>
      <c r="V11" s="64"/>
    </row>
    <row r="12" spans="1:22" x14ac:dyDescent="0.25">
      <c r="A12" s="39"/>
      <c r="B12" s="35"/>
      <c r="C12" s="23"/>
      <c r="D12" s="23"/>
      <c r="E12" s="24"/>
      <c r="F12" s="39"/>
      <c r="G12" s="39"/>
      <c r="H12" s="39"/>
      <c r="I12" s="40"/>
      <c r="J12" s="39"/>
      <c r="K12" s="39"/>
      <c r="L12" s="39"/>
      <c r="M12" s="39"/>
      <c r="N12" s="36"/>
      <c r="O12" s="39"/>
      <c r="P12" s="39"/>
      <c r="Q12" s="39"/>
    </row>
    <row r="13" spans="1:22" x14ac:dyDescent="0.25">
      <c r="A13" s="24"/>
      <c r="B13" s="35"/>
      <c r="C13" s="23"/>
      <c r="D13" s="23" t="s">
        <v>114</v>
      </c>
      <c r="F13" s="24"/>
      <c r="G13" s="24"/>
      <c r="H13" s="24"/>
      <c r="I13" s="24"/>
      <c r="J13" s="25"/>
      <c r="K13" s="24"/>
      <c r="L13" s="25"/>
      <c r="M13" s="25"/>
      <c r="N13" s="36"/>
      <c r="Q13" s="24"/>
    </row>
    <row r="18" spans="3:3" x14ac:dyDescent="0.25">
      <c r="C18" s="11"/>
    </row>
    <row r="39" spans="22:22" x14ac:dyDescent="0.25">
      <c r="V39" t="s">
        <v>88</v>
      </c>
    </row>
  </sheetData>
  <dataConsolidate/>
  <conditionalFormatting sqref="B4:B11">
    <cfRule type="containsText" dxfId="31" priority="7" operator="containsText" text="&lt;current">
      <formula>NOT(ISERROR(SEARCH("&lt;current",B4)))</formula>
    </cfRule>
  </conditionalFormatting>
  <conditionalFormatting sqref="H4:H11">
    <cfRule type="containsText" dxfId="30" priority="2" operator="containsText" text="Note">
      <formula>NOT(ISERROR(SEARCH("Note",H4)))</formula>
    </cfRule>
    <cfRule type="containsText" dxfId="29" priority="8" operator="containsText" text="Done">
      <formula>NOT(ISERROR(SEARCH("Done",H4)))</formula>
    </cfRule>
    <cfRule type="containsText" dxfId="28" priority="9" operator="containsText" text="In progress">
      <formula>NOT(ISERROR(SEARCH("In progress",H4)))</formula>
    </cfRule>
    <cfRule type="containsText" dxfId="27" priority="10" operator="containsText" text="To do">
      <formula>NOT(ISERROR(SEARCH("To do",H4)))</formula>
    </cfRule>
  </conditionalFormatting>
  <conditionalFormatting sqref="N4:N11">
    <cfRule type="cellIs" dxfId="26" priority="1" operator="lessThan">
      <formula>TODAY()</formula>
    </cfRule>
  </conditionalFormatting>
  <conditionalFormatting sqref="P4:P11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:H11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:O11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11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11" xr:uid="{D15B3D4E-C4A9-4E32-9BB4-30E081D2F1BA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11" xr:uid="{F32ADCD5-9D8D-4CCE-8AA4-B6EAC1E91473}">
      <formula1>"important,fruit"</formula1>
    </dataValidation>
  </dataValidations>
  <hyperlinks>
    <hyperlink ref="C4" location="Planning!A1" display="Planning!A1" xr:uid="{5B5CD1D8-E8BD-4F86-9D8D-50B9A9632EE8}"/>
    <hyperlink ref="C11" location="Planning!A1" display="Planning!A1" xr:uid="{F41690D9-314B-4722-B547-157B5711E165}"/>
    <hyperlink ref="C10" location="Planning!A1" display="Planning!A1" xr:uid="{BC42D341-749E-4974-9703-6AF2E3023CA9}"/>
    <hyperlink ref="C8" location="Planning!A1" display="Planning!A1" xr:uid="{2E2E1D78-1291-4A8A-B39B-9D84FE2709E6}"/>
    <hyperlink ref="C9" location="Planning!A1" display="Planning!A1" xr:uid="{C52ECF19-4604-4FF4-A21A-6F25D9A71A90}"/>
    <hyperlink ref="C5" location="Planning!A1" display="Planning!A1" xr:uid="{0E674BE9-9519-43F9-BD03-7C270522C598}"/>
    <hyperlink ref="C7" location="Planning!A1" display="Planning!A1" xr:uid="{6755011C-20C2-4A5E-BCAB-70192544D23C}"/>
    <hyperlink ref="C6" location="Planning!A1" display="Planning!A1" xr:uid="{194470B7-4288-42F7-BC98-28556DD7119C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DF7C1-3187-4652-BDCC-4A8F2C13F34C}">
  <sheetPr codeName="TaskSheetTemplate1"/>
  <dimension ref="A1:M2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157</v>
      </c>
    </row>
    <row r="3" spans="1:13" x14ac:dyDescent="0.25">
      <c r="A3" t="s">
        <v>79</v>
      </c>
      <c r="B3" s="2">
        <v>0.25</v>
      </c>
      <c r="C3" t="s">
        <v>4</v>
      </c>
    </row>
    <row r="4" spans="1:13" x14ac:dyDescent="0.25">
      <c r="A4" t="s">
        <v>0</v>
      </c>
      <c r="B4" s="2">
        <f>SUM(D:D)</f>
        <v>2.500277777609881</v>
      </c>
      <c r="C4" t="s">
        <v>4</v>
      </c>
    </row>
    <row r="5" spans="1:13" x14ac:dyDescent="0.25">
      <c r="A5" t="s">
        <v>14</v>
      </c>
      <c r="B5" s="41" t="s">
        <v>95</v>
      </c>
    </row>
    <row r="6" spans="1:13" x14ac:dyDescent="0.25">
      <c r="A6" t="s">
        <v>15</v>
      </c>
      <c r="B6" s="41" t="s">
        <v>19</v>
      </c>
    </row>
    <row r="7" spans="1:13" x14ac:dyDescent="0.25">
      <c r="A7" t="s">
        <v>1</v>
      </c>
      <c r="B7" t="s">
        <v>156</v>
      </c>
    </row>
    <row r="8" spans="1:13" x14ac:dyDescent="0.25">
      <c r="A8" t="s">
        <v>16</v>
      </c>
      <c r="B8" s="41" t="s">
        <v>95</v>
      </c>
    </row>
    <row r="9" spans="1:13" x14ac:dyDescent="0.25">
      <c r="A9" t="s">
        <v>2</v>
      </c>
      <c r="B9" t="s">
        <v>158</v>
      </c>
    </row>
    <row r="10" spans="1:13" x14ac:dyDescent="0.25">
      <c r="A10" t="s">
        <v>47</v>
      </c>
      <c r="B10" t="s">
        <v>170</v>
      </c>
    </row>
    <row r="11" spans="1:13" x14ac:dyDescent="0.25">
      <c r="A11" t="s">
        <v>5</v>
      </c>
      <c r="B11" s="2">
        <f>B3/B4</f>
        <v>9.9988890130034008E-2</v>
      </c>
      <c r="C11" t="s">
        <v>6</v>
      </c>
    </row>
    <row r="12" spans="1:13" x14ac:dyDescent="0.25">
      <c r="A12" t="s">
        <v>96</v>
      </c>
      <c r="B12" t="s">
        <v>159</v>
      </c>
    </row>
    <row r="13" spans="1:13" x14ac:dyDescent="0.25">
      <c r="A13" t="s">
        <v>97</v>
      </c>
      <c r="B13" t="s">
        <v>160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143</v>
      </c>
      <c r="B15" s="1">
        <v>43877.685219907406</v>
      </c>
      <c r="C15" s="1">
        <v>43877.695636574077</v>
      </c>
      <c r="D15" s="2">
        <f t="shared" ref="D15:D24" si="0">MAX((C15-B15)*24,0)</f>
        <v>0.25000000011641532</v>
      </c>
      <c r="F15" s="42" t="s">
        <v>144</v>
      </c>
      <c r="G15" s="23" t="s">
        <v>145</v>
      </c>
      <c r="I15" t="s">
        <v>143</v>
      </c>
      <c r="J15" s="15">
        <v>0.05</v>
      </c>
      <c r="K15" s="2">
        <v>2.5000000000000001E-2</v>
      </c>
      <c r="L15" s="2" t="e">
        <f>#REF!</f>
        <v>#REF!</v>
      </c>
      <c r="M15" s="16" t="e">
        <f>Tabelle7367922445776163446708096108122136152166182196212226242256272286302316332346362376392406422183448658096110126140156170186200216230246260276183046571634597694174188216228446194110172186202216232246266290320322362386408422442466556566602612616631324[[#This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time]]/Tabelle7367922445776163446708096108122136152166182196212226242256272286302316332346362376392406422183448658096110126140156170186200216230246260276183046571634597694174188216228446194110172186202216232246266290320322362386408422442466556566602612616631324[[#This Row],[Total time]]</f>
        <v>#REF!</v>
      </c>
    </row>
    <row r="16" spans="1:13" x14ac:dyDescent="0.25">
      <c r="A16" t="s">
        <v>146</v>
      </c>
      <c r="B16" s="1">
        <v>43877.685219907406</v>
      </c>
      <c r="C16" s="1">
        <v>43877.695636574077</v>
      </c>
      <c r="D16" s="2">
        <f t="shared" si="0"/>
        <v>0.25000000011641532</v>
      </c>
      <c r="F16" s="42" t="s">
        <v>144</v>
      </c>
      <c r="G16" s="23" t="s">
        <v>145</v>
      </c>
      <c r="I16" t="s">
        <v>146</v>
      </c>
      <c r="J16" s="15">
        <v>0.2</v>
      </c>
      <c r="K16" s="2">
        <v>2.5000000000000001E-2</v>
      </c>
      <c r="L16" s="2" t="e">
        <f>#REF!</f>
        <v>#REF!</v>
      </c>
      <c r="M16" s="16" t="e">
        <f>Tabelle7367922445776163446708096108122136152166182196212226242256272286302316332346362376392406422183448658096110126140156170186200216230246260276183046571634597694174188216228446194110172186202216232246266290320322362386408422442466556566602612616631324[[#This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time]]/Tabelle7367922445776163446708096108122136152166182196212226242256272286302316332346362376392406422183448658096110126140156170186200216230246260276183046571634597694174188216228446194110172186202216232246266290320322362386408422442466556566602612616631324[[#This Row],[Total time]]</f>
        <v>#REF!</v>
      </c>
    </row>
    <row r="17" spans="1:13" x14ac:dyDescent="0.25">
      <c r="A17" t="s">
        <v>147</v>
      </c>
      <c r="B17" s="1">
        <v>43877.685219907406</v>
      </c>
      <c r="C17" s="1">
        <v>43877.695636574077</v>
      </c>
      <c r="D17" s="2">
        <f t="shared" si="0"/>
        <v>0.25000000011641532</v>
      </c>
      <c r="F17" s="42" t="s">
        <v>144</v>
      </c>
      <c r="G17" s="23" t="s">
        <v>145</v>
      </c>
      <c r="I17" t="s">
        <v>147</v>
      </c>
      <c r="J17" s="15">
        <v>0.35</v>
      </c>
      <c r="K17" s="2">
        <v>2.5000000000000001E-2</v>
      </c>
      <c r="L17" s="2" t="e">
        <f>#REF!</f>
        <v>#REF!</v>
      </c>
      <c r="M17" s="16" t="e">
        <f>Tabelle7367922445776163446708096108122136152166182196212226242256272286302316332346362376392406422183448658096110126140156170186200216230246260276183046571634597694174188216228446194110172186202216232246266290320322362386408422442466556566602612616631324[[#This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time]]/Tabelle7367922445776163446708096108122136152166182196212226242256272286302316332346362376392406422183448658096110126140156170186200216230246260276183046571634597694174188216228446194110172186202216232246266290320322362386408422442466556566602612616631324[[#This Row],[Total time]]</f>
        <v>#REF!</v>
      </c>
    </row>
    <row r="18" spans="1:13" x14ac:dyDescent="0.25">
      <c r="A18" t="s">
        <v>148</v>
      </c>
      <c r="B18" s="1">
        <v>43877.685231481482</v>
      </c>
      <c r="C18" s="1">
        <v>43877.695648148147</v>
      </c>
      <c r="D18" s="2">
        <f t="shared" si="0"/>
        <v>0.24999999994179234</v>
      </c>
      <c r="F18" s="42" t="s">
        <v>144</v>
      </c>
      <c r="G18" s="23" t="s">
        <v>145</v>
      </c>
      <c r="I18" t="s">
        <v>148</v>
      </c>
      <c r="J18" s="15">
        <v>0.5</v>
      </c>
      <c r="K18" s="2">
        <v>2.5000000000000001E-2</v>
      </c>
      <c r="L18" s="2" t="e">
        <f>#REF!</f>
        <v>#REF!</v>
      </c>
      <c r="M18" s="16" t="e">
        <f>Tabelle7367922445776163446708096108122136152166182196212226242256272286302316332346362376392406422183448658096110126140156170186200216230246260276183046571634597694174188216228446194110172186202216232246266290320322362386408422442466556566602612616631324[[#This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time]]/Tabelle7367922445776163446708096108122136152166182196212226242256272286302316332346362376392406422183448658096110126140156170186200216230246260276183046571634597694174188216228446194110172186202216232246266290320322362386408422442466556566602612616631324[[#This Row],[Total time]]</f>
        <v>#REF!</v>
      </c>
    </row>
    <row r="19" spans="1:13" x14ac:dyDescent="0.25">
      <c r="A19" t="s">
        <v>149</v>
      </c>
      <c r="B19" s="1">
        <v>43877.685231481482</v>
      </c>
      <c r="C19" s="1">
        <v>43877.695648148147</v>
      </c>
      <c r="D19" s="2">
        <f t="shared" si="0"/>
        <v>0.24999999994179234</v>
      </c>
      <c r="F19" s="42" t="s">
        <v>144</v>
      </c>
      <c r="G19" s="23" t="s">
        <v>145</v>
      </c>
      <c r="I19" t="s">
        <v>149</v>
      </c>
      <c r="J19" s="15">
        <v>0.65</v>
      </c>
      <c r="K19" s="2">
        <v>2.5000000000000001E-2</v>
      </c>
      <c r="L19" s="2" t="e">
        <f>#REF!</f>
        <v>#REF!</v>
      </c>
      <c r="M19" s="16" t="e">
        <f>Tabelle7367922445776163446708096108122136152166182196212226242256272286302316332346362376392406422183448658096110126140156170186200216230246260276183046571634597694174188216228446194110172186202216232246266290320322362386408422442466556566602612616631324[[#This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time]]/Tabelle7367922445776163446708096108122136152166182196212226242256272286302316332346362376392406422183448658096110126140156170186200216230246260276183046571634597694174188216228446194110172186202216232246266290320322362386408422442466556566602612616631324[[#This Row],[Total time]]</f>
        <v>#REF!</v>
      </c>
    </row>
    <row r="20" spans="1:13" x14ac:dyDescent="0.25">
      <c r="A20" t="s">
        <v>150</v>
      </c>
      <c r="B20" s="1">
        <v>43877.685231481482</v>
      </c>
      <c r="C20" s="1">
        <v>43877.695648148147</v>
      </c>
      <c r="D20" s="2">
        <f t="shared" si="0"/>
        <v>0.24999999994179234</v>
      </c>
      <c r="F20" s="42" t="s">
        <v>144</v>
      </c>
      <c r="G20" s="23" t="s">
        <v>145</v>
      </c>
      <c r="I20" t="s">
        <v>150</v>
      </c>
      <c r="J20" s="15">
        <v>0.8</v>
      </c>
      <c r="K20" s="2">
        <v>2.5000000000000001E-2</v>
      </c>
      <c r="L20" s="2" t="e">
        <f>#REF!</f>
        <v>#REF!</v>
      </c>
      <c r="M20" s="16" t="e">
        <f>Tabelle7367922445776163446708096108122136152166182196212226242256272286302316332346362376392406422183448658096110126140156170186200216230246260276183046571634597694174188216228446194110172186202216232246266290320322362386408422442466556566602612616631324[[#This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time]]/Tabelle7367922445776163446708096108122136152166182196212226242256272286302316332346362376392406422183448658096110126140156170186200216230246260276183046571634597694174188216228446194110172186202216232246266290320322362386408422442466556566602612616631324[[#This Row],[Total time]]</f>
        <v>#REF!</v>
      </c>
    </row>
    <row r="21" spans="1:13" x14ac:dyDescent="0.25">
      <c r="A21" t="s">
        <v>151</v>
      </c>
      <c r="B21" s="1">
        <v>43877.685231481482</v>
      </c>
      <c r="C21" s="1">
        <v>43877.695648148147</v>
      </c>
      <c r="D21" s="2">
        <f t="shared" si="0"/>
        <v>0.24999999994179234</v>
      </c>
      <c r="F21" s="42" t="s">
        <v>144</v>
      </c>
      <c r="G21" s="23" t="s">
        <v>145</v>
      </c>
      <c r="I21" t="s">
        <v>151</v>
      </c>
      <c r="J21" s="15">
        <v>0.95</v>
      </c>
      <c r="K21" s="2">
        <v>2.5000000000000001E-2</v>
      </c>
      <c r="L21" s="2" t="e">
        <f>#REF!</f>
        <v>#REF!</v>
      </c>
      <c r="M21" s="16" t="e">
        <f>Tabelle7367922445776163446708096108122136152166182196212226242256272286302316332346362376392406422183448658096110126140156170186200216230246260276183046571634597694174188216228446194110172186202216232246266290320322362386408422442466556566602612616631324[[#This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time]]/Tabelle7367922445776163446708096108122136152166182196212226242256272286302316332346362376392406422183448658096110126140156170186200216230246260276183046571634597694174188216228446194110172186202216232246266290320322362386408422442466556566602612616631324[[#This Row],[Total time]]</f>
        <v>#REF!</v>
      </c>
    </row>
    <row r="22" spans="1:13" x14ac:dyDescent="0.25">
      <c r="A22" t="s">
        <v>161</v>
      </c>
      <c r="B22" s="1">
        <v>43877.685231481482</v>
      </c>
      <c r="C22" s="1">
        <v>43877.695648148147</v>
      </c>
      <c r="D22" s="2">
        <f t="shared" si="0"/>
        <v>0.24999999994179234</v>
      </c>
      <c r="F22" s="42" t="s">
        <v>144</v>
      </c>
      <c r="G22" s="23" t="s">
        <v>145</v>
      </c>
    </row>
    <row r="23" spans="1:13" x14ac:dyDescent="0.25">
      <c r="A23" t="s">
        <v>162</v>
      </c>
      <c r="B23" s="1">
        <v>43877.685243055559</v>
      </c>
      <c r="C23" s="1">
        <v>43877.695659722223</v>
      </c>
      <c r="D23" s="2">
        <f t="shared" si="0"/>
        <v>0.24999999994179234</v>
      </c>
      <c r="F23" s="42" t="s">
        <v>144</v>
      </c>
      <c r="G23" s="23" t="s">
        <v>145</v>
      </c>
    </row>
    <row r="24" spans="1:13" x14ac:dyDescent="0.25">
      <c r="A24" t="s">
        <v>163</v>
      </c>
      <c r="B24" s="1">
        <v>43877.685243055559</v>
      </c>
      <c r="C24" s="1">
        <v>43877.695659722223</v>
      </c>
      <c r="D24" s="2">
        <f t="shared" si="0"/>
        <v>0.24999999994179234</v>
      </c>
      <c r="F24" s="42" t="s">
        <v>144</v>
      </c>
      <c r="G24" s="23" t="s">
        <v>145</v>
      </c>
    </row>
    <row r="25" spans="1:13" x14ac:dyDescent="0.25">
      <c r="A25" t="s">
        <v>164</v>
      </c>
      <c r="B25" s="1">
        <v>43877.807962962965</v>
      </c>
      <c r="C25" s="1">
        <v>43877.807974537034</v>
      </c>
      <c r="D25" s="2">
        <f>MAX((C25-B25)*24,0)</f>
        <v>2.7777766808867455E-4</v>
      </c>
      <c r="F25" s="42" t="s">
        <v>144</v>
      </c>
      <c r="G25" s="23" t="s">
        <v>145</v>
      </c>
    </row>
  </sheetData>
  <dataConsolidate/>
  <hyperlinks>
    <hyperlink ref="A1" location="Planning!A1" display="Go back to 'Planning' sheet" xr:uid="{876B0490-97E0-4856-895B-5ACD41B439D3}"/>
    <hyperlink ref="F15" location="$F$15" display="$F$15" xr:uid="{792D9582-4D5E-4CA8-A3F3-44CAD4A31161}"/>
    <hyperlink ref="G15" location="$G$15" display="$G$15" xr:uid="{415F77D1-F5C6-4D6B-AACC-CE2F0D01AF5E}"/>
    <hyperlink ref="F16" location="$F$16" display="$F$16" xr:uid="{CBDDF637-EFBC-47E7-84A6-0D1BCD4C87B8}"/>
    <hyperlink ref="G16" location="$G$16" display="$G$16" xr:uid="{5649CA58-F3AA-4CA6-91C3-3EC4FE82B3E2}"/>
    <hyperlink ref="F17" location="$F$17" display="$F$17" xr:uid="{0DF2D1F1-C6E5-4A94-8278-364A7808F61A}"/>
    <hyperlink ref="G17" location="$G$17" display="$G$17" xr:uid="{820E8E55-5964-4C4D-94D4-751EA418B01F}"/>
    <hyperlink ref="F18" location="$F$18" display="$F$18" xr:uid="{F7A91DC6-C756-4954-B5AA-79EC7DB2F71A}"/>
    <hyperlink ref="G18" location="$G$18" display="$G$18" xr:uid="{A478D39A-86B9-43FC-9A4A-427E824AEFB9}"/>
    <hyperlink ref="F19" location="$F$19" display="$F$19" xr:uid="{AC1AE2F7-EBE1-4549-808B-B704E8B2D5A4}"/>
    <hyperlink ref="G19" location="$G$19" display="$G$19" xr:uid="{4D80B7E6-E5A7-4B06-97E7-4A08B28D2B2E}"/>
    <hyperlink ref="F20" location="$F$20" display="$F$20" xr:uid="{34F3F5B2-ACF1-4306-B953-559DEC069665}"/>
    <hyperlink ref="G20" location="$G$20" display="$G$20" xr:uid="{5181A264-69A8-4AEE-82E1-07E79E9EF984}"/>
    <hyperlink ref="F21" location="$F$21" display="$F$21" xr:uid="{A4B387F9-7F50-4FDE-8F75-8B9B165D6CE7}"/>
    <hyperlink ref="G21" location="$G$21" display="$G$21" xr:uid="{A4397444-F486-4F33-830F-68FB20B8AAE0}"/>
    <hyperlink ref="F22" location="$F$22" display="$F$22" xr:uid="{AAA23B4C-4995-40B2-9F36-E16FC7C33AB3}"/>
    <hyperlink ref="G22" location="$G$22" display="$G$22" xr:uid="{7F27F8FE-F3D3-4FC8-A819-159B5EB55021}"/>
    <hyperlink ref="F23" location="$F$23" display="$F$23" xr:uid="{88454CC4-644C-4F1A-807D-68B121189B15}"/>
    <hyperlink ref="G23" location="$G$23" display="$G$23" xr:uid="{06699EFC-5523-44BD-AD2B-641A36900F16}"/>
    <hyperlink ref="F24" location="$F$24" display="$F$24" xr:uid="{F32426A0-5DAD-4DB0-81CF-1ACF1BAB45DA}"/>
    <hyperlink ref="G24" location="$G$24" display="$G$24" xr:uid="{9BEDB04B-3207-4489-A412-64772B71F2A3}"/>
    <hyperlink ref="F25" location="$F$25" display="$F$25" xr:uid="{20D06F84-C7E4-4565-B191-BCCFD9467390}"/>
    <hyperlink ref="G25" location="$G$25" display="$G$25" xr:uid="{0ADEB3CB-3B54-409B-9B31-DE9E3CF35ED9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533-1721-4E93-AAF0-59FE7B9FA3B4}">
  <sheetPr codeName="TaskSheetTemplate2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155</v>
      </c>
    </row>
    <row r="3" spans="1:13" x14ac:dyDescent="0.25">
      <c r="A3" t="s">
        <v>79</v>
      </c>
      <c r="B3" s="2">
        <v>1</v>
      </c>
      <c r="C3" t="s">
        <v>4</v>
      </c>
    </row>
    <row r="4" spans="1:13" x14ac:dyDescent="0.25">
      <c r="A4" t="s">
        <v>0</v>
      </c>
      <c r="B4" s="2">
        <f>SUM(D:D)</f>
        <v>0.50000000005820766</v>
      </c>
      <c r="C4" t="s">
        <v>4</v>
      </c>
    </row>
    <row r="5" spans="1:13" x14ac:dyDescent="0.25">
      <c r="A5" t="s">
        <v>14</v>
      </c>
      <c r="B5" s="41">
        <v>43877</v>
      </c>
    </row>
    <row r="6" spans="1:13" x14ac:dyDescent="0.25">
      <c r="A6" t="s">
        <v>15</v>
      </c>
      <c r="B6" s="41" t="s">
        <v>19</v>
      </c>
    </row>
    <row r="7" spans="1:13" x14ac:dyDescent="0.25">
      <c r="A7" t="s">
        <v>1</v>
      </c>
      <c r="B7" t="s">
        <v>156</v>
      </c>
    </row>
    <row r="8" spans="1:13" x14ac:dyDescent="0.25">
      <c r="A8" t="s">
        <v>16</v>
      </c>
      <c r="B8" s="41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169</v>
      </c>
    </row>
    <row r="11" spans="1:13" x14ac:dyDescent="0.25">
      <c r="A11" t="s">
        <v>5</v>
      </c>
      <c r="B11" s="2">
        <f>B3/B4</f>
        <v>1.9999999997671694</v>
      </c>
      <c r="C11" t="s">
        <v>6</v>
      </c>
    </row>
    <row r="12" spans="1:13" x14ac:dyDescent="0.25">
      <c r="A12" t="s">
        <v>96</v>
      </c>
      <c r="B12" t="s">
        <v>141</v>
      </c>
    </row>
    <row r="13" spans="1:13" x14ac:dyDescent="0.25">
      <c r="A13" t="s">
        <v>97</v>
      </c>
      <c r="B13" t="s">
        <v>225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143</v>
      </c>
      <c r="B15" s="1">
        <v>43877.684965277775</v>
      </c>
      <c r="C15" s="1">
        <v>43877.695381944446</v>
      </c>
      <c r="D15" s="2">
        <f>MAX((C15-B15)*24,0)</f>
        <v>0.25000000011641532</v>
      </c>
      <c r="F15" s="42" t="s">
        <v>144</v>
      </c>
      <c r="G15" s="23" t="s">
        <v>145</v>
      </c>
      <c r="I15" t="s">
        <v>143</v>
      </c>
      <c r="J15" s="15">
        <v>0.05</v>
      </c>
      <c r="K15" s="2">
        <v>0.1</v>
      </c>
      <c r="L15" s="2" t="e">
        <f>#REF!</f>
        <v>#REF!</v>
      </c>
      <c r="M15" s="16" t="e">
        <f>Tabelle7367162840547214304465789210611813414816417819420822423825426828429831432834435837438840441816304661789210812213815216818219821222824225827216385065202857709217018621022638598810816818419821422824426028835638440442043646455256459861063264266261328[[#This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time]]/Tabelle7367162840547214304465789210611813414816417819420822423825426828429831432834435837438840441816304661789210812213815216818219821222824225827216385065202857709217018621022638598810816818419821422824426028835638440442043646455256459861063264266261328[[#This Row],[Total time]]</f>
        <v>#REF!</v>
      </c>
    </row>
    <row r="16" spans="1:13" x14ac:dyDescent="0.25">
      <c r="A16" t="s">
        <v>146</v>
      </c>
      <c r="B16" s="1">
        <v>43877.684976851851</v>
      </c>
      <c r="C16" s="1">
        <v>43877.695393518516</v>
      </c>
      <c r="D16" s="2">
        <f>MAX((C16-B16)*24,0)</f>
        <v>0.24999999994179234</v>
      </c>
      <c r="F16" s="42" t="s">
        <v>144</v>
      </c>
      <c r="G16" s="23" t="s">
        <v>145</v>
      </c>
      <c r="I16" t="s">
        <v>146</v>
      </c>
      <c r="J16" s="15">
        <v>0.2</v>
      </c>
      <c r="K16" s="2">
        <v>0.1</v>
      </c>
      <c r="L16" s="2" t="e">
        <f>#REF!</f>
        <v>#REF!</v>
      </c>
      <c r="M16" s="16" t="e">
        <f>Tabelle7367162840547214304465789210611813414816417819420822423825426828429831432834435837438840441816304661789210812213815216818219821222824225827216385065202857709217018621022638598810816818419821422824426028835638440442043646455256459861063264266261328[[#This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time]]/Tabelle7367162840547214304465789210611813414816417819420822423825426828429831432834435837438840441816304661789210812213815216818219821222824225827216385065202857709217018621022638598810816818419821422824426028835638440442043646455256459861063264266261328[[#This Row],[Total time]]</f>
        <v>#REF!</v>
      </c>
    </row>
    <row r="17" spans="1:13" x14ac:dyDescent="0.25">
      <c r="A17" t="s">
        <v>147</v>
      </c>
      <c r="B17" s="1">
        <v>43877.695393518516</v>
      </c>
      <c r="C17" s="1">
        <v>43877.695393518516</v>
      </c>
      <c r="D17" s="2">
        <f>MAX((C17-B17)*24,0)</f>
        <v>0</v>
      </c>
      <c r="F17" s="42" t="s">
        <v>144</v>
      </c>
      <c r="G17" s="23" t="s">
        <v>145</v>
      </c>
      <c r="I17" t="s">
        <v>147</v>
      </c>
      <c r="J17" s="15">
        <v>0.35</v>
      </c>
      <c r="K17" s="2">
        <v>0.1</v>
      </c>
      <c r="L17" s="2" t="e">
        <f>#REF!</f>
        <v>#REF!</v>
      </c>
      <c r="M17" s="16" t="e">
        <f>Tabelle7367162840547214304465789210611813414816417819420822423825426828429831432834435837438840441816304661789210812213815216818219821222824225827216385065202857709217018621022638598810816818419821422824426028835638440442043646455256459861063264266261328[[#This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time]]/Tabelle7367162840547214304465789210611813414816417819420822423825426828429831432834435837438840441816304661789210812213815216818219821222824225827216385065202857709217018621022638598810816818419821422824426028835638440442043646455256459861063264266261328[[#This Row],[Total time]]</f>
        <v>#REF!</v>
      </c>
    </row>
    <row r="18" spans="1:13" x14ac:dyDescent="0.25">
      <c r="I18" t="s">
        <v>148</v>
      </c>
      <c r="J18" s="15">
        <v>0.5</v>
      </c>
      <c r="K18" s="2">
        <v>0.1</v>
      </c>
      <c r="L18" s="2" t="e">
        <f>#REF!</f>
        <v>#REF!</v>
      </c>
      <c r="M18" s="16" t="e">
        <f>Tabelle7367162840547214304465789210611813414816417819420822423825426828429831432834435837438840441816304661789210812213815216818219821222824225827216385065202857709217018621022638598810816818419821422824426028835638440442043646455256459861063264266261328[[#This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time]]/Tabelle7367162840547214304465789210611813414816417819420822423825426828429831432834435837438840441816304661789210812213815216818219821222824225827216385065202857709217018621022638598810816818419821422824426028835638440442043646455256459861063264266261328[[#This Row],[Total time]]</f>
        <v>#REF!</v>
      </c>
    </row>
    <row r="19" spans="1:13" x14ac:dyDescent="0.25">
      <c r="I19" t="s">
        <v>149</v>
      </c>
      <c r="J19" s="15">
        <v>0.65</v>
      </c>
      <c r="K19" s="2">
        <v>0.1</v>
      </c>
      <c r="L19" s="2" t="e">
        <f>#REF!</f>
        <v>#REF!</v>
      </c>
      <c r="M19" s="16" t="e">
        <f>Tabelle7367162840547214304465789210611813414816417819420822423825426828429831432834435837438840441816304661789210812213815216818219821222824225827216385065202857709217018621022638598810816818419821422824426028835638440442043646455256459861063264266261328[[#This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time]]/Tabelle7367162840547214304465789210611813414816417819420822423825426828429831432834435837438840441816304661789210812213815216818219821222824225827216385065202857709217018621022638598810816818419821422824426028835638440442043646455256459861063264266261328[[#This Row],[Total time]]</f>
        <v>#REF!</v>
      </c>
    </row>
    <row r="20" spans="1:13" x14ac:dyDescent="0.25">
      <c r="I20" t="s">
        <v>150</v>
      </c>
      <c r="J20" s="15">
        <v>0.8</v>
      </c>
      <c r="K20" s="2">
        <v>0.1</v>
      </c>
      <c r="L20" s="2" t="e">
        <f>#REF!</f>
        <v>#REF!</v>
      </c>
      <c r="M20" s="16" t="e">
        <f>Tabelle7367162840547214304465789210611813414816417819420822423825426828429831432834435837438840441816304661789210812213815216818219821222824225827216385065202857709217018621022638598810816818419821422824426028835638440442043646455256459861063264266261328[[#This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time]]/Tabelle7367162840547214304465789210611813414816417819420822423825426828429831432834435837438840441816304661789210812213815216818219821222824225827216385065202857709217018621022638598810816818419821422824426028835638440442043646455256459861063264266261328[[#This Row],[Total time]]</f>
        <v>#REF!</v>
      </c>
    </row>
    <row r="21" spans="1:13" x14ac:dyDescent="0.25">
      <c r="I21" t="s">
        <v>151</v>
      </c>
      <c r="J21" s="15">
        <v>0.95</v>
      </c>
      <c r="K21" s="2">
        <v>0.1</v>
      </c>
      <c r="L21" s="2" t="e">
        <f>#REF!</f>
        <v>#REF!</v>
      </c>
      <c r="M21" s="16" t="e">
        <f>Tabelle7367162840547214304465789210611813414816417819420822423825426828429831432834435837438840441816304661789210812213815216818219821222824225827216385065202857709217018621022638598810816818419821422824426028835638440442043646455256459861063264266261328[[#This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time]]/Tabelle7367162840547214304465789210611813414816417819420822423825426828429831432834435837438840441816304661789210812213815216818219821222824225827216385065202857709217018621022638598810816818419821422824426028835638440442043646455256459861063264266261328[[#This Row],[Total time]]</f>
        <v>#REF!</v>
      </c>
    </row>
  </sheetData>
  <dataConsolidate/>
  <hyperlinks>
    <hyperlink ref="A1" location="Planning!A1" display="Go back to 'Planning' sheet" xr:uid="{FF22F632-3EFA-4E9F-A4B6-D14609DE3622}"/>
    <hyperlink ref="F15" location="$F$15" display="$F$15" xr:uid="{C96313AA-0FC3-4599-8242-AEFF12FB55F5}"/>
    <hyperlink ref="G15" location="$G$15" display="$G$15" xr:uid="{701590EB-9496-4891-A8B9-884B7478CC3B}"/>
    <hyperlink ref="F16" location="$F$16" display="$F$16" xr:uid="{0C8011AB-E971-4418-8306-838A92551A73}"/>
    <hyperlink ref="G16" location="$G$16" display="$G$16" xr:uid="{3F295667-03DF-4DFB-A47B-7B251918F448}"/>
    <hyperlink ref="F17" location="$F$17" display="$F$17" xr:uid="{B705006E-D03B-4C55-8F9A-FB305C1EE40C}"/>
    <hyperlink ref="G17" location="$G$17" display="$G$17" xr:uid="{EC2E06A7-E205-4FD2-9E7C-965DBA96729B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687E-DEBF-49F3-BC93-A84C95215FEF}">
  <sheetPr codeName="EbsSheetTemplate1"/>
  <dimension ref="A15:T58"/>
  <sheetViews>
    <sheetView workbookViewId="0">
      <selection activeCell="A21" sqref="A21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2" t="s">
        <v>231</v>
      </c>
      <c r="G15" s="53"/>
      <c r="H15" s="53"/>
    </row>
    <row r="16" spans="5:8" x14ac:dyDescent="0.25">
      <c r="E16" s="14" t="s">
        <v>74</v>
      </c>
      <c r="F16" s="52" t="s">
        <v>37</v>
      </c>
      <c r="G16" s="53"/>
      <c r="H16" s="5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143</v>
      </c>
      <c r="B19" s="17">
        <v>43878.817696759259</v>
      </c>
      <c r="C19" t="s">
        <v>183</v>
      </c>
      <c r="D19" t="s">
        <v>27</v>
      </c>
      <c r="E19" t="s">
        <v>179</v>
      </c>
      <c r="F19" t="s">
        <v>180</v>
      </c>
      <c r="G19" t="s">
        <v>181</v>
      </c>
      <c r="H19" t="s">
        <v>182</v>
      </c>
      <c r="J19" t="s">
        <v>143</v>
      </c>
      <c r="K19" t="s">
        <v>171</v>
      </c>
      <c r="L19">
        <v>4</v>
      </c>
      <c r="M19" s="2">
        <v>0</v>
      </c>
      <c r="N19" s="2">
        <v>5</v>
      </c>
      <c r="O19" t="s">
        <v>232</v>
      </c>
      <c r="P19" t="s">
        <v>232</v>
      </c>
      <c r="Q19" t="s">
        <v>232</v>
      </c>
      <c r="R19" t="s">
        <v>179</v>
      </c>
      <c r="S19" t="s">
        <v>233</v>
      </c>
      <c r="T19" t="s">
        <v>234</v>
      </c>
    </row>
    <row r="20" spans="1:20" x14ac:dyDescent="0.25">
      <c r="A20" t="s">
        <v>146</v>
      </c>
      <c r="B20" s="17">
        <v>43940.766226851854</v>
      </c>
      <c r="C20" t="s">
        <v>230</v>
      </c>
      <c r="D20" t="s">
        <v>27</v>
      </c>
      <c r="E20" t="s">
        <v>179</v>
      </c>
      <c r="F20" t="s">
        <v>243</v>
      </c>
      <c r="G20" t="s">
        <v>244</v>
      </c>
      <c r="H20" t="s">
        <v>229</v>
      </c>
      <c r="J20" t="s">
        <v>146</v>
      </c>
      <c r="K20" t="s">
        <v>172</v>
      </c>
      <c r="L20">
        <v>3</v>
      </c>
      <c r="M20" s="2">
        <v>0</v>
      </c>
      <c r="N20" s="2">
        <v>2</v>
      </c>
      <c r="O20" t="s">
        <v>235</v>
      </c>
      <c r="P20" t="s">
        <v>235</v>
      </c>
      <c r="Q20" t="s">
        <v>236</v>
      </c>
      <c r="R20" t="s">
        <v>179</v>
      </c>
      <c r="S20" t="s">
        <v>237</v>
      </c>
      <c r="T20" t="s">
        <v>238</v>
      </c>
    </row>
    <row r="21" spans="1:20" x14ac:dyDescent="0.25">
      <c r="B21" s="17"/>
      <c r="J21" t="s">
        <v>147</v>
      </c>
      <c r="K21" t="s">
        <v>170</v>
      </c>
      <c r="L21">
        <v>2</v>
      </c>
      <c r="M21" s="2">
        <v>2.5002777776098801</v>
      </c>
      <c r="N21" s="2">
        <v>0.25</v>
      </c>
      <c r="O21" t="s">
        <v>239</v>
      </c>
      <c r="P21" t="s">
        <v>228</v>
      </c>
      <c r="Q21" t="s">
        <v>236</v>
      </c>
      <c r="R21" t="s">
        <v>179</v>
      </c>
      <c r="S21" t="s">
        <v>237</v>
      </c>
      <c r="T21" t="s">
        <v>238</v>
      </c>
    </row>
    <row r="22" spans="1:20" x14ac:dyDescent="0.25">
      <c r="B22" s="17"/>
      <c r="J22" t="s">
        <v>148</v>
      </c>
      <c r="K22" t="s">
        <v>169</v>
      </c>
      <c r="L22">
        <v>1</v>
      </c>
      <c r="M22" s="2">
        <v>0.50000000005820799</v>
      </c>
      <c r="N22" s="2">
        <v>1</v>
      </c>
      <c r="O22" t="s">
        <v>240</v>
      </c>
      <c r="P22" t="s">
        <v>241</v>
      </c>
      <c r="Q22" t="s">
        <v>242</v>
      </c>
      <c r="R22" t="s">
        <v>179</v>
      </c>
      <c r="S22" t="s">
        <v>243</v>
      </c>
      <c r="T22" t="s">
        <v>244</v>
      </c>
    </row>
    <row r="23" spans="1:20" x14ac:dyDescent="0.25">
      <c r="B23" s="17"/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  <c r="M25" s="2"/>
      <c r="N25" s="2"/>
    </row>
    <row r="26" spans="1:20" x14ac:dyDescent="0.25">
      <c r="B26" s="17"/>
      <c r="M26" s="2"/>
      <c r="N26" s="2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4" spans="2:2" x14ac:dyDescent="0.25">
      <c r="B44" s="17"/>
    </row>
    <row r="45" spans="2:2" x14ac:dyDescent="0.25">
      <c r="B45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  <row r="49" spans="2:2" x14ac:dyDescent="0.25">
      <c r="B49" s="17"/>
    </row>
    <row r="50" spans="2:2" x14ac:dyDescent="0.25">
      <c r="B50" s="17"/>
    </row>
    <row r="51" spans="2:2" x14ac:dyDescent="0.25">
      <c r="B51" s="17"/>
    </row>
    <row r="52" spans="2:2" x14ac:dyDescent="0.25">
      <c r="B52" s="17"/>
    </row>
    <row r="53" spans="2:2" x14ac:dyDescent="0.25">
      <c r="B53" s="17"/>
    </row>
    <row r="56" spans="2:2" x14ac:dyDescent="0.25">
      <c r="B56" s="17"/>
    </row>
    <row r="57" spans="2:2" x14ac:dyDescent="0.25">
      <c r="B57" s="17"/>
    </row>
    <row r="58" spans="2:2" x14ac:dyDescent="0.25">
      <c r="B58" s="17"/>
    </row>
  </sheetData>
  <mergeCells count="2">
    <mergeCell ref="F15:H15"/>
    <mergeCell ref="F16:H16"/>
  </mergeCells>
  <conditionalFormatting sqref="D23:D1048576 D1:D21">
    <cfRule type="containsText" dxfId="25" priority="1" operator="containsText" text="No">
      <formula>NOT(ISERROR(SEARCH("No",D1)))</formula>
    </cfRule>
    <cfRule type="containsText" dxfId="24" priority="2" operator="containsText" text="Yes">
      <formula>NOT(ISERROR(SEARCH("Yes",D1)))</formula>
    </cfRule>
  </conditionalFormatting>
  <dataValidations count="3">
    <dataValidation type="list" allowBlank="1" showInputMessage="1" showErrorMessage="1" sqref="F16" xr:uid="{0A8B8B00-1A7B-4C80-AA32-9E60DAA93F4D}">
      <formula1>"Time,Date"</formula1>
    </dataValidation>
    <dataValidation type="list" allowBlank="1" showInputMessage="1" showErrorMessage="1" sqref="F15:H15" xr:uid="{139B3DA5-3D31-499C-9B17-107FFADB435D}">
      <formula1>"Last, Last 100 days, All"</formula1>
    </dataValidation>
    <dataValidation type="list" allowBlank="1" showInputMessage="1" showErrorMessage="1" sqref="D19:D21" xr:uid="{9FCA1A69-2E7C-49D4-9A31-F896EEC2A701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A6" sqref="A6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0">
        <v>43817.077002314814</v>
      </c>
      <c r="C3" s="28"/>
      <c r="D3" s="28"/>
    </row>
    <row r="4" spans="1:4" x14ac:dyDescent="0.25">
      <c r="A4" t="s">
        <v>108</v>
      </c>
      <c r="B4" s="30">
        <v>43862</v>
      </c>
      <c r="C4" s="28"/>
      <c r="D4" s="28"/>
    </row>
    <row r="5" spans="1:4" x14ac:dyDescent="0.25">
      <c r="A5" t="s">
        <v>109</v>
      </c>
      <c r="B5" s="27" t="s">
        <v>184</v>
      </c>
      <c r="C5" s="28"/>
      <c r="D5" s="28"/>
    </row>
    <row r="6" spans="1:4" ht="27" customHeight="1" x14ac:dyDescent="0.25"/>
    <row r="8" spans="1:4" ht="15.75" thickBot="1" x14ac:dyDescent="0.3">
      <c r="A8" s="29" t="s">
        <v>111</v>
      </c>
      <c r="B8" s="29" t="s">
        <v>105</v>
      </c>
      <c r="C8" s="34" t="s">
        <v>104</v>
      </c>
      <c r="D8" s="29" t="s">
        <v>110</v>
      </c>
    </row>
    <row r="9" spans="1:4" x14ac:dyDescent="0.25">
      <c r="A9" s="31" t="s">
        <v>143</v>
      </c>
      <c r="B9" s="32">
        <v>43817.077002314814</v>
      </c>
      <c r="C9" s="32">
        <v>43818</v>
      </c>
      <c r="D9" s="33">
        <v>0</v>
      </c>
    </row>
    <row r="10" spans="1:4" x14ac:dyDescent="0.25">
      <c r="A10" s="31" t="s">
        <v>146</v>
      </c>
      <c r="B10" s="32">
        <v>43818</v>
      </c>
      <c r="C10" s="32">
        <v>43819</v>
      </c>
      <c r="D10" s="33">
        <v>0</v>
      </c>
    </row>
    <row r="11" spans="1:4" x14ac:dyDescent="0.25">
      <c r="A11" s="31" t="s">
        <v>147</v>
      </c>
      <c r="B11" s="32">
        <v>43819</v>
      </c>
      <c r="C11" s="32">
        <v>43820</v>
      </c>
      <c r="D11" s="33">
        <v>0</v>
      </c>
    </row>
    <row r="12" spans="1:4" x14ac:dyDescent="0.25">
      <c r="A12" s="31" t="s">
        <v>148</v>
      </c>
      <c r="B12" s="32">
        <v>43820</v>
      </c>
      <c r="C12" s="32">
        <v>43821</v>
      </c>
      <c r="D12" s="33">
        <v>0</v>
      </c>
    </row>
    <row r="13" spans="1:4" x14ac:dyDescent="0.25">
      <c r="A13" s="31" t="s">
        <v>149</v>
      </c>
      <c r="B13" s="32">
        <v>43821</v>
      </c>
      <c r="C13" s="32">
        <v>43822</v>
      </c>
      <c r="D13" s="33">
        <v>0</v>
      </c>
    </row>
    <row r="14" spans="1:4" x14ac:dyDescent="0.25">
      <c r="A14" s="31" t="s">
        <v>150</v>
      </c>
      <c r="B14" s="32">
        <v>43822</v>
      </c>
      <c r="C14" s="32">
        <v>43823</v>
      </c>
      <c r="D14" s="33">
        <v>0</v>
      </c>
    </row>
    <row r="15" spans="1:4" x14ac:dyDescent="0.25">
      <c r="A15" s="31" t="s">
        <v>151</v>
      </c>
      <c r="B15" s="32">
        <v>43823</v>
      </c>
      <c r="C15" s="32">
        <v>43824</v>
      </c>
      <c r="D15" s="33">
        <v>0</v>
      </c>
    </row>
    <row r="16" spans="1:4" x14ac:dyDescent="0.25">
      <c r="A16" s="31" t="s">
        <v>161</v>
      </c>
      <c r="B16" s="32">
        <v>43824</v>
      </c>
      <c r="C16" s="32">
        <v>43825</v>
      </c>
      <c r="D16" s="33">
        <v>0</v>
      </c>
    </row>
    <row r="17" spans="1:4" x14ac:dyDescent="0.25">
      <c r="A17" s="31" t="s">
        <v>162</v>
      </c>
      <c r="B17" s="32">
        <v>43825</v>
      </c>
      <c r="C17" s="32">
        <v>43826</v>
      </c>
      <c r="D17" s="33">
        <v>0</v>
      </c>
    </row>
    <row r="18" spans="1:4" x14ac:dyDescent="0.25">
      <c r="A18" s="31" t="s">
        <v>163</v>
      </c>
      <c r="B18" s="32">
        <v>43826</v>
      </c>
      <c r="C18" s="32">
        <v>43827</v>
      </c>
      <c r="D18" s="33">
        <v>0</v>
      </c>
    </row>
    <row r="19" spans="1:4" x14ac:dyDescent="0.25">
      <c r="A19" s="31" t="s">
        <v>164</v>
      </c>
      <c r="B19" s="32">
        <v>43827</v>
      </c>
      <c r="C19" s="32">
        <v>43828</v>
      </c>
      <c r="D19" s="33">
        <v>0</v>
      </c>
    </row>
    <row r="20" spans="1:4" x14ac:dyDescent="0.25">
      <c r="A20" s="31" t="s">
        <v>185</v>
      </c>
      <c r="B20" s="32">
        <v>43828</v>
      </c>
      <c r="C20" s="32">
        <v>43829</v>
      </c>
      <c r="D20" s="33">
        <v>0</v>
      </c>
    </row>
    <row r="21" spans="1:4" x14ac:dyDescent="0.25">
      <c r="A21" s="31" t="s">
        <v>186</v>
      </c>
      <c r="B21" s="32">
        <v>43829</v>
      </c>
      <c r="C21" s="32">
        <v>43830</v>
      </c>
      <c r="D21" s="33">
        <v>0</v>
      </c>
    </row>
    <row r="22" spans="1:4" x14ac:dyDescent="0.25">
      <c r="A22" s="31" t="s">
        <v>187</v>
      </c>
      <c r="B22" s="32">
        <v>43830</v>
      </c>
      <c r="C22" s="32">
        <v>43831</v>
      </c>
      <c r="D22" s="33">
        <v>0</v>
      </c>
    </row>
    <row r="23" spans="1:4" x14ac:dyDescent="0.25">
      <c r="A23" s="31" t="s">
        <v>188</v>
      </c>
      <c r="B23" s="32">
        <v>43831</v>
      </c>
      <c r="C23" s="32">
        <v>43832</v>
      </c>
      <c r="D23" s="33">
        <v>0</v>
      </c>
    </row>
    <row r="24" spans="1:4" x14ac:dyDescent="0.25">
      <c r="A24" s="31" t="s">
        <v>189</v>
      </c>
      <c r="B24" s="32">
        <v>43832</v>
      </c>
      <c r="C24" s="32">
        <v>43833</v>
      </c>
      <c r="D24" s="33">
        <v>0</v>
      </c>
    </row>
    <row r="25" spans="1:4" x14ac:dyDescent="0.25">
      <c r="A25" s="31" t="s">
        <v>190</v>
      </c>
      <c r="B25" s="32">
        <v>43833</v>
      </c>
      <c r="C25" s="32">
        <v>43834</v>
      </c>
      <c r="D25" s="33">
        <v>0</v>
      </c>
    </row>
    <row r="26" spans="1:4" x14ac:dyDescent="0.25">
      <c r="A26" s="31" t="s">
        <v>191</v>
      </c>
      <c r="B26" s="32">
        <v>43834</v>
      </c>
      <c r="C26" s="32">
        <v>43835</v>
      </c>
      <c r="D26" s="33">
        <v>0</v>
      </c>
    </row>
    <row r="27" spans="1:4" x14ac:dyDescent="0.25">
      <c r="A27" s="31" t="s">
        <v>192</v>
      </c>
      <c r="B27" s="32">
        <v>43835</v>
      </c>
      <c r="C27" s="32">
        <v>43836</v>
      </c>
      <c r="D27" s="33">
        <v>0</v>
      </c>
    </row>
    <row r="28" spans="1:4" x14ac:dyDescent="0.25">
      <c r="A28" s="31" t="s">
        <v>193</v>
      </c>
      <c r="B28" s="32">
        <v>43836</v>
      </c>
      <c r="C28" s="32">
        <v>43837</v>
      </c>
      <c r="D28" s="33">
        <v>0</v>
      </c>
    </row>
    <row r="29" spans="1:4" x14ac:dyDescent="0.25">
      <c r="A29" s="31" t="s">
        <v>194</v>
      </c>
      <c r="B29" s="32">
        <v>43837</v>
      </c>
      <c r="C29" s="32">
        <v>43838</v>
      </c>
      <c r="D29" s="33">
        <v>0</v>
      </c>
    </row>
    <row r="30" spans="1:4" x14ac:dyDescent="0.25">
      <c r="A30" s="31" t="s">
        <v>195</v>
      </c>
      <c r="B30" s="32">
        <v>43838</v>
      </c>
      <c r="C30" s="32">
        <v>43839</v>
      </c>
      <c r="D30" s="33">
        <v>0</v>
      </c>
    </row>
    <row r="31" spans="1:4" x14ac:dyDescent="0.25">
      <c r="A31" s="31" t="s">
        <v>196</v>
      </c>
      <c r="B31" s="32">
        <v>43839</v>
      </c>
      <c r="C31" s="32">
        <v>43840</v>
      </c>
      <c r="D31" s="33">
        <v>0</v>
      </c>
    </row>
    <row r="32" spans="1:4" x14ac:dyDescent="0.25">
      <c r="A32" s="31" t="s">
        <v>197</v>
      </c>
      <c r="B32" s="32">
        <v>43840</v>
      </c>
      <c r="C32" s="32">
        <v>43841</v>
      </c>
      <c r="D32" s="33">
        <v>0</v>
      </c>
    </row>
    <row r="33" spans="1:4" x14ac:dyDescent="0.25">
      <c r="A33" s="31" t="s">
        <v>198</v>
      </c>
      <c r="B33" s="32">
        <v>43841</v>
      </c>
      <c r="C33" s="32">
        <v>43842</v>
      </c>
      <c r="D33" s="33">
        <v>0</v>
      </c>
    </row>
    <row r="34" spans="1:4" x14ac:dyDescent="0.25">
      <c r="A34" s="31" t="s">
        <v>199</v>
      </c>
      <c r="B34" s="32">
        <v>43842</v>
      </c>
      <c r="C34" s="32">
        <v>43843</v>
      </c>
      <c r="D34" s="33">
        <v>0</v>
      </c>
    </row>
    <row r="35" spans="1:4" x14ac:dyDescent="0.25">
      <c r="A35" s="31" t="s">
        <v>200</v>
      </c>
      <c r="B35" s="32">
        <v>43843</v>
      </c>
      <c r="C35" s="32">
        <v>43844</v>
      </c>
      <c r="D35" s="33">
        <v>0</v>
      </c>
    </row>
    <row r="36" spans="1:4" x14ac:dyDescent="0.25">
      <c r="A36" s="31" t="s">
        <v>201</v>
      </c>
      <c r="B36" s="32">
        <v>43844</v>
      </c>
      <c r="C36" s="32">
        <v>43845</v>
      </c>
      <c r="D36" s="33">
        <v>0</v>
      </c>
    </row>
    <row r="37" spans="1:4" x14ac:dyDescent="0.25">
      <c r="A37" s="31" t="s">
        <v>202</v>
      </c>
      <c r="B37" s="32">
        <v>43845</v>
      </c>
      <c r="C37" s="32">
        <v>43846</v>
      </c>
      <c r="D37" s="33">
        <v>0</v>
      </c>
    </row>
    <row r="38" spans="1:4" x14ac:dyDescent="0.25">
      <c r="A38" s="31" t="s">
        <v>203</v>
      </c>
      <c r="B38" s="32">
        <v>43846</v>
      </c>
      <c r="C38" s="32">
        <v>43847</v>
      </c>
      <c r="D38" s="33">
        <v>0</v>
      </c>
    </row>
    <row r="39" spans="1:4" x14ac:dyDescent="0.25">
      <c r="A39" s="31" t="s">
        <v>204</v>
      </c>
      <c r="B39" s="32">
        <v>43847</v>
      </c>
      <c r="C39" s="32">
        <v>43848</v>
      </c>
      <c r="D39" s="33">
        <v>0</v>
      </c>
    </row>
    <row r="40" spans="1:4" x14ac:dyDescent="0.25">
      <c r="A40" s="31" t="s">
        <v>205</v>
      </c>
      <c r="B40" s="32">
        <v>43848</v>
      </c>
      <c r="C40" s="32">
        <v>43849</v>
      </c>
      <c r="D40" s="33">
        <v>0</v>
      </c>
    </row>
    <row r="41" spans="1:4" x14ac:dyDescent="0.25">
      <c r="A41" s="31" t="s">
        <v>206</v>
      </c>
      <c r="B41" s="32">
        <v>43849</v>
      </c>
      <c r="C41" s="32">
        <v>43850</v>
      </c>
      <c r="D41" s="33">
        <v>0</v>
      </c>
    </row>
    <row r="42" spans="1:4" x14ac:dyDescent="0.25">
      <c r="A42" s="31" t="s">
        <v>207</v>
      </c>
      <c r="B42" s="32">
        <v>43850</v>
      </c>
      <c r="C42" s="32">
        <v>43851</v>
      </c>
      <c r="D42" s="33">
        <v>0</v>
      </c>
    </row>
    <row r="43" spans="1:4" x14ac:dyDescent="0.25">
      <c r="A43" s="31" t="s">
        <v>208</v>
      </c>
      <c r="B43" s="32">
        <v>43851</v>
      </c>
      <c r="C43" s="32">
        <v>43852</v>
      </c>
      <c r="D43" s="33">
        <v>0</v>
      </c>
    </row>
    <row r="44" spans="1:4" x14ac:dyDescent="0.25">
      <c r="A44" s="31" t="s">
        <v>209</v>
      </c>
      <c r="B44" s="32">
        <v>43852</v>
      </c>
      <c r="C44" s="32">
        <v>43853</v>
      </c>
      <c r="D44" s="33">
        <v>0</v>
      </c>
    </row>
    <row r="45" spans="1:4" x14ac:dyDescent="0.25">
      <c r="A45" s="31" t="s">
        <v>210</v>
      </c>
      <c r="B45" s="32">
        <v>43853</v>
      </c>
      <c r="C45" s="32">
        <v>43854</v>
      </c>
      <c r="D45" s="33">
        <v>0</v>
      </c>
    </row>
    <row r="46" spans="1:4" x14ac:dyDescent="0.25">
      <c r="A46" s="31" t="s">
        <v>211</v>
      </c>
      <c r="B46" s="32">
        <v>43854</v>
      </c>
      <c r="C46" s="32">
        <v>43855</v>
      </c>
      <c r="D46" s="33">
        <v>0</v>
      </c>
    </row>
    <row r="47" spans="1:4" x14ac:dyDescent="0.25">
      <c r="A47" s="31" t="s">
        <v>212</v>
      </c>
      <c r="B47" s="32">
        <v>43855</v>
      </c>
      <c r="C47" s="32">
        <v>43856</v>
      </c>
      <c r="D47" s="33">
        <v>0</v>
      </c>
    </row>
    <row r="48" spans="1:4" x14ac:dyDescent="0.25">
      <c r="A48" s="31" t="s">
        <v>213</v>
      </c>
      <c r="B48" s="32">
        <v>43856</v>
      </c>
      <c r="C48" s="32">
        <v>43857</v>
      </c>
      <c r="D48" s="33">
        <v>0</v>
      </c>
    </row>
    <row r="49" spans="1:4" x14ac:dyDescent="0.25">
      <c r="A49" s="31" t="s">
        <v>214</v>
      </c>
      <c r="B49" s="32">
        <v>43857</v>
      </c>
      <c r="C49" s="32">
        <v>43858</v>
      </c>
      <c r="D49" s="33">
        <v>0</v>
      </c>
    </row>
    <row r="50" spans="1:4" x14ac:dyDescent="0.25">
      <c r="A50" s="31" t="s">
        <v>215</v>
      </c>
      <c r="B50" s="32">
        <v>43858</v>
      </c>
      <c r="C50" s="32">
        <v>43859</v>
      </c>
      <c r="D50" s="33">
        <v>0</v>
      </c>
    </row>
    <row r="51" spans="1:4" x14ac:dyDescent="0.25">
      <c r="A51" s="31" t="s">
        <v>216</v>
      </c>
      <c r="B51" s="32">
        <v>43859</v>
      </c>
      <c r="C51" s="32">
        <v>43860</v>
      </c>
      <c r="D51" s="33">
        <v>0</v>
      </c>
    </row>
    <row r="52" spans="1:4" x14ac:dyDescent="0.25">
      <c r="A52" s="31" t="s">
        <v>217</v>
      </c>
      <c r="B52" s="32">
        <v>43860</v>
      </c>
      <c r="C52" s="32">
        <v>43861</v>
      </c>
      <c r="D52" s="33">
        <v>0</v>
      </c>
    </row>
    <row r="53" spans="1:4" x14ac:dyDescent="0.25">
      <c r="A53" s="31" t="s">
        <v>218</v>
      </c>
      <c r="B53" s="32">
        <v>43861</v>
      </c>
      <c r="C53" s="32">
        <v>43862</v>
      </c>
      <c r="D53" s="33">
        <v>0</v>
      </c>
    </row>
    <row r="54" spans="1:4" x14ac:dyDescent="0.25">
      <c r="A54" s="31" t="s">
        <v>219</v>
      </c>
      <c r="B54" s="32">
        <v>43862</v>
      </c>
      <c r="C54" s="32">
        <v>43862</v>
      </c>
      <c r="D54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A6" sqref="A6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6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131</v>
      </c>
      <c r="C4" t="s">
        <v>133</v>
      </c>
      <c r="D4" t="s">
        <v>132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2"/>
      <c r="E13" s="2"/>
    </row>
    <row r="14" spans="1:10" x14ac:dyDescent="0.25">
      <c r="B14" s="2" t="s">
        <v>93</v>
      </c>
      <c r="C14" s="12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B6" sqref="B6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23" priority="1" operator="containsText" text="Verbose">
      <formula>NOT(ISERROR(SEARCH("Verbose",E4)))</formula>
    </cfRule>
    <cfRule type="containsText" dxfId="22" priority="2" operator="containsText" text="Info">
      <formula>NOT(ISERROR(SEARCH("Info",E4)))</formula>
    </cfRule>
    <cfRule type="containsText" dxfId="21" priority="3" operator="containsText" text="Warning">
      <formula>NOT(ISERROR(SEARCH("Warning",E4)))</formula>
    </cfRule>
    <cfRule type="containsText" dxfId="20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5"/>
      <c r="K15" s="2"/>
      <c r="L15" s="2">
        <f>$B$4</f>
        <v>0</v>
      </c>
      <c r="M15" s="16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580F5-A4B3-4998-9B96-139C344798F9}">
  <sheetPr codeName="Tabelle1"/>
  <dimension ref="A1:M131"/>
  <sheetViews>
    <sheetView topLeftCell="A134" workbookViewId="0">
      <selection activeCell="A161" sqref="A161:M181"/>
    </sheetView>
  </sheetViews>
  <sheetFormatPr baseColWidth="10" defaultRowHeight="15" x14ac:dyDescent="0.25"/>
  <sheetData>
    <row r="1" spans="1:13" x14ac:dyDescent="0.25">
      <c r="A1" t="s">
        <v>135</v>
      </c>
      <c r="B1" t="s">
        <v>168</v>
      </c>
      <c r="C1" t="s">
        <v>136</v>
      </c>
      <c r="D1">
        <v>21</v>
      </c>
      <c r="E1" t="s">
        <v>137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152</v>
      </c>
    </row>
    <row r="4" spans="1:13" x14ac:dyDescent="0.25">
      <c r="A4" t="s">
        <v>79</v>
      </c>
      <c r="B4" s="2">
        <v>0.5</v>
      </c>
      <c r="C4" t="s">
        <v>4</v>
      </c>
    </row>
    <row r="5" spans="1:13" x14ac:dyDescent="0.25">
      <c r="A5" t="s">
        <v>0</v>
      </c>
      <c r="B5" s="2">
        <f>SUM(D:D)</f>
        <v>121.75888888881309</v>
      </c>
      <c r="C5" t="s">
        <v>4</v>
      </c>
    </row>
    <row r="6" spans="1:13" x14ac:dyDescent="0.25">
      <c r="A6" t="s">
        <v>14</v>
      </c>
      <c r="B6" s="41" t="s">
        <v>95</v>
      </c>
    </row>
    <row r="7" spans="1:13" x14ac:dyDescent="0.25">
      <c r="A7" t="s">
        <v>15</v>
      </c>
      <c r="B7" s="41" t="s">
        <v>19</v>
      </c>
    </row>
    <row r="8" spans="1:13" x14ac:dyDescent="0.25">
      <c r="A8" t="s">
        <v>1</v>
      </c>
      <c r="B8" t="s">
        <v>139</v>
      </c>
    </row>
    <row r="9" spans="1:13" x14ac:dyDescent="0.25">
      <c r="A9" t="s">
        <v>16</v>
      </c>
      <c r="B9" s="41">
        <v>43877.967650462961</v>
      </c>
    </row>
    <row r="10" spans="1:13" x14ac:dyDescent="0.25">
      <c r="A10" t="s">
        <v>2</v>
      </c>
    </row>
    <row r="11" spans="1:13" x14ac:dyDescent="0.25">
      <c r="A11" t="s">
        <v>47</v>
      </c>
      <c r="B11" t="s">
        <v>168</v>
      </c>
    </row>
    <row r="12" spans="1:13" x14ac:dyDescent="0.25">
      <c r="A12" t="s">
        <v>5</v>
      </c>
      <c r="B12" s="2">
        <f>B4/B5</f>
        <v>4.1064763695124254E-3</v>
      </c>
      <c r="C12" t="s">
        <v>6</v>
      </c>
    </row>
    <row r="13" spans="1:13" x14ac:dyDescent="0.25">
      <c r="A13" t="s">
        <v>96</v>
      </c>
      <c r="B13" t="s">
        <v>153</v>
      </c>
    </row>
    <row r="14" spans="1:13" x14ac:dyDescent="0.25">
      <c r="A14" t="s">
        <v>97</v>
      </c>
      <c r="B14" t="s">
        <v>154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A16" t="s">
        <v>143</v>
      </c>
      <c r="B16" s="1">
        <v>43877.957233796296</v>
      </c>
      <c r="C16" s="1">
        <v>43877.967650462961</v>
      </c>
      <c r="D16" s="2">
        <f>MAX((C16-B16)*24,0)</f>
        <v>0.24999999994179234</v>
      </c>
      <c r="F16" s="42" t="s">
        <v>144</v>
      </c>
      <c r="G16" s="23" t="s">
        <v>145</v>
      </c>
      <c r="I16" t="s">
        <v>143</v>
      </c>
      <c r="J16" s="15">
        <v>0.05</v>
      </c>
      <c r="K16" s="2">
        <v>0.05</v>
      </c>
      <c r="L16" s="2" t="e">
        <f>#REF!</f>
        <v>#REF!</v>
      </c>
      <c r="M16" s="16" t="e">
        <f>Tabelle736722385270961061261361401582002182302482722841820224061749410812814072054749210812614016017219420423825627292440687892106122136208222280290[[#This Row],[EBS self time]]/Tabelle736722385270961061261361401582002182302482722841820224061749410812814072054749210812614016017219420423825627292440687892106122136208222280290[[#This Row],[Total time]]</f>
        <v>#REF!</v>
      </c>
    </row>
    <row r="17" spans="1:13" x14ac:dyDescent="0.25">
      <c r="A17" t="s">
        <v>146</v>
      </c>
      <c r="B17" s="1">
        <v>43877.957696759258</v>
      </c>
      <c r="C17" s="1">
        <v>43877.968113425923</v>
      </c>
      <c r="D17" s="2">
        <f>MAX((C17-B17)*24,0)</f>
        <v>0.24999999994179234</v>
      </c>
      <c r="F17" s="42" t="s">
        <v>144</v>
      </c>
      <c r="G17" s="23" t="s">
        <v>145</v>
      </c>
      <c r="I17" t="s">
        <v>146</v>
      </c>
      <c r="J17" s="15">
        <v>0.2</v>
      </c>
      <c r="K17" s="2">
        <v>0.05</v>
      </c>
      <c r="L17" s="2" t="e">
        <f>#REF!</f>
        <v>#REF!</v>
      </c>
      <c r="M17" s="16" t="e">
        <f>Tabelle736722385270961061261361401582002182302482722841820224061749410812814072054749210812614016017219420423825627292440687892106122136208222280290[[#This Row],[EBS self time]]/Tabelle736722385270961061261361401582002182302482722841820224061749410812814072054749210812614016017219420423825627292440687892106122136208222280290[[#This Row],[Total time]]</f>
        <v>#REF!</v>
      </c>
    </row>
    <row r="18" spans="1:13" x14ac:dyDescent="0.25">
      <c r="A18" t="s">
        <v>147</v>
      </c>
      <c r="B18" s="1">
        <v>43877.957719907405</v>
      </c>
      <c r="C18" s="1">
        <v>43877.968136574076</v>
      </c>
      <c r="D18" s="2">
        <f>MAX((C18-B18)*24,0)</f>
        <v>0.25000000011641532</v>
      </c>
      <c r="F18" s="42" t="s">
        <v>144</v>
      </c>
      <c r="G18" s="23" t="s">
        <v>145</v>
      </c>
      <c r="I18" t="s">
        <v>147</v>
      </c>
      <c r="J18" s="15">
        <v>0.35</v>
      </c>
      <c r="K18" s="2">
        <v>0.05</v>
      </c>
      <c r="L18" s="2" t="e">
        <f>#REF!</f>
        <v>#REF!</v>
      </c>
      <c r="M18" s="16" t="e">
        <f>Tabelle736722385270961061261361401582002182302482722841820224061749410812814072054749210812614016017219420423825627292440687892106122136208222280290[[#This Row],[EBS self time]]/Tabelle736722385270961061261361401582002182302482722841820224061749410812814072054749210812614016017219420423825627292440687892106122136208222280290[[#This Row],[Total time]]</f>
        <v>#REF!</v>
      </c>
    </row>
    <row r="19" spans="1:13" x14ac:dyDescent="0.25">
      <c r="I19" t="s">
        <v>148</v>
      </c>
      <c r="J19" s="15">
        <v>0.5</v>
      </c>
      <c r="K19" s="2">
        <v>0.05</v>
      </c>
      <c r="L19" s="2" t="e">
        <f>#REF!</f>
        <v>#REF!</v>
      </c>
      <c r="M19" s="16" t="e">
        <f>Tabelle736722385270961061261361401582002182302482722841820224061749410812814072054749210812614016017219420423825627292440687892106122136208222280290[[#This Row],[EBS self time]]/Tabelle736722385270961061261361401582002182302482722841820224061749410812814072054749210812614016017219420423825627292440687892106122136208222280290[[#This Row],[Total time]]</f>
        <v>#REF!</v>
      </c>
    </row>
    <row r="20" spans="1:13" x14ac:dyDescent="0.25">
      <c r="I20" t="s">
        <v>149</v>
      </c>
      <c r="J20" s="15">
        <v>0.65</v>
      </c>
      <c r="K20" s="2">
        <v>0.05</v>
      </c>
      <c r="L20" s="2" t="e">
        <f>#REF!</f>
        <v>#REF!</v>
      </c>
      <c r="M20" s="16" t="e">
        <f>Tabelle736722385270961061261361401582002182302482722841820224061749410812814072054749210812614016017219420423825627292440687892106122136208222280290[[#This Row],[EBS self time]]/Tabelle736722385270961061261361401582002182302482722841820224061749410812814072054749210812614016017219420423825627292440687892106122136208222280290[[#This Row],[Total time]]</f>
        <v>#REF!</v>
      </c>
    </row>
    <row r="21" spans="1:13" x14ac:dyDescent="0.25">
      <c r="I21" t="s">
        <v>150</v>
      </c>
      <c r="J21" s="15">
        <v>0.8</v>
      </c>
      <c r="K21" s="2">
        <v>0.05</v>
      </c>
      <c r="L21" s="2" t="e">
        <f>#REF!</f>
        <v>#REF!</v>
      </c>
      <c r="M21" s="16" t="e">
        <f>Tabelle736722385270961061261361401582002182302482722841820224061749410812814072054749210812614016017219420423825627292440687892106122136208222280290[[#This Row],[EBS self time]]/Tabelle736722385270961061261361401582002182302482722841820224061749410812814072054749210812614016017219420423825627292440687892106122136208222280290[[#This Row],[Total time]]</f>
        <v>#REF!</v>
      </c>
    </row>
    <row r="22" spans="1:13" x14ac:dyDescent="0.25">
      <c r="I22" t="s">
        <v>151</v>
      </c>
      <c r="J22" s="15">
        <v>0.95</v>
      </c>
      <c r="K22" s="2">
        <v>0.05</v>
      </c>
      <c r="L22" s="2" t="e">
        <f>#REF!</f>
        <v>#REF!</v>
      </c>
      <c r="M22" s="16" t="e">
        <f>Tabelle736722385270961061261361401582002182302482722841820224061749410812814072054749210812614016017219420423825627292440687892106122136208222280290[[#This Row],[EBS self time]]/Tabelle736722385270961061261361401582002182302482722841820224061749410812814072054749210812614016017219420423825627292440687892106122136208222280290[[#This Row],[Total time]]</f>
        <v>#REF!</v>
      </c>
    </row>
    <row r="24" spans="1:13" x14ac:dyDescent="0.25">
      <c r="A24" t="s">
        <v>135</v>
      </c>
      <c r="B24" t="s">
        <v>173</v>
      </c>
      <c r="C24" t="s">
        <v>136</v>
      </c>
      <c r="D24">
        <v>21</v>
      </c>
      <c r="E24" t="s">
        <v>137</v>
      </c>
      <c r="F24">
        <v>13</v>
      </c>
    </row>
    <row r="25" spans="1:13" x14ac:dyDescent="0.25">
      <c r="A25" s="4" t="s">
        <v>25</v>
      </c>
    </row>
    <row r="26" spans="1:13" x14ac:dyDescent="0.25">
      <c r="A26" t="s">
        <v>3</v>
      </c>
      <c r="B26" t="s">
        <v>138</v>
      </c>
    </row>
    <row r="27" spans="1:13" x14ac:dyDescent="0.25">
      <c r="A27" t="s">
        <v>79</v>
      </c>
      <c r="B27" s="2">
        <v>1</v>
      </c>
      <c r="C27" t="s">
        <v>4</v>
      </c>
    </row>
    <row r="28" spans="1:13" x14ac:dyDescent="0.25">
      <c r="A28" t="s">
        <v>0</v>
      </c>
      <c r="B28" s="2">
        <f>SUM(D:D)</f>
        <v>121.75888888881309</v>
      </c>
      <c r="C28" t="s">
        <v>4</v>
      </c>
    </row>
    <row r="29" spans="1:13" x14ac:dyDescent="0.25">
      <c r="A29" t="s">
        <v>14</v>
      </c>
      <c r="B29" s="41" t="s">
        <v>95</v>
      </c>
    </row>
    <row r="30" spans="1:13" x14ac:dyDescent="0.25">
      <c r="A30" t="s">
        <v>15</v>
      </c>
      <c r="B30" s="41" t="s">
        <v>19</v>
      </c>
    </row>
    <row r="31" spans="1:13" x14ac:dyDescent="0.25">
      <c r="A31" t="s">
        <v>1</v>
      </c>
      <c r="B31" t="s">
        <v>139</v>
      </c>
    </row>
    <row r="32" spans="1:13" x14ac:dyDescent="0.25">
      <c r="A32" t="s">
        <v>16</v>
      </c>
      <c r="B32" s="41">
        <v>43876.756701388891</v>
      </c>
    </row>
    <row r="33" spans="1:13" x14ac:dyDescent="0.25">
      <c r="A33" t="s">
        <v>2</v>
      </c>
      <c r="B33" t="s">
        <v>140</v>
      </c>
    </row>
    <row r="34" spans="1:13" x14ac:dyDescent="0.25">
      <c r="A34" t="s">
        <v>47</v>
      </c>
      <c r="B34" t="s">
        <v>173</v>
      </c>
    </row>
    <row r="35" spans="1:13" x14ac:dyDescent="0.25">
      <c r="A35" t="s">
        <v>5</v>
      </c>
      <c r="B35" s="2">
        <f>B27/B28</f>
        <v>8.2129527390248508E-3</v>
      </c>
      <c r="C35" t="s">
        <v>6</v>
      </c>
    </row>
    <row r="36" spans="1:13" x14ac:dyDescent="0.25">
      <c r="A36" t="s">
        <v>96</v>
      </c>
      <c r="B36" t="s">
        <v>141</v>
      </c>
    </row>
    <row r="37" spans="1:13" x14ac:dyDescent="0.25">
      <c r="A37" t="s">
        <v>97</v>
      </c>
      <c r="B37" t="s">
        <v>142</v>
      </c>
    </row>
    <row r="38" spans="1:13" x14ac:dyDescent="0.25">
      <c r="A38" t="s">
        <v>11</v>
      </c>
      <c r="B38" t="s">
        <v>7</v>
      </c>
      <c r="C38" t="s">
        <v>8</v>
      </c>
      <c r="D38" t="s">
        <v>9</v>
      </c>
      <c r="E38" t="s">
        <v>10</v>
      </c>
      <c r="F38" t="s">
        <v>86</v>
      </c>
      <c r="G38" t="s">
        <v>87</v>
      </c>
      <c r="I38" t="s">
        <v>71</v>
      </c>
      <c r="J38" s="15" t="s">
        <v>69</v>
      </c>
      <c r="K38" s="2" t="s">
        <v>70</v>
      </c>
      <c r="L38" t="s">
        <v>72</v>
      </c>
      <c r="M38" t="s">
        <v>73</v>
      </c>
    </row>
    <row r="39" spans="1:13" x14ac:dyDescent="0.25">
      <c r="A39" t="s">
        <v>143</v>
      </c>
      <c r="B39" s="1">
        <v>43876.74627314815</v>
      </c>
      <c r="C39" s="1">
        <v>43876.756689814814</v>
      </c>
      <c r="D39" s="2">
        <f>MAX((C39-B39)*24,0)</f>
        <v>0.24999999994179234</v>
      </c>
      <c r="F39" s="42" t="s">
        <v>144</v>
      </c>
      <c r="G39" s="23" t="s">
        <v>145</v>
      </c>
      <c r="I39" t="s">
        <v>143</v>
      </c>
      <c r="J39" s="15">
        <v>0.05</v>
      </c>
      <c r="K39" s="2">
        <v>0.1</v>
      </c>
      <c r="L39" s="2" t="e">
        <f>#REF!</f>
        <v>#REF!</v>
      </c>
      <c r="M39" s="16" t="e">
        <f>Tabelle7367518365263722405774100110130140160170190200220230250260280290310320340350370380400410922425274841041141341441641741942042242342542649224252924526516618420422432578210616418219421222424225428633838240041843046252253459460862864065867068870071312[[#This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time]]/Tabelle7367518365263722405774100110130140160170190200220230250260280290310320340350370380400410922425274841041141341441641741942042242342542649224252924526516618420422432578210616418219421222424225428633838240041843046252253459460862864065867068870071312[[#This Row],[Total time]]</f>
        <v>#REF!</v>
      </c>
    </row>
    <row r="40" spans="1:13" x14ac:dyDescent="0.25">
      <c r="A40" t="s">
        <v>146</v>
      </c>
      <c r="B40" s="1">
        <v>43876.74628472222</v>
      </c>
      <c r="C40" s="1">
        <v>43876.756701388891</v>
      </c>
      <c r="D40" s="2">
        <f>MAX((C40-B40)*24,0)</f>
        <v>0.25000000011641532</v>
      </c>
      <c r="F40" s="42" t="s">
        <v>144</v>
      </c>
      <c r="G40" s="23" t="s">
        <v>145</v>
      </c>
      <c r="I40" t="s">
        <v>146</v>
      </c>
      <c r="J40" s="15">
        <v>0.2</v>
      </c>
      <c r="K40" s="2">
        <v>0.1</v>
      </c>
      <c r="L40" s="2" t="e">
        <f>#REF!</f>
        <v>#REF!</v>
      </c>
      <c r="M40" s="16" t="e">
        <f>Tabelle7367518365263722405774100110130140160170190200220230250260280290310320340350370380400410922425274841041141341441641741942042242342542649224252924526516618420422432578210616418219421222424225428633838240041843046252253459460862864065867068870071312[[#This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time]]/Tabelle7367518365263722405774100110130140160170190200220230250260280290310320340350370380400410922425274841041141341441641741942042242342542649224252924526516618420422432578210616418219421222424225428633838240041843046252253459460862864065867068870071312[[#This Row],[Total time]]</f>
        <v>#REF!</v>
      </c>
    </row>
    <row r="41" spans="1:13" x14ac:dyDescent="0.25">
      <c r="I41" t="s">
        <v>147</v>
      </c>
      <c r="J41" s="15">
        <v>0.35</v>
      </c>
      <c r="K41" s="2">
        <v>0.1</v>
      </c>
      <c r="L41" s="2" t="e">
        <f>#REF!</f>
        <v>#REF!</v>
      </c>
      <c r="M41" s="16" t="e">
        <f>Tabelle7367518365263722405774100110130140160170190200220230250260280290310320340350370380400410922425274841041141341441641741942042242342542649224252924526516618420422432578210616418219421222424225428633838240041843046252253459460862864065867068870071312[[#This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time]]/Tabelle7367518365263722405774100110130140160170190200220230250260280290310320340350370380400410922425274841041141341441641741942042242342542649224252924526516618420422432578210616418219421222424225428633838240041843046252253459460862864065867068870071312[[#This Row],[Total time]]</f>
        <v>#REF!</v>
      </c>
    </row>
    <row r="42" spans="1:13" x14ac:dyDescent="0.25">
      <c r="I42" t="s">
        <v>148</v>
      </c>
      <c r="J42" s="15">
        <v>0.5</v>
      </c>
      <c r="K42" s="2">
        <v>0.1</v>
      </c>
      <c r="L42" s="2" t="e">
        <f>#REF!</f>
        <v>#REF!</v>
      </c>
      <c r="M42" s="16" t="e">
        <f>Tabelle7367518365263722405774100110130140160170190200220230250260280290310320340350370380400410922425274841041141341441641741942042242342542649224252924526516618420422432578210616418219421222424225428633838240041843046252253459460862864065867068870071312[[#This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time]]/Tabelle7367518365263722405774100110130140160170190200220230250260280290310320340350370380400410922425274841041141341441641741942042242342542649224252924526516618420422432578210616418219421222424225428633838240041843046252253459460862864065867068870071312[[#This Row],[Total time]]</f>
        <v>#REF!</v>
      </c>
    </row>
    <row r="43" spans="1:13" x14ac:dyDescent="0.25">
      <c r="I43" t="s">
        <v>149</v>
      </c>
      <c r="J43" s="15">
        <v>0.65</v>
      </c>
      <c r="K43" s="2">
        <v>0.1</v>
      </c>
      <c r="L43" s="2" t="e">
        <f>#REF!</f>
        <v>#REF!</v>
      </c>
      <c r="M43" s="16" t="e">
        <f>Tabelle7367518365263722405774100110130140160170190200220230250260280290310320340350370380400410922425274841041141341441641741942042242342542649224252924526516618420422432578210616418219421222424225428633838240041843046252253459460862864065867068870071312[[#This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time]]/Tabelle7367518365263722405774100110130140160170190200220230250260280290310320340350370380400410922425274841041141341441641741942042242342542649224252924526516618420422432578210616418219421222424225428633838240041843046252253459460862864065867068870071312[[#This Row],[Total time]]</f>
        <v>#REF!</v>
      </c>
    </row>
    <row r="44" spans="1:13" x14ac:dyDescent="0.25">
      <c r="I44" t="s">
        <v>150</v>
      </c>
      <c r="J44" s="15">
        <v>0.8</v>
      </c>
      <c r="K44" s="2">
        <v>0.1</v>
      </c>
      <c r="L44" s="2" t="e">
        <f>#REF!</f>
        <v>#REF!</v>
      </c>
      <c r="M44" s="16" t="e">
        <f>Tabelle7367518365263722405774100110130140160170190200220230250260280290310320340350370380400410922425274841041141341441641741942042242342542649224252924526516618420422432578210616418219421222424225428633838240041843046252253459460862864065867068870071312[[#This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time]]/Tabelle7367518365263722405774100110130140160170190200220230250260280290310320340350370380400410922425274841041141341441641741942042242342542649224252924526516618420422432578210616418219421222424225428633838240041843046252253459460862864065867068870071312[[#This Row],[Total time]]</f>
        <v>#REF!</v>
      </c>
    </row>
    <row r="45" spans="1:13" x14ac:dyDescent="0.25">
      <c r="I45" t="s">
        <v>151</v>
      </c>
      <c r="J45" s="15">
        <v>0.95</v>
      </c>
      <c r="K45" s="2">
        <v>0.1</v>
      </c>
      <c r="L45" s="2" t="e">
        <f>#REF!</f>
        <v>#REF!</v>
      </c>
      <c r="M45" s="16" t="e">
        <f>Tabelle7367518365263722405774100110130140160170190200220230250260280290310320340350370380400410922425274841041141341441641741942042242342542649224252924526516618420422432578210616418219421222424225428633838240041843046252253459460862864065867068870071312[[#This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time]]/Tabelle7367518365263722405774100110130140160170190200220230250260280290310320340350370380400410922425274841041141341441641741942042242342542649224252924526516618420422432578210616418219421222424225428633838240041843046252253459460862864065867068870071312[[#This Row],[Total time]]</f>
        <v>#REF!</v>
      </c>
    </row>
    <row r="47" spans="1:13" x14ac:dyDescent="0.25">
      <c r="A47" t="s">
        <v>135</v>
      </c>
      <c r="B47" t="s">
        <v>223</v>
      </c>
      <c r="C47" t="s">
        <v>136</v>
      </c>
      <c r="D47">
        <v>21</v>
      </c>
      <c r="E47" t="s">
        <v>137</v>
      </c>
      <c r="F47">
        <v>13</v>
      </c>
    </row>
    <row r="48" spans="1:13" x14ac:dyDescent="0.25">
      <c r="A48" s="4" t="s">
        <v>25</v>
      </c>
    </row>
    <row r="49" spans="1:13" x14ac:dyDescent="0.25">
      <c r="A49" t="s">
        <v>3</v>
      </c>
      <c r="B49" t="s">
        <v>224</v>
      </c>
    </row>
    <row r="50" spans="1:13" x14ac:dyDescent="0.25">
      <c r="A50" t="s">
        <v>79</v>
      </c>
      <c r="B50" s="2">
        <v>5</v>
      </c>
      <c r="C50" t="s">
        <v>4</v>
      </c>
    </row>
    <row r="51" spans="1:13" x14ac:dyDescent="0.25">
      <c r="A51" t="s">
        <v>0</v>
      </c>
      <c r="B51" s="2">
        <f>SUM(D:D)</f>
        <v>121.75888888881309</v>
      </c>
      <c r="C51" t="s">
        <v>4</v>
      </c>
    </row>
    <row r="52" spans="1:13" x14ac:dyDescent="0.25">
      <c r="A52" t="s">
        <v>14</v>
      </c>
      <c r="B52" s="5" t="s">
        <v>95</v>
      </c>
    </row>
    <row r="53" spans="1:13" x14ac:dyDescent="0.25">
      <c r="A53" t="s">
        <v>15</v>
      </c>
      <c r="B53" s="5" t="s">
        <v>19</v>
      </c>
    </row>
    <row r="54" spans="1:13" x14ac:dyDescent="0.25">
      <c r="A54" t="s">
        <v>1</v>
      </c>
      <c r="B54" t="s">
        <v>139</v>
      </c>
    </row>
    <row r="55" spans="1:13" x14ac:dyDescent="0.25">
      <c r="A55" t="s">
        <v>16</v>
      </c>
      <c r="B55" s="5">
        <v>43940.764502314814</v>
      </c>
    </row>
    <row r="56" spans="1:13" x14ac:dyDescent="0.25">
      <c r="A56" t="s">
        <v>2</v>
      </c>
    </row>
    <row r="57" spans="1:13" x14ac:dyDescent="0.25">
      <c r="A57" t="s">
        <v>47</v>
      </c>
      <c r="B57" t="s">
        <v>223</v>
      </c>
    </row>
    <row r="58" spans="1:13" x14ac:dyDescent="0.25">
      <c r="A58" t="s">
        <v>5</v>
      </c>
      <c r="B58" s="2">
        <f>B50/B51</f>
        <v>4.1064763695124254E-2</v>
      </c>
      <c r="C58" t="s">
        <v>6</v>
      </c>
    </row>
    <row r="59" spans="1:13" x14ac:dyDescent="0.25">
      <c r="A59" t="s">
        <v>96</v>
      </c>
      <c r="B59" t="s">
        <v>226</v>
      </c>
    </row>
    <row r="60" spans="1:13" x14ac:dyDescent="0.25">
      <c r="A60" t="s">
        <v>97</v>
      </c>
      <c r="B60" t="s">
        <v>227</v>
      </c>
    </row>
    <row r="61" spans="1:13" x14ac:dyDescent="0.25">
      <c r="A61" t="s">
        <v>11</v>
      </c>
      <c r="B61" t="s">
        <v>7</v>
      </c>
      <c r="C61" t="s">
        <v>8</v>
      </c>
      <c r="D61" t="s">
        <v>9</v>
      </c>
      <c r="E61" t="s">
        <v>10</v>
      </c>
      <c r="F61" t="s">
        <v>86</v>
      </c>
      <c r="G61" t="s">
        <v>87</v>
      </c>
      <c r="I61" t="s">
        <v>71</v>
      </c>
      <c r="J61" s="15" t="s">
        <v>69</v>
      </c>
      <c r="K61" s="2" t="s">
        <v>70</v>
      </c>
      <c r="L61" t="s">
        <v>72</v>
      </c>
      <c r="M61" t="s">
        <v>73</v>
      </c>
    </row>
    <row r="62" spans="1:13" x14ac:dyDescent="0.25">
      <c r="A62" t="s">
        <v>143</v>
      </c>
      <c r="B62" s="1">
        <v>43940.76189814815</v>
      </c>
      <c r="C62" s="1">
        <v>43940.76226851852</v>
      </c>
      <c r="D62" s="2">
        <f>MAX((C62-B62)*24,0)</f>
        <v>8.8888888712972403E-3</v>
      </c>
      <c r="F62" s="42" t="s">
        <v>144</v>
      </c>
      <c r="G62" s="23" t="s">
        <v>145</v>
      </c>
      <c r="I62" t="s">
        <v>143</v>
      </c>
      <c r="J62" s="15">
        <v>0.05</v>
      </c>
      <c r="K62" s="2">
        <v>2.5</v>
      </c>
      <c r="L62" s="2" t="e">
        <f>#REF!</f>
        <v>#REF!</v>
      </c>
      <c r="M62" s="16" t="e">
        <f>Tabelle73672038637686104118134216226298314[[#This Row],[EBS self time]]/Tabelle73672038637686104118134216226298314[[#This Row],[Total time]]</f>
        <v>#REF!</v>
      </c>
    </row>
    <row r="63" spans="1:13" x14ac:dyDescent="0.25">
      <c r="A63" t="s">
        <v>146</v>
      </c>
      <c r="B63" s="1">
        <v>43940.754074074073</v>
      </c>
      <c r="C63" s="1">
        <v>43940.764490740738</v>
      </c>
      <c r="D63" s="2">
        <f>MAX((C63-B63)*24,0)</f>
        <v>0.24999999994179234</v>
      </c>
      <c r="F63" s="42" t="s">
        <v>144</v>
      </c>
      <c r="G63" s="23" t="s">
        <v>145</v>
      </c>
      <c r="I63" t="s">
        <v>146</v>
      </c>
      <c r="J63" s="15">
        <v>0.2</v>
      </c>
      <c r="K63" s="2">
        <v>2.5</v>
      </c>
      <c r="L63" s="2" t="e">
        <f>#REF!</f>
        <v>#REF!</v>
      </c>
      <c r="M63" s="16" t="e">
        <f>Tabelle73672038637686104118134216226298314[[#This Row],[EBS self time]]/Tabelle73672038637686104118134216226298314[[#This Row],[Total time]]</f>
        <v>#REF!</v>
      </c>
    </row>
    <row r="64" spans="1:13" x14ac:dyDescent="0.25">
      <c r="A64" t="s">
        <v>147</v>
      </c>
      <c r="B64" s="1">
        <v>43940.75408564815</v>
      </c>
      <c r="C64" s="1">
        <v>43940.764502314814</v>
      </c>
      <c r="D64" s="2">
        <f>MAX((C64-B64)*24,0)</f>
        <v>0.24999999994179234</v>
      </c>
      <c r="F64" s="42" t="s">
        <v>144</v>
      </c>
      <c r="G64" s="23" t="s">
        <v>145</v>
      </c>
      <c r="I64" t="s">
        <v>147</v>
      </c>
      <c r="J64" s="15">
        <v>0.35</v>
      </c>
      <c r="K64" s="2">
        <v>2.5</v>
      </c>
      <c r="L64" s="2" t="e">
        <f>#REF!</f>
        <v>#REF!</v>
      </c>
      <c r="M64" s="16" t="e">
        <f>Tabelle73672038637686104118134216226298314[[#This Row],[EBS self time]]/Tabelle73672038637686104118134216226298314[[#This Row],[Total time]]</f>
        <v>#REF!</v>
      </c>
    </row>
    <row r="65" spans="1:13" x14ac:dyDescent="0.25">
      <c r="I65" t="s">
        <v>148</v>
      </c>
      <c r="J65" s="15">
        <v>0.5</v>
      </c>
      <c r="K65" s="2">
        <v>7.4962518740629678</v>
      </c>
      <c r="L65" s="2" t="e">
        <f>#REF!</f>
        <v>#REF!</v>
      </c>
      <c r="M65" s="16" t="e">
        <f>Tabelle73672038637686104118134216226298314[[#This Row],[EBS self time]]/Tabelle73672038637686104118134216226298314[[#This Row],[Total time]]</f>
        <v>#REF!</v>
      </c>
    </row>
    <row r="66" spans="1:13" x14ac:dyDescent="0.25">
      <c r="I66" t="s">
        <v>149</v>
      </c>
      <c r="J66" s="15">
        <v>0.65</v>
      </c>
      <c r="K66" s="2">
        <v>7.4962518740629678</v>
      </c>
      <c r="L66" s="2" t="e">
        <f>#REF!</f>
        <v>#REF!</v>
      </c>
      <c r="M66" s="16" t="e">
        <f>Tabelle73672038637686104118134216226298314[[#This Row],[EBS self time]]/Tabelle73672038637686104118134216226298314[[#This Row],[Total time]]</f>
        <v>#REF!</v>
      </c>
    </row>
    <row r="67" spans="1:13" x14ac:dyDescent="0.25">
      <c r="I67" t="s">
        <v>150</v>
      </c>
      <c r="J67" s="15">
        <v>0.8</v>
      </c>
      <c r="K67" s="2">
        <v>7.4962518740629678</v>
      </c>
      <c r="L67" s="2" t="e">
        <f>#REF!</f>
        <v>#REF!</v>
      </c>
      <c r="M67" s="16" t="e">
        <f>Tabelle73672038637686104118134216226298314[[#This Row],[EBS self time]]/Tabelle73672038637686104118134216226298314[[#This Row],[Total time]]</f>
        <v>#REF!</v>
      </c>
    </row>
    <row r="68" spans="1:13" x14ac:dyDescent="0.25">
      <c r="I68" t="s">
        <v>151</v>
      </c>
      <c r="J68" s="15">
        <v>0.95</v>
      </c>
      <c r="K68" s="2">
        <v>7.4962518740629678</v>
      </c>
      <c r="L68" s="2" t="e">
        <f>#REF!</f>
        <v>#REF!</v>
      </c>
      <c r="M68" s="16" t="e">
        <f>Tabelle73672038637686104118134216226298314[[#This Row],[EBS self time]]/Tabelle73672038637686104118134216226298314[[#This Row],[Total time]]</f>
        <v>#REF!</v>
      </c>
    </row>
    <row r="70" spans="1:13" x14ac:dyDescent="0.25">
      <c r="A70" t="s">
        <v>135</v>
      </c>
      <c r="B70" t="s">
        <v>220</v>
      </c>
      <c r="C70" t="s">
        <v>136</v>
      </c>
      <c r="D70">
        <v>15</v>
      </c>
      <c r="E70" t="s">
        <v>137</v>
      </c>
      <c r="F70">
        <v>13</v>
      </c>
    </row>
    <row r="71" spans="1:13" x14ac:dyDescent="0.25">
      <c r="A71" s="4" t="s">
        <v>25</v>
      </c>
    </row>
    <row r="72" spans="1:13" x14ac:dyDescent="0.25">
      <c r="A72" t="s">
        <v>3</v>
      </c>
      <c r="B72" t="s">
        <v>95</v>
      </c>
    </row>
    <row r="73" spans="1:13" x14ac:dyDescent="0.25">
      <c r="A73" t="s">
        <v>79</v>
      </c>
      <c r="B73" s="2" t="s">
        <v>95</v>
      </c>
      <c r="C73" t="s">
        <v>4</v>
      </c>
    </row>
    <row r="74" spans="1:13" x14ac:dyDescent="0.25">
      <c r="A74" t="s">
        <v>0</v>
      </c>
      <c r="B74" s="2">
        <f>SUM(D:D)</f>
        <v>121.75888888881309</v>
      </c>
      <c r="C74" t="s">
        <v>4</v>
      </c>
    </row>
    <row r="75" spans="1:13" x14ac:dyDescent="0.25">
      <c r="A75" t="s">
        <v>14</v>
      </c>
      <c r="B75" s="5" t="s">
        <v>95</v>
      </c>
    </row>
    <row r="76" spans="1:13" x14ac:dyDescent="0.25">
      <c r="A76" t="s">
        <v>15</v>
      </c>
      <c r="B76" s="5" t="s">
        <v>19</v>
      </c>
    </row>
    <row r="77" spans="1:13" x14ac:dyDescent="0.25">
      <c r="A77" t="s">
        <v>1</v>
      </c>
      <c r="B77" t="s">
        <v>94</v>
      </c>
    </row>
    <row r="78" spans="1:13" x14ac:dyDescent="0.25">
      <c r="A78" t="s">
        <v>16</v>
      </c>
      <c r="B78" s="5" t="s">
        <v>95</v>
      </c>
    </row>
    <row r="79" spans="1:13" x14ac:dyDescent="0.25">
      <c r="A79" t="s">
        <v>2</v>
      </c>
    </row>
    <row r="80" spans="1:13" x14ac:dyDescent="0.25">
      <c r="A80" t="s">
        <v>47</v>
      </c>
      <c r="B80" t="s">
        <v>220</v>
      </c>
    </row>
    <row r="81" spans="1:13" x14ac:dyDescent="0.25">
      <c r="A81" t="s">
        <v>5</v>
      </c>
      <c r="B81" s="2" t="e">
        <f>B73/B74</f>
        <v>#VALUE!</v>
      </c>
      <c r="C81" t="s">
        <v>6</v>
      </c>
    </row>
    <row r="82" spans="1:13" x14ac:dyDescent="0.25">
      <c r="A82" t="s">
        <v>96</v>
      </c>
    </row>
    <row r="83" spans="1:13" x14ac:dyDescent="0.25">
      <c r="A83" t="s">
        <v>97</v>
      </c>
    </row>
    <row r="84" spans="1:13" x14ac:dyDescent="0.25">
      <c r="A84" t="s">
        <v>11</v>
      </c>
      <c r="B84" t="s">
        <v>7</v>
      </c>
      <c r="C84" t="s">
        <v>8</v>
      </c>
      <c r="D84" t="s">
        <v>9</v>
      </c>
      <c r="E84" t="s">
        <v>10</v>
      </c>
      <c r="F84" t="s">
        <v>86</v>
      </c>
      <c r="G84" t="s">
        <v>87</v>
      </c>
      <c r="I84" t="s">
        <v>71</v>
      </c>
      <c r="J84" s="15" t="s">
        <v>69</v>
      </c>
      <c r="K84" s="2" t="s">
        <v>70</v>
      </c>
      <c r="L84" t="s">
        <v>72</v>
      </c>
      <c r="M84" t="s">
        <v>73</v>
      </c>
    </row>
    <row r="85" spans="1:13" x14ac:dyDescent="0.25">
      <c r="B85" s="1"/>
      <c r="C85" s="1"/>
      <c r="D85" s="2">
        <f>MAX((C85-B85)*24,0)</f>
        <v>0</v>
      </c>
      <c r="J85" s="15"/>
      <c r="K85" s="2"/>
      <c r="L85" s="2" t="e">
        <f>#REF!</f>
        <v>#REF!</v>
      </c>
      <c r="M85" s="16" t="e">
        <f>Tabelle7367518324496108130140160170220228250260302316[[#This Row],[EBS self time]]/Tabelle7367518324496108130140160170220228250260302316[[#This Row],[Total time]]</f>
        <v>#REF!</v>
      </c>
    </row>
    <row r="87" spans="1:13" x14ac:dyDescent="0.25">
      <c r="A87" t="s">
        <v>135</v>
      </c>
      <c r="B87" t="s">
        <v>171</v>
      </c>
      <c r="C87" t="s">
        <v>136</v>
      </c>
      <c r="D87">
        <v>21</v>
      </c>
      <c r="E87" t="s">
        <v>137</v>
      </c>
      <c r="F87">
        <v>13</v>
      </c>
    </row>
    <row r="88" spans="1:13" x14ac:dyDescent="0.25">
      <c r="A88" s="4" t="s">
        <v>25</v>
      </c>
    </row>
    <row r="89" spans="1:13" x14ac:dyDescent="0.25">
      <c r="A89" t="s">
        <v>3</v>
      </c>
      <c r="B89" t="s">
        <v>165</v>
      </c>
    </row>
    <row r="90" spans="1:13" x14ac:dyDescent="0.25">
      <c r="A90" t="s">
        <v>79</v>
      </c>
      <c r="B90" s="2">
        <v>5</v>
      </c>
      <c r="C90" t="s">
        <v>4</v>
      </c>
    </row>
    <row r="91" spans="1:13" x14ac:dyDescent="0.25">
      <c r="A91" t="s">
        <v>0</v>
      </c>
      <c r="B91" s="2">
        <f>SUM(D:D)</f>
        <v>121.75888888881309</v>
      </c>
      <c r="C91" t="s">
        <v>4</v>
      </c>
    </row>
    <row r="92" spans="1:13" x14ac:dyDescent="0.25">
      <c r="A92" t="s">
        <v>14</v>
      </c>
      <c r="B92" s="41" t="s">
        <v>95</v>
      </c>
    </row>
    <row r="93" spans="1:13" x14ac:dyDescent="0.25">
      <c r="A93" t="s">
        <v>15</v>
      </c>
      <c r="B93" s="41" t="s">
        <v>19</v>
      </c>
    </row>
    <row r="94" spans="1:13" x14ac:dyDescent="0.25">
      <c r="A94" t="s">
        <v>1</v>
      </c>
      <c r="B94" t="s">
        <v>94</v>
      </c>
    </row>
    <row r="95" spans="1:13" x14ac:dyDescent="0.25">
      <c r="A95" t="s">
        <v>16</v>
      </c>
      <c r="B95" s="41" t="s">
        <v>95</v>
      </c>
    </row>
    <row r="96" spans="1:13" x14ac:dyDescent="0.25">
      <c r="A96" t="s">
        <v>2</v>
      </c>
    </row>
    <row r="97" spans="1:13" x14ac:dyDescent="0.25">
      <c r="A97" t="s">
        <v>47</v>
      </c>
      <c r="B97" t="s">
        <v>171</v>
      </c>
    </row>
    <row r="98" spans="1:13" x14ac:dyDescent="0.25">
      <c r="A98" t="s">
        <v>5</v>
      </c>
      <c r="B98" s="2">
        <f>B90/B91</f>
        <v>4.1064763695124254E-2</v>
      </c>
      <c r="C98" t="s">
        <v>6</v>
      </c>
    </row>
    <row r="99" spans="1:13" x14ac:dyDescent="0.25">
      <c r="A99" t="s">
        <v>96</v>
      </c>
      <c r="B99" t="s">
        <v>159</v>
      </c>
    </row>
    <row r="100" spans="1:13" x14ac:dyDescent="0.25">
      <c r="A100" t="s">
        <v>97</v>
      </c>
      <c r="B100" t="s">
        <v>160</v>
      </c>
    </row>
    <row r="101" spans="1:13" x14ac:dyDescent="0.25">
      <c r="A101" t="s">
        <v>11</v>
      </c>
      <c r="B101" t="s">
        <v>7</v>
      </c>
      <c r="C101" t="s">
        <v>8</v>
      </c>
      <c r="D101" t="s">
        <v>9</v>
      </c>
      <c r="E101" t="s">
        <v>10</v>
      </c>
      <c r="F101" t="s">
        <v>86</v>
      </c>
      <c r="G101" t="s">
        <v>87</v>
      </c>
      <c r="I101" t="s">
        <v>71</v>
      </c>
      <c r="J101" s="15" t="s">
        <v>69</v>
      </c>
      <c r="K101" s="2" t="s">
        <v>70</v>
      </c>
      <c r="L101" t="s">
        <v>72</v>
      </c>
      <c r="M101" t="s">
        <v>73</v>
      </c>
    </row>
    <row r="102" spans="1:13" x14ac:dyDescent="0.25">
      <c r="B102" s="1"/>
      <c r="C102" s="1"/>
      <c r="D102" s="2"/>
      <c r="G102" s="23"/>
      <c r="I102" t="s">
        <v>143</v>
      </c>
      <c r="J102" s="15">
        <v>0.05</v>
      </c>
      <c r="K102" s="2">
        <v>0.5</v>
      </c>
      <c r="L102" s="2" t="e">
        <f>#REF!</f>
        <v>#REF!</v>
      </c>
      <c r="M102" s="16" t="e">
        <f>Tabelle7367720325068926426176881041141321441621741922042222342522642822943123243423543723844024141426445776881061181361481661781962082262382562681426447022406182961781902002222322425063100112176188206218236248272292368388412424448468496498570604620631318[[#This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time]]/Tabelle7367720325068926426176881041141321441621741922042222342522642822943123243423543723844024141426445776881061181361481661781962082262382562681426447022406182961781902002222322425063100112176188206218236248272292368388412424448468496498570604620631318[[#This Row],[Total time]]</f>
        <v>#REF!</v>
      </c>
    </row>
    <row r="103" spans="1:13" x14ac:dyDescent="0.25">
      <c r="B103" s="1"/>
      <c r="C103" s="1"/>
      <c r="D103" s="2"/>
      <c r="G103" s="23"/>
      <c r="I103" t="s">
        <v>146</v>
      </c>
      <c r="J103" s="15">
        <v>0.2</v>
      </c>
      <c r="K103" s="2">
        <v>0.5</v>
      </c>
      <c r="L103" s="2" t="e">
        <f>#REF!</f>
        <v>#REF!</v>
      </c>
      <c r="M103" s="16" t="e">
        <f>Tabelle7367720325068926426176881041141321441621741922042222342522642822943123243423543723844024141426445776881061181361481661781962082262382562681426447022406182961781902002222322425063100112176188206218236248272292368388412424448468496498570604620631318[[#This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time]]/Tabelle7367720325068926426176881041141321441621741922042222342522642822943123243423543723844024141426445776881061181361481661781962082262382562681426447022406182961781902002222322425063100112176188206218236248272292368388412424448468496498570604620631318[[#This Row],[Total time]]</f>
        <v>#REF!</v>
      </c>
    </row>
    <row r="104" spans="1:13" x14ac:dyDescent="0.25">
      <c r="I104" t="s">
        <v>147</v>
      </c>
      <c r="J104" s="15">
        <v>0.35</v>
      </c>
      <c r="K104" s="2">
        <v>0.5</v>
      </c>
      <c r="L104" s="2" t="e">
        <f>#REF!</f>
        <v>#REF!</v>
      </c>
      <c r="M104" s="16" t="e">
        <f>Tabelle7367720325068926426176881041141321441621741922042222342522642822943123243423543723844024141426445776881061181361481661781962082262382562681426447022406182961781902002222322425063100112176188206218236248272292368388412424448468496498570604620631318[[#This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time]]/Tabelle7367720325068926426176881041141321441621741922042222342522642822943123243423543723844024141426445776881061181361481661781962082262382562681426447022406182961781902002222322425063100112176188206218236248272292368388412424448468496498570604620631318[[#This Row],[Total time]]</f>
        <v>#REF!</v>
      </c>
    </row>
    <row r="105" spans="1:13" x14ac:dyDescent="0.25">
      <c r="I105" t="s">
        <v>148</v>
      </c>
      <c r="J105" s="15">
        <v>0.5</v>
      </c>
      <c r="K105" s="2">
        <v>0.5</v>
      </c>
      <c r="L105" s="2" t="e">
        <f>#REF!</f>
        <v>#REF!</v>
      </c>
      <c r="M105" s="16" t="e">
        <f>Tabelle7367720325068926426176881041141321441621741922042222342522642822943123243423543723844024141426445776881061181361481661781962082262382562681426447022406182961781902002222322425063100112176188206218236248272292368388412424448468496498570604620631318[[#This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time]]/Tabelle7367720325068926426176881041141321441621741922042222342522642822943123243423543723844024141426445776881061181361481661781962082262382562681426447022406182961781902002222322425063100112176188206218236248272292368388412424448468496498570604620631318[[#This Row],[Total time]]</f>
        <v>#REF!</v>
      </c>
    </row>
    <row r="106" spans="1:13" x14ac:dyDescent="0.25">
      <c r="I106" t="s">
        <v>149</v>
      </c>
      <c r="J106" s="15">
        <v>0.65</v>
      </c>
      <c r="K106" s="2">
        <v>0.5</v>
      </c>
      <c r="L106" s="2" t="e">
        <f>#REF!</f>
        <v>#REF!</v>
      </c>
      <c r="M106" s="16" t="e">
        <f>Tabelle7367720325068926426176881041141321441621741922042222342522642822943123243423543723844024141426445776881061181361481661781962082262382562681426447022406182961781902002222322425063100112176188206218236248272292368388412424448468496498570604620631318[[#This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time]]/Tabelle7367720325068926426176881041141321441621741922042222342522642822943123243423543723844024141426445776881061181361481661781962082262382562681426447022406182961781902002222322425063100112176188206218236248272292368388412424448468496498570604620631318[[#This Row],[Total time]]</f>
        <v>#REF!</v>
      </c>
    </row>
    <row r="107" spans="1:13" x14ac:dyDescent="0.25">
      <c r="I107" t="s">
        <v>150</v>
      </c>
      <c r="J107" s="15">
        <v>0.8</v>
      </c>
      <c r="K107" s="2">
        <v>0.5</v>
      </c>
      <c r="L107" s="2" t="e">
        <f>#REF!</f>
        <v>#REF!</v>
      </c>
      <c r="M107" s="16" t="e">
        <f>Tabelle7367720325068926426176881041141321441621741922042222342522642822943123243423543723844024141426445776881061181361481661781962082262382562681426447022406182961781902002222322425063100112176188206218236248272292368388412424448468496498570604620631318[[#This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time]]/Tabelle7367720325068926426176881041141321441621741922042222342522642822943123243423543723844024141426445776881061181361481661781962082262382562681426447022406182961781902002222322425063100112176188206218236248272292368388412424448468496498570604620631318[[#This Row],[Total time]]</f>
        <v>#REF!</v>
      </c>
    </row>
    <row r="108" spans="1:13" x14ac:dyDescent="0.25">
      <c r="I108" t="s">
        <v>151</v>
      </c>
      <c r="J108" s="15">
        <v>0.95</v>
      </c>
      <c r="K108" s="2">
        <v>0.5</v>
      </c>
      <c r="L108" s="2" t="e">
        <f>#REF!</f>
        <v>#REF!</v>
      </c>
      <c r="M108" s="16" t="e">
        <f>Tabelle7367720325068926426176881041141321441621741922042222342522642822943123243423543723844024141426445776881061181361481661781962082262382562681426447022406182961781902002222322425063100112176188206218236248272292368388412424448468496498570604620631318[[#This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time]]/Tabelle7367720325068926426176881041141321441621741922042222342522642822943123243423543723844024141426445776881061181361481661781962082262382562681426447022406182961781902002222322425063100112176188206218236248272292368388412424448468496498570604620631318[[#This Row],[Total time]]</f>
        <v>#REF!</v>
      </c>
    </row>
    <row r="110" spans="1:13" x14ac:dyDescent="0.25">
      <c r="A110" t="s">
        <v>135</v>
      </c>
      <c r="B110" t="s">
        <v>172</v>
      </c>
      <c r="C110" t="s">
        <v>136</v>
      </c>
      <c r="D110">
        <v>21</v>
      </c>
      <c r="E110" t="s">
        <v>137</v>
      </c>
      <c r="F110">
        <v>13</v>
      </c>
    </row>
    <row r="111" spans="1:13" x14ac:dyDescent="0.25">
      <c r="A111" s="4" t="s">
        <v>25</v>
      </c>
    </row>
    <row r="112" spans="1:13" x14ac:dyDescent="0.25">
      <c r="A112" t="s">
        <v>3</v>
      </c>
      <c r="B112" t="s">
        <v>166</v>
      </c>
    </row>
    <row r="113" spans="1:13" x14ac:dyDescent="0.25">
      <c r="A113" t="s">
        <v>79</v>
      </c>
      <c r="B113" s="2">
        <v>2</v>
      </c>
      <c r="C113" t="s">
        <v>4</v>
      </c>
    </row>
    <row r="114" spans="1:13" x14ac:dyDescent="0.25">
      <c r="A114" t="s">
        <v>0</v>
      </c>
      <c r="B114" s="2">
        <f>SUM(D:D)</f>
        <v>121.75888888881309</v>
      </c>
      <c r="C114" t="s">
        <v>4</v>
      </c>
    </row>
    <row r="115" spans="1:13" x14ac:dyDescent="0.25">
      <c r="A115" t="s">
        <v>14</v>
      </c>
      <c r="B115" s="41" t="s">
        <v>95</v>
      </c>
    </row>
    <row r="116" spans="1:13" x14ac:dyDescent="0.25">
      <c r="A116" t="s">
        <v>15</v>
      </c>
      <c r="B116" s="41" t="s">
        <v>19</v>
      </c>
    </row>
    <row r="117" spans="1:13" x14ac:dyDescent="0.25">
      <c r="A117" t="s">
        <v>1</v>
      </c>
      <c r="B117" t="s">
        <v>94</v>
      </c>
    </row>
    <row r="118" spans="1:13" x14ac:dyDescent="0.25">
      <c r="A118" t="s">
        <v>16</v>
      </c>
      <c r="B118" s="41" t="s">
        <v>95</v>
      </c>
    </row>
    <row r="119" spans="1:13" x14ac:dyDescent="0.25">
      <c r="A119" t="s">
        <v>2</v>
      </c>
    </row>
    <row r="120" spans="1:13" x14ac:dyDescent="0.25">
      <c r="A120" t="s">
        <v>47</v>
      </c>
      <c r="B120" t="s">
        <v>172</v>
      </c>
    </row>
    <row r="121" spans="1:13" x14ac:dyDescent="0.25">
      <c r="A121" t="s">
        <v>5</v>
      </c>
      <c r="B121" s="2">
        <f>B113/B114</f>
        <v>1.6425905478049702E-2</v>
      </c>
      <c r="C121" t="s">
        <v>6</v>
      </c>
    </row>
    <row r="122" spans="1:13" x14ac:dyDescent="0.25">
      <c r="A122" t="s">
        <v>96</v>
      </c>
      <c r="B122" t="s">
        <v>153</v>
      </c>
    </row>
    <row r="123" spans="1:13" x14ac:dyDescent="0.25">
      <c r="A123" t="s">
        <v>97</v>
      </c>
      <c r="B123" t="s">
        <v>167</v>
      </c>
    </row>
    <row r="124" spans="1:13" x14ac:dyDescent="0.25">
      <c r="A124" t="s">
        <v>11</v>
      </c>
      <c r="B124" t="s">
        <v>7</v>
      </c>
      <c r="C124" t="s">
        <v>8</v>
      </c>
      <c r="D124" t="s">
        <v>9</v>
      </c>
      <c r="E124" t="s">
        <v>10</v>
      </c>
      <c r="F124" t="s">
        <v>86</v>
      </c>
      <c r="G124" t="s">
        <v>87</v>
      </c>
      <c r="I124" t="s">
        <v>71</v>
      </c>
      <c r="J124" s="15" t="s">
        <v>69</v>
      </c>
      <c r="K124" s="2" t="s">
        <v>70</v>
      </c>
      <c r="L124" t="s">
        <v>72</v>
      </c>
      <c r="M124" t="s">
        <v>73</v>
      </c>
    </row>
    <row r="125" spans="1:13" x14ac:dyDescent="0.25">
      <c r="B125" s="1"/>
      <c r="C125" s="1"/>
      <c r="D125" s="2"/>
      <c r="G125" s="23"/>
      <c r="I125" t="s">
        <v>143</v>
      </c>
      <c r="J125" s="15">
        <v>0.05</v>
      </c>
      <c r="K125" s="2">
        <v>0.2</v>
      </c>
      <c r="L125" s="2" t="e">
        <f>#REF!</f>
        <v>#REF!</v>
      </c>
      <c r="M125" s="16" t="e">
        <f>Tabelle7367142448598018384852728410212613815616818619821622824625827628830631833634836637839640842620385070821001121301421601721902022202322502622802034486118466388981821921962202382442854681041161361801902102202402502782943743904164264544705105285741320[[#This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time]]/Tabelle7367142448598018384852728410212613815616818619821622824625827628830631833634836637839640842620385070821001121301421601721902022202322502622802034486118466388981821921962202382442854681041161361801902102202402502782943743904164264544705105285741320[[#This Row],[Total time]]</f>
        <v>#REF!</v>
      </c>
    </row>
    <row r="126" spans="1:13" x14ac:dyDescent="0.25">
      <c r="B126" s="1"/>
      <c r="C126" s="1"/>
      <c r="D126" s="2"/>
      <c r="G126" s="23"/>
      <c r="I126" t="s">
        <v>146</v>
      </c>
      <c r="J126" s="15">
        <v>0.2</v>
      </c>
      <c r="K126" s="2">
        <v>0.2</v>
      </c>
      <c r="L126" s="2" t="e">
        <f>#REF!</f>
        <v>#REF!</v>
      </c>
      <c r="M126" s="16" t="e">
        <f>Tabelle7367142448598018384852728410212613815616818619821622824625827628830631833634836637839640842620385070821001121301421601721902022202322502622802034486118466388981821921962202382442854681041161361801902102202402502782943743904164264544705105285741320[[#This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time]]/Tabelle7367142448598018384852728410212613815616818619821622824625827628830631833634836637839640842620385070821001121301421601721902022202322502622802034486118466388981821921962202382442854681041161361801902102202402502782943743904164264544705105285741320[[#This Row],[Total time]]</f>
        <v>#REF!</v>
      </c>
    </row>
    <row r="127" spans="1:13" x14ac:dyDescent="0.25">
      <c r="B127" s="1"/>
      <c r="C127" s="1"/>
      <c r="D127" s="2"/>
      <c r="G127" s="23"/>
      <c r="I127" t="s">
        <v>147</v>
      </c>
      <c r="J127" s="15">
        <v>0.35</v>
      </c>
      <c r="K127" s="2">
        <v>0.2</v>
      </c>
      <c r="L127" s="2" t="e">
        <f>#REF!</f>
        <v>#REF!</v>
      </c>
      <c r="M127" s="16" t="e">
        <f>Tabelle7367142448598018384852728410212613815616818619821622824625827628830631833634836637839640842620385070821001121301421601721902022202322502622802034486118466388981821921962202382442854681041161361801902102202402502782943743904164264544705105285741320[[#This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time]]/Tabelle7367142448598018384852728410212613815616818619821622824625827628830631833634836637839640842620385070821001121301421601721902022202322502622802034486118466388981821921962202382442854681041161361801902102202402502782943743904164264544705105285741320[[#This Row],[Total time]]</f>
        <v>#REF!</v>
      </c>
    </row>
    <row r="128" spans="1:13" x14ac:dyDescent="0.25">
      <c r="B128" s="1"/>
      <c r="C128" s="1"/>
      <c r="D128" s="2"/>
      <c r="G128" s="23"/>
      <c r="I128" t="s">
        <v>148</v>
      </c>
      <c r="J128" s="15">
        <v>0.5</v>
      </c>
      <c r="K128" s="2">
        <v>0.2</v>
      </c>
      <c r="L128" s="2" t="e">
        <f>#REF!</f>
        <v>#REF!</v>
      </c>
      <c r="M128" s="16" t="e">
        <f>Tabelle7367142448598018384852728410212613815616818619821622824625827628830631833634836637839640842620385070821001121301421601721902022202322502622802034486118466388981821921962202382442854681041161361801902102202402502782943743904164264544705105285741320[[#This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time]]/Tabelle7367142448598018384852728410212613815616818619821622824625827628830631833634836637839640842620385070821001121301421601721902022202322502622802034486118466388981821921962202382442854681041161361801902102202402502782943743904164264544705105285741320[[#This Row],[Total time]]</f>
        <v>#REF!</v>
      </c>
    </row>
    <row r="129" spans="2:13" x14ac:dyDescent="0.25">
      <c r="B129" s="1"/>
      <c r="C129" s="1"/>
      <c r="D129" s="2"/>
      <c r="G129" s="23"/>
      <c r="I129" t="s">
        <v>149</v>
      </c>
      <c r="J129" s="15">
        <v>0.65</v>
      </c>
      <c r="K129" s="2">
        <v>0.2</v>
      </c>
      <c r="L129" s="2" t="e">
        <f>#REF!</f>
        <v>#REF!</v>
      </c>
      <c r="M129" s="16" t="e">
        <f>Tabelle7367142448598018384852728410212613815616818619821622824625827628830631833634836637839640842620385070821001121301421601721902022202322502622802034486118466388981821921962202382442854681041161361801902102202402502782943743904164264544705105285741320[[#This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time]]/Tabelle7367142448598018384852728410212613815616818619821622824625827628830631833634836637839640842620385070821001121301421601721902022202322502622802034486118466388981821921962202382442854681041161361801902102202402502782943743904164264544705105285741320[[#This Row],[Total time]]</f>
        <v>#REF!</v>
      </c>
    </row>
    <row r="130" spans="2:13" x14ac:dyDescent="0.25">
      <c r="B130" s="1"/>
      <c r="C130" s="1"/>
      <c r="D130" s="2"/>
      <c r="G130" s="23"/>
      <c r="I130" t="s">
        <v>150</v>
      </c>
      <c r="J130" s="15">
        <v>0.8</v>
      </c>
      <c r="K130" s="2">
        <v>0.2</v>
      </c>
      <c r="L130" s="2" t="e">
        <f>#REF!</f>
        <v>#REF!</v>
      </c>
      <c r="M130" s="16" t="e">
        <f>Tabelle7367142448598018384852728410212613815616818619821622824625827628830631833634836637839640842620385070821001121301421601721902022202322502622802034486118466388981821921962202382442854681041161361801902102202402502782943743904164264544705105285741320[[#This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time]]/Tabelle7367142448598018384852728410212613815616818619821622824625827628830631833634836637839640842620385070821001121301421601721902022202322502622802034486118466388981821921962202382442854681041161361801902102202402502782943743904164264544705105285741320[[#This Row],[Total time]]</f>
        <v>#REF!</v>
      </c>
    </row>
    <row r="131" spans="2:13" x14ac:dyDescent="0.25">
      <c r="I131" t="s">
        <v>151</v>
      </c>
      <c r="J131" s="15">
        <v>0.95</v>
      </c>
      <c r="K131" s="2">
        <v>0.2</v>
      </c>
      <c r="L131" s="2" t="e">
        <f>#REF!</f>
        <v>#REF!</v>
      </c>
      <c r="M131" s="16" t="e">
        <f>Tabelle7367142448598018384852728410212613815616818619821622824625827628830631833634836637839640842620385070821001121301421601721902022202322502622802034486118466388981821921962202382442854681041161361801902102202402502782943743904164264544705105285741320[[#This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time]]/Tabelle7367142448598018384852728410212613815616818619821622824625827628830631833634836637839640842620385070821001121301421601721902022202322502622802034486118466388981821921962202382442854681041161361801902102202402502782943743904164264544705105285741320[[#This Row],[Total time]]</f>
        <v>#REF!</v>
      </c>
    </row>
  </sheetData>
  <hyperlinks>
    <hyperlink ref="A2" location="Planning!A1" display="Go back to 'Planning' sheet" xr:uid="{A2750680-EBB2-4161-8B2B-D8F4998E2E98}"/>
    <hyperlink ref="F16" location="$F$15" display="$F$15" xr:uid="{CB52B44A-52F8-41BE-9EE1-BE80D94E8F59}"/>
    <hyperlink ref="G16" location="$G$15" display="$G$15" xr:uid="{31FAB5E0-BD60-4C6D-BCA2-AEB5315618E1}"/>
    <hyperlink ref="F17" location="$F$16" display="$F$16" xr:uid="{A2A699AB-8C42-4755-8C66-7080FEB380AF}"/>
    <hyperlink ref="G17" location="$G$16" display="$G$16" xr:uid="{4AF75664-ED6F-4238-8CFB-2D7D42E6CB8F}"/>
    <hyperlink ref="F18" location="$F$17" display="$F$17" xr:uid="{277BFBA7-DD80-42AB-A729-825FDBD88D39}"/>
    <hyperlink ref="G18" location="$G$17" display="$G$17" xr:uid="{9F2B6901-960F-4ED7-AA6D-400089B452F3}"/>
    <hyperlink ref="A25" location="Planning!A1" display="Go back to 'Planning' sheet" xr:uid="{E71FC052-BCAC-4594-9766-ED51B0340A4B}"/>
    <hyperlink ref="F39" location="$F$15" display="$F$15" xr:uid="{E7598F7B-0E42-4A53-9585-374BD9F12A79}"/>
    <hyperlink ref="G39" location="$G$15" display="$G$15" xr:uid="{B2CCD029-30A8-42AE-9762-E333BB353CFA}"/>
    <hyperlink ref="F40" location="$F$16" display="$F$16" xr:uid="{C8023A9B-25F7-4436-BA76-05B7BCCAF736}"/>
    <hyperlink ref="G40" location="$G$16" display="$G$16" xr:uid="{3286F8AA-408F-4CE8-8626-8ADED7ABA01E}"/>
    <hyperlink ref="A48" location="Planning!A1" display="Go back to 'Planning' sheet" xr:uid="{D0FF1419-7ED8-4128-9A60-A2F36B6EB1B6}"/>
    <hyperlink ref="F62" location="$F$15" display="$F$15" xr:uid="{5AD125C0-DFA0-464D-BD49-3F17E7AC29EE}"/>
    <hyperlink ref="G62" location="$G$15" display="$G$15" xr:uid="{BC61237B-59C2-4036-BABB-75B0ED963020}"/>
    <hyperlink ref="F63" location="$F$16" display="$F$16" xr:uid="{7C5AC730-68AA-4960-BA89-BFACE47F550A}"/>
    <hyperlink ref="G63" location="$G$16" display="$G$16" xr:uid="{FCC71EC0-3E32-46D4-86FC-A05B05A089E0}"/>
    <hyperlink ref="F64" location="$F$17" display="$F$17" xr:uid="{C91D4B58-9585-41DD-BC4E-D6D4AEF09242}"/>
    <hyperlink ref="G64" location="$G$17" display="$G$17" xr:uid="{B6461DE0-9F83-47E1-A901-99EDA133E207}"/>
    <hyperlink ref="A71" location="Planning!A1" display="Go back to 'Planning' sheet" xr:uid="{C3BF4A4F-9B4C-49F4-9755-B33C7306CD9A}"/>
    <hyperlink ref="A88" location="Planning!A1" display="Go back to 'Planning' sheet" xr:uid="{CDACF28E-69BB-4298-AD3B-6B418030D339}"/>
    <hyperlink ref="A111" location="Planning!A1" display="Go back to 'Planning' sheet" xr:uid="{6F05F86D-D756-4BA4-A4A4-B80354C0D847}"/>
  </hyperlinks>
  <pageMargins left="0.7" right="0.7" top="0.78740157499999996" bottom="0.78740157499999996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134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2" t="s">
        <v>76</v>
      </c>
      <c r="G15" s="53"/>
      <c r="H15" s="53"/>
    </row>
    <row r="16" spans="5:8" x14ac:dyDescent="0.25">
      <c r="E16" s="14" t="s">
        <v>74</v>
      </c>
      <c r="F16" s="52" t="s">
        <v>37</v>
      </c>
      <c r="G16" s="53"/>
      <c r="H16" s="5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9" priority="1" operator="containsText" text="No">
      <formula>NOT(ISERROR(SEARCH("No",D1)))</formula>
    </cfRule>
    <cfRule type="containsText" dxfId="18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Planning</vt:lpstr>
      <vt:lpstr>tAAF8231FB67247C24</vt:lpstr>
      <vt:lpstr>tC5F28114EEBEA0BC0</vt:lpstr>
      <vt:lpstr>EbsSheet (Me)</vt:lpstr>
      <vt:lpstr>Analysis</vt:lpstr>
      <vt:lpstr>Settings</vt:lpstr>
      <vt:lpstr>Messages</vt:lpstr>
      <vt:lpstr>Task sheet template</vt:lpstr>
      <vt:lpstr>VSHEET_STOR_E65DEF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2020-04-19T16:46:12Z</dcterms:modified>
  <cp:category/>
  <cp:contentStatus/>
</cp:coreProperties>
</file>