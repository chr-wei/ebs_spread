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4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19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Projects\EbsSpread\bin\"/>
    </mc:Choice>
  </mc:AlternateContent>
  <xr:revisionPtr revIDLastSave="0" documentId="13_ncr:1_{139038DE-815C-49B7-B3DB-69B13DFE0318}" xr6:coauthVersionLast="45" xr6:coauthVersionMax="45" xr10:uidLastSave="{00000000-0000-0000-0000-000000000000}"/>
  <bookViews>
    <workbookView xWindow="-120" yWindow="-120" windowWidth="24240" windowHeight="13140" tabRatio="813" xr2:uid="{DAA936AD-5BF0-425A-A8EF-49858B3BE9B8}"/>
  </bookViews>
  <sheets>
    <sheet name="Planning" sheetId="1" r:id="rId1"/>
    <sheet name="Analysis" sheetId="1004" r:id="rId2"/>
    <sheet name="Settings" sheetId="418" r:id="rId3"/>
    <sheet name="Messages" sheetId="1390" r:id="rId4"/>
    <sheet name="Task sheet template" sheetId="5" state="hidden" r:id="rId5"/>
    <sheet name="Version info" sheetId="3" r:id="rId6"/>
    <sheet name="List validation data" sheetId="1425" state="hidden" r:id="rId7"/>
    <sheet name="EbsSheet template" sheetId="440" state="hidden" r:id="rId8"/>
  </sheets>
  <functionGroups builtInGroupCount="19"/>
  <definedNames>
    <definedName name="_Tag_1Vdata">'List validation data'!$D$3:$D$44</definedName>
    <definedName name="_Tag_2Vdata">'List validation data'!$C$3:$C$14</definedName>
    <definedName name="_Tag_3Vdata">'List validation data'!$A$3:$A$23</definedName>
    <definedName name="ContributorVdata">'List validation data'!$B$3</definedName>
    <definedName name="Kanban_listVdata">'List validation data'!$E$3:$E$44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" i="5" l="1"/>
  <c r="B4" i="5" s="1"/>
  <c r="L17" i="5" l="1"/>
  <c r="B11" i="5"/>
  <c r="J4" i="418"/>
  <c r="M1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<sst xmlns="http://schemas.openxmlformats.org/spreadsheetml/2006/main" count="261" uniqueCount="220">
  <si>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</si>
  <si>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</si>
  <si>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</si>
  <si>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</si>
  <si>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</si>
  <si>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</si>
  <si>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</si>
  <si>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</si>
  <si>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</si>
  <si>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</si>
  <si>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</si>
  <si>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</si>
  <si>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</si>
  <si>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</si>
  <si>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</si>
  <si>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</si>
  <si>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</si>
  <si>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</si>
  <si>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</si>
  <si>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</si>
  <si>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</si>
  <si>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</si>
  <si>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</si>
  <si>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</si>
  <si>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</si>
  <si>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</si>
  <si>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</si>
  <si>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</si>
  <si>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</si>
  <si>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</si>
  <si>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</si>
  <si>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</si>
  <si>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</si>
  <si>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</si>
  <si>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</si>
  <si>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</si>
  <si>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</si>
  <si>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</si>
  <si>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</si>
  <si>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</si>
  <si>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</si>
  <si>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</si>
  <si>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</si>
  <si>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</si>
  <si>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</si>
  <si>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</si>
  <si>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</si>
  <si>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</si>
  <si>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</si>
  <si>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</si>
  <si>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</si>
  <si>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</si>
  <si>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</si>
  <si>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</si>
  <si>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</si>
  <si>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</si>
  <si>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</si>
  <si>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</si>
  <si>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</si>
  <si>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</si>
  <si>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</si>
  <si>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</si>
  <si>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</si>
  <si>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</si>
  <si>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</si>
  <si>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</si>
  <si>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</si>
  <si>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</si>
  <si>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</si>
  <si>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</si>
  <si>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</si>
  <si>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</si>
  <si>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</si>
  <si>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</si>
  <si>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</si>
  <si>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</si>
  <si>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EBS 50% date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</si>
  <si>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</si>
  <si>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</si>
  <si>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</si>
  <si>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</si>
  <si>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</si>
  <si>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</si>
  <si>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</si>
  <si>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</si>
  <si>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</si>
  <si>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</si>
  <si>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</si>
  <si>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</si>
  <si>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</si>
  <si>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</si>
  <si>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</si>
  <si>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</si>
  <si>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</si>
  <si>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</si>
  <si>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</si>
  <si>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</si>
  <si>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</si>
  <si>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</si>
  <si>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</si>
  <si>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</si>
  <si>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</si>
  <si>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</si>
  <si>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</si>
  <si>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</si>
  <si>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</si>
  <si>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</si>
  <si>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</si>
  <si>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</si>
  <si>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</si>
  <si>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</si>
  <si>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</si>
  <si>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</si>
  <si>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</si>
  <si>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</si>
  <si>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</si>
  <si>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</si>
  <si>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</si>
  <si>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</si>
  <si>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</si>
  <si>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</si>
  <si>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</si>
  <si>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</si>
  <si>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</si>
  <si>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</si>
  <si>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</si>
  <si>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00000000F593AB5CD8A4614C8B1EC1E4C84EFB870100D67807C5E37E4B47A653892DF42F73BD00000000010D0000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</si>
  <si>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</si>
  <si>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\\weihsbach.c@outlook.com\Kalender</t>
  </si>
  <si>
    <t>Add DoEvents for long-running operations</t>
  </si>
  <si>
    <t>#000001</t>
  </si>
  <si>
    <t>#000002</t>
  </si>
  <si>
    <t>Day</t>
  </si>
  <si>
    <t>Created on</t>
  </si>
  <si>
    <t>In progress</t>
  </si>
  <si>
    <t>Done</t>
  </si>
  <si>
    <t>Note</t>
  </si>
  <si>
    <t>Continuous</t>
  </si>
  <si>
    <t>Meta</t>
  </si>
  <si>
    <t>Kanban list validation data is not managed dynamically</t>
  </si>
  <si>
    <t>Now?</t>
  </si>
  <si>
    <t>Template version</t>
  </si>
  <si>
    <t>v02</t>
  </si>
  <si>
    <t>&gt; Imports all visible task of 'Planning' sheet</t>
  </si>
  <si>
    <t>&gt; Imports all tasks which are contained in 'EXP_STOR_ …' sheet(s)</t>
  </si>
  <si>
    <t>Export/import</t>
  </si>
  <si>
    <t xml:space="preserve"> (imported)</t>
  </si>
  <si>
    <t>Testing/Review</t>
  </si>
  <si>
    <t>#1</t>
  </si>
  <si>
    <t>#2</t>
  </si>
  <si>
    <t>Einarbeitung</t>
  </si>
  <si>
    <t>Lagerbestände</t>
  </si>
  <si>
    <t>Diverse Fragen</t>
  </si>
  <si>
    <t>DV</t>
  </si>
  <si>
    <t>Eigengewicht</t>
  </si>
  <si>
    <t>Elektrische Prüfungen</t>
  </si>
  <si>
    <t>Erwärmungsprüfung</t>
  </si>
  <si>
    <t>Expertenbasierte Prüfung</t>
  </si>
  <si>
    <t>US-Anlage</t>
  </si>
  <si>
    <t>Formstabilität</t>
  </si>
  <si>
    <t>Überschüttprüfung</t>
  </si>
  <si>
    <t>Satrotec</t>
  </si>
  <si>
    <t>Medienbeständigkeit</t>
  </si>
  <si>
    <t>VV</t>
  </si>
  <si>
    <t>Lastenhefte</t>
  </si>
  <si>
    <t>Instrumentenerkennung</t>
  </si>
  <si>
    <t>Maulteilrückentemperatur</t>
  </si>
  <si>
    <t>Instrumentenaufbau</t>
  </si>
  <si>
    <t>Muster</t>
  </si>
  <si>
    <t>Parmaco</t>
  </si>
  <si>
    <t>Messerschnittkraft</t>
  </si>
  <si>
    <t>K-FMEA</t>
  </si>
  <si>
    <t>Weiterbildung</t>
  </si>
  <si>
    <t>Schaftrotation</t>
  </si>
  <si>
    <t>Stresstest</t>
  </si>
  <si>
    <t>Schweißnahtfestigkeit</t>
  </si>
  <si>
    <t>Elektroden</t>
  </si>
  <si>
    <t>Spannungsfestigkeit</t>
  </si>
  <si>
    <t>Widerstandsprüfung</t>
  </si>
  <si>
    <t>Umf. Funktionsprüfungen</t>
  </si>
  <si>
    <t>Risikoanalyse</t>
  </si>
  <si>
    <t>A-Matrix</t>
  </si>
  <si>
    <t>Familienbildung</t>
  </si>
  <si>
    <t>50er</t>
  </si>
  <si>
    <t>Artikel</t>
  </si>
  <si>
    <t>OKR</t>
  </si>
  <si>
    <t>60er</t>
  </si>
  <si>
    <t>Fallprüfung</t>
  </si>
  <si>
    <t>LeanDoc</t>
  </si>
  <si>
    <t>VBA</t>
  </si>
  <si>
    <t>80er</t>
  </si>
  <si>
    <t>Biegewechselprüfung</t>
  </si>
  <si>
    <t>mv;Sprint6</t>
  </si>
  <si>
    <t>40er</t>
  </si>
  <si>
    <t>Sprint6</t>
  </si>
  <si>
    <t>DocMigration</t>
  </si>
  <si>
    <t>Lernen</t>
  </si>
  <si>
    <t>Sprint8</t>
  </si>
  <si>
    <t>Sprint7</t>
  </si>
  <si>
    <t>Nacharbeit</t>
  </si>
  <si>
    <t>Planung</t>
  </si>
  <si>
    <t>Kiefer</t>
  </si>
  <si>
    <t>PPO</t>
  </si>
  <si>
    <t>Sprint 9</t>
  </si>
  <si>
    <t>Sprint 10</t>
  </si>
  <si>
    <t>Reihenfolge</t>
  </si>
  <si>
    <t>Tiso</t>
  </si>
  <si>
    <t>Sprint 11</t>
  </si>
  <si>
    <t>Sprint 12</t>
  </si>
  <si>
    <t>Sprint 14</t>
  </si>
  <si>
    <t>Sprint 17</t>
  </si>
  <si>
    <t>Sprint 13</t>
  </si>
  <si>
    <t>Produktion</t>
  </si>
  <si>
    <t>Sprint 18</t>
  </si>
  <si>
    <t>Sprint 19</t>
  </si>
  <si>
    <t>Carmen</t>
  </si>
  <si>
    <t>Label</t>
  </si>
  <si>
    <t>Prozess;Sprint 19</t>
  </si>
  <si>
    <t>Griffschalen</t>
  </si>
  <si>
    <t>Meta;Sprint 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</si>
</sst>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9" tint="-0.249977111117893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59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7" fillId="0" borderId="0" xfId="0" applyFont="1" applyFill="1" applyAlignment="1"/>
    <xf numFmtId="0" fontId="0" fillId="0" borderId="0" xfId="0" applyAlignment="1"/>
    <xf numFmtId="0" fontId="13" fillId="0" borderId="0" xfId="0" applyFont="1"/>
    <xf numFmtId="0" fontId="0" fillId="0" borderId="0" xfId="0" applyFill="1" applyAlignment="1"/>
    <xf numFmtId="0" fontId="6" fillId="0" borderId="0" xfId="1" applyFill="1" applyAlignment="1"/>
    <xf numFmtId="0" fontId="7" fillId="0" borderId="0" xfId="2" applyFont="1" applyFill="1" applyAlignment="1"/>
    <xf numFmtId="2" fontId="0" fillId="0" borderId="0" xfId="0" applyNumberFormat="1" applyFill="1" applyAlignment="1"/>
    <xf numFmtId="14" fontId="6" fillId="0" borderId="0" xfId="1" applyNumberFormat="1" applyFill="1" applyAlignment="1"/>
    <xf numFmtId="0" fontId="6" fillId="0" borderId="0" xfId="1" applyAlignment="1"/>
    <xf numFmtId="0" fontId="6" fillId="0" borderId="0" xfId="1" applyAlignment="1">
      <alignment vertical="center"/>
    </xf>
    <xf numFmtId="0" fontId="0" fillId="0" borderId="0" xfId="0" applyAlignment="1">
      <alignment vertical="center"/>
    </xf>
    <xf numFmtId="0" fontId="0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2" fontId="0" fillId="0" borderId="0" xfId="0" applyNumberFormat="1" applyFont="1" applyFill="1" applyAlignment="1">
      <alignment vertical="center"/>
    </xf>
    <xf numFmtId="22" fontId="0" fillId="0" borderId="0" xfId="0" applyNumberFormat="1" applyFill="1" applyAlignment="1"/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5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color rgb="FFFF6600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theme="4" tint="0.39994506668294322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b/>
        <i val="0"/>
        <color rgb="FF00B0F0"/>
      </font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</dxfs>
  <tableStyles count="0" defaultTableStyle="TableStyleMedium2" defaultPivotStyle="PivotStyleLight16"/>
  <colors>
    <mruColors>
      <color rgb="FFFF6600"/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3</xdr:row>
      <xdr:rowOff>190500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8</xdr:col>
      <xdr:colOff>285750</xdr:colOff>
      <xdr:row>3</xdr:row>
      <xdr:rowOff>190500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8</xdr:col>
      <xdr:colOff>285750</xdr:colOff>
      <xdr:row>3</xdr:row>
      <xdr:rowOff>190500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9</xdr:col>
      <xdr:colOff>0</xdr:colOff>
      <xdr:row>2</xdr:row>
      <xdr:rowOff>0</xdr:rowOff>
    </xdr:from>
    <xdr:to>
      <xdr:col>10</xdr:col>
      <xdr:colOff>752475</xdr:colOff>
      <xdr:row>3</xdr:row>
      <xdr:rowOff>190500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17</xdr:col>
      <xdr:colOff>0</xdr:colOff>
      <xdr:row>2</xdr:row>
      <xdr:rowOff>0</xdr:rowOff>
    </xdr:from>
    <xdr:to>
      <xdr:col>20</xdr:col>
      <xdr:colOff>571500</xdr:colOff>
      <xdr:row>3</xdr:row>
      <xdr:rowOff>190500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1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85725</xdr:rowOff>
        </xdr:from>
        <xdr:to>
          <xdr:col>2</xdr:col>
          <xdr:colOff>257175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1200150</xdr:colOff>
          <xdr:row>0</xdr:row>
          <xdr:rowOff>85725</xdr:rowOff>
        </xdr:from>
        <xdr:to>
          <xdr:col>7</xdr:col>
          <xdr:colOff>0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2124075</xdr:colOff>
          <xdr:row>0</xdr:row>
          <xdr:rowOff>352425</xdr:rowOff>
        </xdr:from>
        <xdr:to>
          <xdr:col>4</xdr:col>
          <xdr:colOff>1152525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2124075</xdr:colOff>
          <xdr:row>0</xdr:row>
          <xdr:rowOff>85725</xdr:rowOff>
        </xdr:from>
        <xdr:to>
          <xdr:col>4</xdr:col>
          <xdr:colOff>1152525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0</xdr:row>
          <xdr:rowOff>561975</xdr:rowOff>
        </xdr:from>
        <xdr:to>
          <xdr:col>2</xdr:col>
          <xdr:colOff>1781175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352425</xdr:colOff>
          <xdr:row>0</xdr:row>
          <xdr:rowOff>85725</xdr:rowOff>
        </xdr:from>
        <xdr:to>
          <xdr:col>2</xdr:col>
          <xdr:colOff>1790700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38100</xdr:colOff>
          <xdr:row>0</xdr:row>
          <xdr:rowOff>76200</xdr:rowOff>
        </xdr:from>
        <xdr:to>
          <xdr:col>9</xdr:col>
          <xdr:colOff>142875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38100</xdr:colOff>
          <xdr:row>0</xdr:row>
          <xdr:rowOff>333375</xdr:rowOff>
        </xdr:from>
        <xdr:to>
          <xdr:col>9</xdr:col>
          <xdr:colOff>142875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200025</xdr:colOff>
          <xdr:row>0</xdr:row>
          <xdr:rowOff>66675</xdr:rowOff>
        </xdr:from>
        <xdr:to>
          <xdr:col>11</xdr:col>
          <xdr:colOff>47625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200025</xdr:colOff>
          <xdr:row>0</xdr:row>
          <xdr:rowOff>333375</xdr:rowOff>
        </xdr:from>
        <xdr:to>
          <xdr:col>11</xdr:col>
          <xdr:colOff>47625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1200150</xdr:colOff>
          <xdr:row>0</xdr:row>
          <xdr:rowOff>352425</xdr:rowOff>
        </xdr:from>
        <xdr:to>
          <xdr:col>7</xdr:col>
          <xdr:colOff>0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38100</xdr:colOff>
          <xdr:row>0</xdr:row>
          <xdr:rowOff>590550</xdr:rowOff>
        </xdr:from>
        <xdr:to>
          <xdr:col>9</xdr:col>
          <xdr:colOff>142875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209550</xdr:colOff>
          <xdr:row>0</xdr:row>
          <xdr:rowOff>590550</xdr:rowOff>
        </xdr:from>
        <xdr:to>
          <xdr:col>11</xdr:col>
          <xdr:colOff>57150</xdr:colOff>
          <xdr:row>0</xdr:row>
          <xdr:rowOff>809625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list format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2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3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3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0</xdr:rowOff>
        </xdr:from>
        <xdr:to>
          <xdr:col>0</xdr:col>
          <xdr:colOff>1638300</xdr:colOff>
          <xdr:row>21</xdr:row>
          <xdr:rowOff>19050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3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21</xdr:row>
          <xdr:rowOff>190500</xdr:rowOff>
        </xdr:from>
        <xdr:to>
          <xdr:col>0</xdr:col>
          <xdr:colOff>1638300</xdr:colOff>
          <xdr:row>23</xdr:row>
          <xdr:rowOff>19050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3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4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15</xdr:row>
      <xdr:rowOff>0</xdr:rowOff>
    </xdr:from>
    <xdr:to>
      <xdr:col>9</xdr:col>
      <xdr:colOff>1304925</xdr:colOff>
      <xdr:row>17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15</xdr:row>
      <xdr:rowOff>0</xdr:rowOff>
    </xdr:from>
    <xdr:to>
      <xdr:col>12</xdr:col>
      <xdr:colOff>514350</xdr:colOff>
      <xdr:row>17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8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8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S4" insertRow="1" totalsRowShown="0" dataDxfId="15">
  <autoFilter ref="A3:S4" xr:uid="{520F3973-795E-47E6-97CD-1C1265CA838A}"/>
  <sortState xmlns:xlrd2="http://schemas.microsoft.com/office/spreadsheetml/2017/richdata2" ref="A4:S4">
    <sortCondition ref="R3:R4"/>
  </sortState>
  <tableColumns count="19">
    <tableColumn id="1" xr3:uid="{78BB2EF9-C626-4B0D-94B3-1781BE57C67F}" name="Task no." dataDxfId="34" dataCellStyle="Standard"/>
    <tableColumn id="3" xr3:uid="{3AD21368-826B-4507-A159-BE8BE5B02C1F}" name="Now?" dataDxfId="33" dataCellStyle="Spaltenebene_1"/>
    <tableColumn id="2" xr3:uid="{C139B307-7150-4838-B1FD-482AAB7B1208}" name="Task name" dataDxfId="32" dataCellStyle="Link"/>
    <tableColumn id="13" xr3:uid="{500C3031-A1C8-4FCF-AE88-FB2DB0E81277}" name="#1" dataDxfId="31" dataCellStyle="Link"/>
    <tableColumn id="18" xr3:uid="{3B298737-E571-4F23-9C71-2BC3C2385355}" name="Comment" dataDxfId="30" dataCellStyle="Link"/>
    <tableColumn id="7" xr3:uid="{5DC94B1C-A20E-47F8-8963-B0674A9C27B4}" name="#2" dataDxfId="29" dataCellStyle="Link"/>
    <tableColumn id="4" xr3:uid="{E2EAEAF6-33EC-4D8C-B42E-C249C36E3D3C}" name="%Tag 1" dataDxfId="28" dataCellStyle="Standard"/>
    <tableColumn id="5" xr3:uid="{1E4EAD98-8B30-4F09-AA64-D7613D00651F}" name="%Tag 2" dataDxfId="27" dataCellStyle="Standard"/>
    <tableColumn id="6" xr3:uid="{9E1E50BB-6DA2-47A1-BB20-8C9FAC4B0DB5}" name="%Tag 3" dataDxfId="26" dataCellStyle="Standard"/>
    <tableColumn id="10" xr3:uid="{85CEF83B-6217-49AE-8974-E4D5953E2637}" name="Kanban list" dataDxfId="25" dataCellStyle="Standard"/>
    <tableColumn id="11" xr3:uid="{E542542F-D34F-488A-95AF-76A724785E5A}" name="User time estimate" dataDxfId="24" dataCellStyle="Standard"/>
    <tableColumn id="12" xr3:uid="{7DA005F8-D924-4031-B65E-6C6F60E3212D}" name="Total time" dataDxfId="23" dataCellStyle="Standard"/>
    <tableColumn id="16" xr3:uid="{209AEE68-BDAE-4E8C-BCF6-6EEA4F9A7FDE}" name="Finished on" dataDxfId="22" dataCellStyle="Standard"/>
    <tableColumn id="8" xr3:uid="{727785B7-29B9-493D-A20B-C319B38E1DF3}" name="EBS 50% time" dataDxfId="21" dataCellStyle="Standard"/>
    <tableColumn id="9" xr3:uid="{B12BA9B8-3C81-408C-AFE4-25993FD8491D}" name="EBS 50% date" dataDxfId="20" dataCellStyle="Standard"/>
    <tableColumn id="20" xr3:uid="{DAE27A09-2EB0-4A47-A9F0-48ED802D8570}" name="Due date" dataDxfId="19" dataCellStyle="Spaltenebene_1"/>
    <tableColumn id="19" xr3:uid="{7A8CB495-6AE9-4A1E-AC5B-8B6487C84135}" name="Contributor" dataDxfId="18" dataCellStyle="Standard"/>
    <tableColumn id="17" xr3:uid="{EF767A93-0B38-4A66-A27B-92321C0E655C}" name="Priority" dataDxfId="17" dataCellStyle="Standard"/>
    <tableColumn id="15" xr3:uid="{2ADBC76B-EB88-4BCD-8956-7B4B22C5A3D4}" name="tHASH" dataDxfId="16" dataCellStyle="Standard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10" totalsRowShown="0" headerRowDxfId="55" dataDxfId="53" headerRowBorderDxfId="54">
  <autoFilter ref="A8:D10" xr:uid="{8E9EC0C1-7901-48B6-A59A-1CE6ABEE7A55}"/>
  <tableColumns count="4">
    <tableColumn id="1" xr3:uid="{58BB2187-C79D-4A1A-A9A3-DA2F074C476C}" name="Split entry no." dataDxfId="52"/>
    <tableColumn id="2" xr3:uid="{A755482D-FFF4-43D8-8021-1956CE3A7021}" name="Split start" dataDxfId="51"/>
    <tableColumn id="3" xr3:uid="{FE0A0B8D-1F8A-4CEC-9FB3-C945A45F99BF}" name="Split end" dataDxfId="50"/>
    <tableColumn id="4" xr3:uid="{5443222D-0CE3-4625-9EDB-D13B87B6C388}" name="Time spent" dataDxfId="49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48" dataCellStyle="Link"/>
    <tableColumn id="9" xr3:uid="{0037D127-E2BA-445A-BC63-1395BA3AC441}" name="Calendar ID" dataDxfId="47" dataCellStyle="Link"/>
    <tableColumn id="10" xr3:uid="{37CA3B7B-8FF0-4042-97C6-E23A79A74325}" name="Store ID"/>
    <tableColumn id="6" xr3:uid="{044D8005-25C5-4D31-940A-B6DE4C6B0EA5}" name="WorkingDays" dataDxfId="46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45"/>
    <tableColumn id="8" xr3:uid="{1177B0FB-46B2-406D-B988-C64E0ABA6972}" name="AppointmentOffsetHours" dataDxfId="44">
      <calculatedColumnFormula>5/60</calculatedColumnFormula>
    </tableColumn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6:G17" totalsRowShown="0">
  <autoFilter ref="A16:G17" xr:uid="{40D13D02-1E69-496D-8B92-B7ECCFB4FAB3}"/>
  <sortState xmlns:xlrd2="http://schemas.microsoft.com/office/spreadsheetml/2017/richdata2" ref="A17:E17">
    <sortCondition ref="A16:A17"/>
  </sortState>
  <tableColumns count="7">
    <tableColumn id="1" xr3:uid="{79398A77-C401-45B7-A5F3-FD95241DA46D}" name="Time entry no."/>
    <tableColumn id="2" xr3:uid="{B05CE561-2857-4C79-94B9-B743D40A6B9B}" name="Start time" dataDxfId="43"/>
    <tableColumn id="3" xr3:uid="{78DABF02-3853-48FF-81AD-5801C74BED1B}" name="End time" dataDxfId="42"/>
    <tableColumn id="4" xr3:uid="{76C994F9-216A-4848-9FB6-16BAF8B0EEEA}" name="Time delta in h" dataDxfId="41">
      <calculatedColumnFormula>MAX((TimeEntries[[#This Row],[End time]]-TimeEntries[[#This Row],[Start time]])*24,0)</calculatedColumnFormula>
    </tableColumn>
    <tableColumn id="5" xr3:uid="{7A34D70F-82B8-48DB-B5DE-37BA200663BE}" name="Now?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6:M17" totalsRowShown="0">
  <autoFilter ref="I16:M17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40"/>
    <tableColumn id="3" xr3:uid="{A62B365F-400F-45A4-B789-FE7B5FDBD312}" name="EBS self time" dataDxfId="39"/>
    <tableColumn id="4" xr3:uid="{37AD97D9-9420-42BC-9EA3-73C14A0A1F72}" name="Total time">
      <calculatedColumnFormula>SUM(TimeEntries[Time delta in h])</calculatedColumnFormula>
    </tableColumn>
    <tableColumn id="5" xr3:uid="{919307D5-98B8-47B0-ABAC-374A91F6BBB0}" name="Total time / Your estimate" dataDxfId="38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9DE6F50-645A-4D51-B8AA-31E75A2F7B98}" name="ListValidationData" displayName="ListValidationData" ref="A2:E44" totalsRowShown="0">
  <autoFilter ref="A2:E44" xr:uid="{E307EFAC-9512-4EE4-9C98-E3417903333C}"/>
  <tableColumns count="5">
    <tableColumn id="13" xr3:uid="{2F93A35B-ED03-4CB1-A5EB-1D38FCFE7427}" name="%Tag 3"/>
    <tableColumn id="12" xr3:uid="{1EB5A226-30C5-4857-8DB3-F13D56E21E85}" name="Contributor"/>
    <tableColumn id="11" xr3:uid="{6CF3B899-207D-4363-80DF-0E889F5FEB91}" name="%Tag 2"/>
    <tableColumn id="10" xr3:uid="{27B1F31E-A569-465C-8973-790F3FBACA90}" name="%Tag 1"/>
    <tableColumn id="14" xr3:uid="{39E6C17A-2F6F-45C5-A3EE-0136533697EC}" name="Kanban list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37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36"/>
    <tableColumn id="4" xr3:uid="{F9EDA55E-5206-49A7-A846-6A0B14C04CAF}" name="User time estimate" dataDxfId="35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weihsbach.c@outlook.com\Kalender" TargetMode="Externa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3.vml"/><Relationship Id="rId9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W11"/>
  <sheetViews>
    <sheetView tabSelected="1" zoomScaleNormal="100" workbookViewId="0">
      <selection activeCell="C18" sqref="C18"/>
    </sheetView>
  </sheetViews>
  <sheetFormatPr baseColWidth="10" defaultColWidth="11.42578125" defaultRowHeight="15" outlineLevelCol="1" x14ac:dyDescent="0.25"/>
  <cols>
    <col min="1" max="1" width="10.42578125" style="6" customWidth="1" outlineLevel="1"/>
    <col min="2" max="2" width="8.42578125" style="37" bestFit="1" customWidth="1"/>
    <col min="3" max="3" width="32.140625" style="9" customWidth="1"/>
    <col min="4" max="4" width="4" style="9" customWidth="1"/>
    <col min="5" max="5" width="25.7109375" style="9" customWidth="1"/>
    <col min="6" max="6" width="3.85546875" style="9" customWidth="1"/>
    <col min="7" max="7" width="10" customWidth="1"/>
    <col min="8" max="9" width="10" style="7" customWidth="1"/>
    <col min="10" max="10" width="13" style="7" bestFit="1" customWidth="1"/>
    <col min="11" max="12" width="20.42578125" style="10" bestFit="1" customWidth="1"/>
    <col min="13" max="13" width="21.5703125" style="6" customWidth="1" outlineLevel="1"/>
    <col min="14" max="14" width="15" style="10" customWidth="1" outlineLevel="1"/>
    <col min="15" max="15" width="15.7109375" style="10" customWidth="1" outlineLevel="1"/>
    <col min="16" max="16" width="15.7109375" style="37" customWidth="1"/>
    <col min="17" max="17" width="13.5703125" hidden="1" customWidth="1" outlineLevel="1"/>
    <col min="18" max="18" width="11.42578125" hidden="1" customWidth="1" outlineLevel="1"/>
    <col min="19" max="19" width="20.28515625" style="6" hidden="1" customWidth="1" outlineLevel="1"/>
    <col min="20" max="20" width="15.7109375" style="37" customWidth="1" collapsed="1"/>
    <col min="21" max="21" width="9.85546875" customWidth="1"/>
    <col min="22" max="22" width="15.85546875" customWidth="1"/>
    <col min="23" max="23" width="3.7109375" style="3" customWidth="1"/>
  </cols>
  <sheetData>
    <row r="1" spans="1:23" ht="65.25" customHeight="1" x14ac:dyDescent="0.25">
      <c r="A1" s="3"/>
      <c r="C1" s="8"/>
      <c r="D1" s="8"/>
      <c r="E1" s="8"/>
      <c r="F1" s="8"/>
      <c r="G1" s="18"/>
      <c r="H1" s="18"/>
      <c r="I1" s="18"/>
      <c r="J1" s="10"/>
      <c r="M1" s="3"/>
      <c r="Q1" s="3"/>
      <c r="R1" s="3"/>
      <c r="S1"/>
      <c r="W1"/>
    </row>
    <row r="2" spans="1:23" x14ac:dyDescent="0.25">
      <c r="A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36" t="s">
        <v>77</v>
      </c>
      <c r="O2" s="36" t="s">
        <v>77</v>
      </c>
      <c r="Q2" s="8"/>
      <c r="R2" s="8"/>
      <c r="S2" s="8"/>
      <c r="W2"/>
    </row>
    <row r="3" spans="1:23" s="50" customFormat="1" x14ac:dyDescent="0.25">
      <c r="A3" s="51" t="s">
        <v>11</v>
      </c>
      <c r="B3" s="49" t="s">
        <v>140</v>
      </c>
      <c r="C3" s="52" t="s">
        <v>3</v>
      </c>
      <c r="D3" s="52" t="s">
        <v>148</v>
      </c>
      <c r="E3" s="52" t="s">
        <v>2</v>
      </c>
      <c r="F3" s="52" t="s">
        <v>149</v>
      </c>
      <c r="G3" s="53" t="s">
        <v>21</v>
      </c>
      <c r="H3" s="53" t="s">
        <v>22</v>
      </c>
      <c r="I3" s="53" t="s">
        <v>23</v>
      </c>
      <c r="J3" s="54" t="s">
        <v>1</v>
      </c>
      <c r="K3" s="54" t="s">
        <v>78</v>
      </c>
      <c r="L3" s="55" t="s">
        <v>71</v>
      </c>
      <c r="M3" t="s">
        <v>15</v>
      </c>
      <c r="N3" s="7" t="s">
        <v>82</v>
      </c>
      <c r="O3" s="7" t="s">
        <v>76</v>
      </c>
      <c r="P3" s="49" t="s">
        <v>13</v>
      </c>
      <c r="Q3" s="6" t="s">
        <v>14</v>
      </c>
      <c r="R3" t="s">
        <v>12</v>
      </c>
      <c r="S3" t="s">
        <v>46</v>
      </c>
      <c r="T3" s="49"/>
    </row>
    <row r="4" spans="1:23" s="41" customFormat="1" ht="22.5" customHeight="1" x14ac:dyDescent="0.25">
      <c r="A4" s="43"/>
      <c r="B4" s="44"/>
      <c r="C4" s="45"/>
      <c r="D4" s="45"/>
      <c r="E4" s="45"/>
      <c r="F4" s="45"/>
      <c r="G4" s="40"/>
      <c r="H4" s="43"/>
      <c r="I4" s="43"/>
      <c r="J4" s="43"/>
      <c r="K4" s="46"/>
      <c r="L4" s="46"/>
      <c r="M4" s="43"/>
      <c r="N4" s="46"/>
      <c r="O4" s="56"/>
      <c r="P4" s="47"/>
      <c r="Q4" s="43"/>
      <c r="R4" s="43"/>
      <c r="S4" s="43"/>
      <c r="T4" s="48"/>
    </row>
    <row r="5" spans="1:23" x14ac:dyDescent="0.25">
      <c r="A5" s="38"/>
      <c r="B5" s="34"/>
      <c r="C5" s="22"/>
      <c r="D5" s="22"/>
      <c r="E5" s="22"/>
      <c r="F5" s="22"/>
      <c r="G5" s="23"/>
      <c r="H5" s="38"/>
      <c r="I5" s="38"/>
      <c r="J5" s="38"/>
      <c r="K5" s="39"/>
      <c r="L5" s="38"/>
      <c r="M5" s="38"/>
      <c r="N5" s="38"/>
      <c r="O5" s="38"/>
      <c r="P5" s="35"/>
      <c r="Q5" s="38"/>
      <c r="R5" s="38"/>
      <c r="S5" s="38"/>
    </row>
    <row r="6" spans="1:23" x14ac:dyDescent="0.25">
      <c r="A6" s="23"/>
      <c r="B6" s="34"/>
      <c r="C6" s="22"/>
      <c r="D6" s="22"/>
      <c r="E6" s="22" t="s">
        <v>112</v>
      </c>
      <c r="F6" s="22"/>
      <c r="H6" s="23"/>
      <c r="I6" s="23"/>
      <c r="J6" s="23"/>
      <c r="K6" s="23"/>
      <c r="L6" s="24"/>
      <c r="M6" s="23"/>
      <c r="N6" s="24"/>
      <c r="O6" s="24"/>
      <c r="P6" s="35"/>
      <c r="S6" s="23"/>
    </row>
    <row r="11" spans="1:23" x14ac:dyDescent="0.25">
      <c r="C11" s="11"/>
      <c r="D11" s="11"/>
    </row>
  </sheetData>
  <dataConsolidate/>
  <conditionalFormatting sqref="B4">
    <cfRule type="containsText" dxfId="14" priority="10" operator="containsText" text="&lt;now&gt;">
      <formula>NOT(ISERROR(SEARCH("&lt;now&gt;",B4)))</formula>
    </cfRule>
  </conditionalFormatting>
  <conditionalFormatting sqref="J4">
    <cfRule type="containsText" dxfId="13" priority="1" operator="containsText" text="Continuous">
      <formula>NOT(ISERROR(SEARCH("Continuous",J4)))</formula>
    </cfRule>
    <cfRule type="containsText" dxfId="12" priority="2" operator="containsText" text="Meta">
      <formula>NOT(ISERROR(SEARCH("Meta",J4)))</formula>
    </cfRule>
    <cfRule type="containsText" dxfId="11" priority="3" operator="containsText" text="Testing/Review">
      <formula>NOT(ISERROR(SEARCH("Testing/Review",J4)))</formula>
    </cfRule>
    <cfRule type="containsText" dxfId="10" priority="5" operator="containsText" text="Note">
      <formula>NOT(ISERROR(SEARCH("Note",J4)))</formula>
    </cfRule>
    <cfRule type="containsText" dxfId="9" priority="11" operator="containsText" text="Done">
      <formula>NOT(ISERROR(SEARCH("Done",J4)))</formula>
    </cfRule>
    <cfRule type="containsText" dxfId="8" priority="12" operator="containsText" text="In progress">
      <formula>NOT(ISERROR(SEARCH("In progress",J4)))</formula>
    </cfRule>
    <cfRule type="containsText" dxfId="7" priority="13" operator="containsText" text="To do">
      <formula>NOT(ISERROR(SEARCH("To do",J4)))</formula>
    </cfRule>
  </conditionalFormatting>
  <conditionalFormatting sqref="P4">
    <cfRule type="cellIs" dxfId="6" priority="4" operator="lessThan">
      <formula>TODAY()</formula>
    </cfRule>
  </conditionalFormatting>
  <conditionalFormatting sqref="R4">
    <cfRule type="colorScale" priority="3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7">
    <dataValidation type="list" allowBlank="1" showInputMessage="1" showErrorMessage="1" sqref="N2" xr:uid="{97887939-3BEB-4208-B392-81AF3EE745BF}">
      <formula1>"cumulative, single"</formula1>
    </dataValidation>
    <dataValidation type="list" allowBlank="1" showInputMessage="1" showErrorMessage="1" sqref="O2" xr:uid="{AE25932B-CEE6-4C5E-83FE-7FE3F6CE570D}">
      <formula1>"cumulative,single"</formula1>
    </dataValidation>
    <dataValidation type="list" allowBlank="1" showInputMessage="1" showErrorMessage="1" sqref="J4" xr:uid="{6C3476F0-112C-4267-BE3C-B2374FE0AF43}">
      <formula1>Kanban_listVdata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" xr:uid="{53FBB834-F5E7-4859-BC55-644F9821CAD8}">
      <formula1>_Tag_1Vdata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H4" xr:uid="{88544305-0C33-4060-8748-CD2B15FAA431}">
      <formula1>_Tag_2Vdata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I4" xr:uid="{9B1F551F-831A-4FC8-95CE-92F6F6BFB2E4}">
      <formula1>_Tag_3Vdata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Q4" xr:uid="{1AEAA930-D80B-47F2-9A11-30CFCF9B4F54}">
      <formula1>ContributorVdata</formula1>
    </dataValidation>
  </dataValidation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2</xdr:col>
                    <xdr:colOff>257175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1200150</xdr:colOff>
                    <xdr:row>0</xdr:row>
                    <xdr:rowOff>85725</xdr:rowOff>
                  </from>
                  <to>
                    <xdr:col>7</xdr:col>
                    <xdr:colOff>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2</xdr:col>
                    <xdr:colOff>2124075</xdr:colOff>
                    <xdr:row>0</xdr:row>
                    <xdr:rowOff>352425</xdr:rowOff>
                  </from>
                  <to>
                    <xdr:col>4</xdr:col>
                    <xdr:colOff>1152525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2</xdr:col>
                    <xdr:colOff>2124075</xdr:colOff>
                    <xdr:row>0</xdr:row>
                    <xdr:rowOff>85725</xdr:rowOff>
                  </from>
                  <to>
                    <xdr:col>4</xdr:col>
                    <xdr:colOff>1152525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342900</xdr:colOff>
                    <xdr:row>0</xdr:row>
                    <xdr:rowOff>561975</xdr:rowOff>
                  </from>
                  <to>
                    <xdr:col>2</xdr:col>
                    <xdr:colOff>1781175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352425</xdr:colOff>
                    <xdr:row>0</xdr:row>
                    <xdr:rowOff>85725</xdr:rowOff>
                  </from>
                  <to>
                    <xdr:col>2</xdr:col>
                    <xdr:colOff>1790700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7</xdr:col>
                    <xdr:colOff>38100</xdr:colOff>
                    <xdr:row>0</xdr:row>
                    <xdr:rowOff>76200</xdr:rowOff>
                  </from>
                  <to>
                    <xdr:col>9</xdr:col>
                    <xdr:colOff>142875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7</xdr:col>
                    <xdr:colOff>38100</xdr:colOff>
                    <xdr:row>0</xdr:row>
                    <xdr:rowOff>333375</xdr:rowOff>
                  </from>
                  <to>
                    <xdr:col>9</xdr:col>
                    <xdr:colOff>142875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9</xdr:col>
                    <xdr:colOff>200025</xdr:colOff>
                    <xdr:row>0</xdr:row>
                    <xdr:rowOff>66675</xdr:rowOff>
                  </from>
                  <to>
                    <xdr:col>11</xdr:col>
                    <xdr:colOff>47625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9</xdr:col>
                    <xdr:colOff>200025</xdr:colOff>
                    <xdr:row>0</xdr:row>
                    <xdr:rowOff>333375</xdr:rowOff>
                  </from>
                  <to>
                    <xdr:col>11</xdr:col>
                    <xdr:colOff>47625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1200150</xdr:colOff>
                    <xdr:row>0</xdr:row>
                    <xdr:rowOff>352425</xdr:rowOff>
                  </from>
                  <to>
                    <xdr:col>7</xdr:col>
                    <xdr:colOff>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7</xdr:col>
                    <xdr:colOff>38100</xdr:colOff>
                    <xdr:row>0</xdr:row>
                    <xdr:rowOff>590550</xdr:rowOff>
                  </from>
                  <to>
                    <xdr:col>9</xdr:col>
                    <xdr:colOff>142875</xdr:colOff>
                    <xdr:row>0</xdr:row>
                    <xdr:rowOff>809625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16" name="Button 966">
              <controlPr defaultSize="0" print="0" autoFill="0" autoPict="0" macro="[0]!Planning.UI_CollectTotalTimesSpent">
                <anchor>
                  <from>
                    <xdr:col>9</xdr:col>
                    <xdr:colOff>209550</xdr:colOff>
                    <xdr:row>0</xdr:row>
                    <xdr:rowOff>590550</xdr:rowOff>
                  </from>
                  <to>
                    <xdr:col>11</xdr:col>
                    <xdr:colOff>57150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10"/>
  <sheetViews>
    <sheetView workbookViewId="0">
      <selection activeCell="G18" sqref="G18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0" t="s">
        <v>104</v>
      </c>
    </row>
    <row r="2" spans="1:4" x14ac:dyDescent="0.25">
      <c r="A2" s="10"/>
    </row>
    <row r="3" spans="1:4" x14ac:dyDescent="0.25">
      <c r="A3" t="s">
        <v>105</v>
      </c>
      <c r="B3" s="29">
        <v>44072</v>
      </c>
      <c r="C3" s="27"/>
      <c r="D3" s="27"/>
    </row>
    <row r="4" spans="1:4" x14ac:dyDescent="0.25">
      <c r="A4" t="s">
        <v>106</v>
      </c>
      <c r="B4" s="29">
        <v>44073</v>
      </c>
      <c r="C4" s="27"/>
      <c r="D4" s="27"/>
    </row>
    <row r="5" spans="1:4" x14ac:dyDescent="0.25">
      <c r="A5" t="s">
        <v>107</v>
      </c>
      <c r="B5" s="26" t="s">
        <v>132</v>
      </c>
      <c r="C5" s="27"/>
      <c r="D5" s="27"/>
    </row>
    <row r="6" spans="1:4" ht="27" customHeight="1" x14ac:dyDescent="0.25"/>
    <row r="8" spans="1:4" ht="15.75" thickBot="1" x14ac:dyDescent="0.3">
      <c r="A8" s="28" t="s">
        <v>109</v>
      </c>
      <c r="B8" s="28" t="s">
        <v>103</v>
      </c>
      <c r="C8" s="33" t="s">
        <v>102</v>
      </c>
      <c r="D8" s="28" t="s">
        <v>108</v>
      </c>
    </row>
    <row r="9" spans="1:4" x14ac:dyDescent="0.25">
      <c r="A9" s="30" t="s">
        <v>130</v>
      </c>
      <c r="B9" s="31">
        <v>44072</v>
      </c>
      <c r="C9" s="31">
        <v>44073</v>
      </c>
      <c r="D9" s="32">
        <v>5.5555568542331501E-4</v>
      </c>
    </row>
    <row r="10" spans="1:4" x14ac:dyDescent="0.25">
      <c r="A10" s="30" t="s">
        <v>131</v>
      </c>
      <c r="B10" s="31">
        <v>44073</v>
      </c>
      <c r="C10" s="31">
        <v>44073</v>
      </c>
      <c r="D10" s="32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5"/>
  <sheetViews>
    <sheetView topLeftCell="A2" workbookViewId="0">
      <selection activeCell="E15" sqref="E15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4" t="s">
        <v>24</v>
      </c>
    </row>
    <row r="2" spans="1:10" x14ac:dyDescent="0.25">
      <c r="H2" s="25" t="s">
        <v>101</v>
      </c>
    </row>
    <row r="3" spans="1:10" x14ac:dyDescent="0.25">
      <c r="A3" t="s">
        <v>14</v>
      </c>
      <c r="B3" s="2" t="s">
        <v>60</v>
      </c>
      <c r="C3" s="2" t="s">
        <v>87</v>
      </c>
      <c r="D3" s="2" t="s">
        <v>88</v>
      </c>
      <c r="E3" s="2" t="s">
        <v>65</v>
      </c>
      <c r="F3" t="s">
        <v>62</v>
      </c>
      <c r="G3" t="s">
        <v>63</v>
      </c>
      <c r="H3" t="s">
        <v>61</v>
      </c>
      <c r="I3" t="s">
        <v>67</v>
      </c>
      <c r="J3" t="s">
        <v>66</v>
      </c>
    </row>
    <row r="4" spans="1:10" x14ac:dyDescent="0.25">
      <c r="A4" t="s">
        <v>18</v>
      </c>
      <c r="B4" s="12" t="s">
        <v>128</v>
      </c>
      <c r="C4" t="s">
        <v>126</v>
      </c>
      <c r="D4" t="s">
        <v>127</v>
      </c>
      <c r="E4" s="13" t="s">
        <v>83</v>
      </c>
      <c r="F4" s="13">
        <v>0.33333333333333331</v>
      </c>
      <c r="G4" s="13">
        <v>0.77083333333333337</v>
      </c>
      <c r="H4" t="s">
        <v>64</v>
      </c>
      <c r="I4" s="2">
        <v>0.25</v>
      </c>
      <c r="J4" s="2">
        <f>5/60</f>
        <v>8.3333333333333329E-2</v>
      </c>
    </row>
    <row r="5" spans="1:10" x14ac:dyDescent="0.25">
      <c r="B5" s="12"/>
      <c r="E5" s="13"/>
      <c r="F5" s="13"/>
      <c r="G5" s="13"/>
      <c r="I5" s="2"/>
      <c r="J5" s="2"/>
    </row>
    <row r="6" spans="1:10" x14ac:dyDescent="0.25">
      <c r="A6" t="s">
        <v>111</v>
      </c>
      <c r="B6" s="19" t="s">
        <v>110</v>
      </c>
      <c r="E6" s="13"/>
      <c r="F6" s="13"/>
      <c r="G6" s="13"/>
      <c r="I6" s="2"/>
      <c r="J6" s="2"/>
    </row>
    <row r="7" spans="1:10" x14ac:dyDescent="0.25">
      <c r="B7" s="5"/>
      <c r="C7" s="5"/>
      <c r="D7" s="5"/>
      <c r="E7" s="5"/>
    </row>
    <row r="8" spans="1:10" x14ac:dyDescent="0.25">
      <c r="A8" t="s">
        <v>79</v>
      </c>
      <c r="B8" s="19"/>
      <c r="C8" s="5"/>
      <c r="D8" s="5"/>
      <c r="E8" s="5"/>
    </row>
    <row r="9" spans="1:10" x14ac:dyDescent="0.25">
      <c r="A9" t="s">
        <v>80</v>
      </c>
      <c r="B9" s="21"/>
      <c r="C9" s="5"/>
      <c r="D9" s="5"/>
    </row>
    <row r="10" spans="1:10" x14ac:dyDescent="0.25">
      <c r="A10" t="s">
        <v>81</v>
      </c>
      <c r="B10" s="20"/>
      <c r="C10" s="5"/>
      <c r="D10" s="5"/>
      <c r="E10" s="5"/>
    </row>
    <row r="12" spans="1:10" x14ac:dyDescent="0.25">
      <c r="B12" t="s">
        <v>90</v>
      </c>
      <c r="C12" t="s">
        <v>126</v>
      </c>
    </row>
    <row r="13" spans="1:10" x14ac:dyDescent="0.25">
      <c r="B13" t="s">
        <v>89</v>
      </c>
      <c r="C13" t="s">
        <v>127</v>
      </c>
      <c r="D13" s="2"/>
      <c r="E13" s="2"/>
    </row>
    <row r="14" spans="1:10" x14ac:dyDescent="0.25">
      <c r="B14" s="2" t="s">
        <v>91</v>
      </c>
      <c r="C14" s="12" t="s">
        <v>128</v>
      </c>
    </row>
    <row r="17" spans="1:2" x14ac:dyDescent="0.25">
      <c r="A17" t="s">
        <v>84</v>
      </c>
    </row>
    <row r="19" spans="1:2" x14ac:dyDescent="0.25">
      <c r="A19" s="10" t="s">
        <v>145</v>
      </c>
    </row>
    <row r="20" spans="1:2" x14ac:dyDescent="0.25">
      <c r="A20" s="10"/>
    </row>
    <row r="21" spans="1:2" x14ac:dyDescent="0.25">
      <c r="B21" t="s">
        <v>143</v>
      </c>
    </row>
    <row r="23" spans="1:2" x14ac:dyDescent="0.25">
      <c r="B23" t="s">
        <v>144</v>
      </c>
    </row>
    <row r="25" spans="1:2" x14ac:dyDescent="0.25">
      <c r="A25" t="s">
        <v>113</v>
      </c>
      <c r="B25" s="19" t="s">
        <v>146</v>
      </c>
    </row>
  </sheetData>
  <hyperlinks>
    <hyperlink ref="A1" location="Planning!A1" display="Go back to 'Planning' sheet" xr:uid="{D2DA156D-5AF1-4194-A684-BD3896B6772A}"/>
    <hyperlink ref="B4" r:id="rId1" xr:uid="{58247CD5-8FD4-4866-8749-0EEFFDE9E7EA}"/>
  </hyperlinks>
  <pageMargins left="0.7" right="0.7" top="0.78740157499999996" bottom="0.78740157499999996" header="0.3" footer="0.3"/>
  <pageSetup paperSize="9" orientation="portrait" horizontalDpi="300" verticalDpi="0" copies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5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6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7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20</xdr:row>
                    <xdr:rowOff>0</xdr:rowOff>
                  </from>
                  <to>
                    <xdr:col>0</xdr:col>
                    <xdr:colOff>1638300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8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21</xdr:row>
                    <xdr:rowOff>190500</xdr:rowOff>
                  </from>
                  <to>
                    <xdr:col>0</xdr:col>
                    <xdr:colOff>1638300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A2" sqref="A2"/>
    </sheetView>
  </sheetViews>
  <sheetFormatPr baseColWidth="10" defaultRowHeight="15" x14ac:dyDescent="0.25"/>
  <cols>
    <col min="1" max="1" width="14.42578125" bestFit="1" customWidth="1"/>
    <col min="2" max="2" width="15.7109375" bestFit="1" customWidth="1"/>
    <col min="3" max="3" width="60.7109375" customWidth="1"/>
    <col min="4" max="4" width="28.7109375" customWidth="1"/>
    <col min="5" max="5" width="10.5703125" bestFit="1" customWidth="1"/>
  </cols>
  <sheetData>
    <row r="3" spans="1:5" x14ac:dyDescent="0.25">
      <c r="A3" t="s">
        <v>114</v>
      </c>
      <c r="B3" t="s">
        <v>117</v>
      </c>
      <c r="C3" t="s">
        <v>115</v>
      </c>
      <c r="D3" t="s">
        <v>118</v>
      </c>
      <c r="E3" t="s">
        <v>116</v>
      </c>
    </row>
    <row r="4" spans="1:5" x14ac:dyDescent="0.25">
      <c r="B4" s="1"/>
    </row>
  </sheetData>
  <conditionalFormatting sqref="E4">
    <cfRule type="containsText" dxfId="5" priority="1" operator="containsText" text="Verbose">
      <formula>NOT(ISERROR(SEARCH("Verbose",E4)))</formula>
    </cfRule>
    <cfRule type="containsText" dxfId="4" priority="2" operator="containsText" text="Info">
      <formula>NOT(ISERROR(SEARCH("Info",E4)))</formula>
    </cfRule>
    <cfRule type="containsText" dxfId="3" priority="3" operator="containsText" text="Warning">
      <formula>NOT(ISERROR(SEARCH("Warning",E4)))</formula>
    </cfRule>
    <cfRule type="containsText" dxfId="2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8"/>
  <sheetViews>
    <sheetView workbookViewId="0">
      <selection activeCell="I5" sqref="I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24</v>
      </c>
      <c r="I1" t="s">
        <v>141</v>
      </c>
      <c r="J1" t="s">
        <v>142</v>
      </c>
    </row>
    <row r="2" spans="1:13" x14ac:dyDescent="0.25">
      <c r="A2" t="s">
        <v>3</v>
      </c>
      <c r="B2" t="s">
        <v>93</v>
      </c>
    </row>
    <row r="3" spans="1:13" x14ac:dyDescent="0.25">
      <c r="A3" t="s">
        <v>78</v>
      </c>
      <c r="B3" s="2" t="s">
        <v>93</v>
      </c>
      <c r="C3" t="s">
        <v>4</v>
      </c>
    </row>
    <row r="4" spans="1:13" x14ac:dyDescent="0.25">
      <c r="A4" t="s">
        <v>0</v>
      </c>
      <c r="B4" s="2">
        <f>SUM(TimeEntries[Time delta in h])</f>
        <v>0</v>
      </c>
      <c r="C4" t="s">
        <v>4</v>
      </c>
    </row>
    <row r="5" spans="1:13" x14ac:dyDescent="0.25">
      <c r="A5" t="s">
        <v>13</v>
      </c>
      <c r="B5" s="5" t="s">
        <v>93</v>
      </c>
    </row>
    <row r="6" spans="1:13" x14ac:dyDescent="0.25">
      <c r="A6" t="s">
        <v>14</v>
      </c>
      <c r="B6" s="5" t="s">
        <v>18</v>
      </c>
    </row>
    <row r="7" spans="1:13" x14ac:dyDescent="0.25">
      <c r="A7" t="s">
        <v>1</v>
      </c>
      <c r="B7" t="s">
        <v>92</v>
      </c>
    </row>
    <row r="8" spans="1:13" x14ac:dyDescent="0.25">
      <c r="A8" t="s">
        <v>15</v>
      </c>
      <c r="B8" s="5" t="s">
        <v>93</v>
      </c>
    </row>
    <row r="9" spans="1:13" x14ac:dyDescent="0.25">
      <c r="A9" t="s">
        <v>2</v>
      </c>
    </row>
    <row r="10" spans="1:13" x14ac:dyDescent="0.25">
      <c r="A10" t="s">
        <v>46</v>
      </c>
      <c r="B10" t="s">
        <v>93</v>
      </c>
    </row>
    <row r="11" spans="1:13" x14ac:dyDescent="0.25">
      <c r="A11" t="s">
        <v>5</v>
      </c>
      <c r="B11" s="2" t="e">
        <f>B3/SUM(TimeEntries[Time delta in h])</f>
        <v>#VALUE!</v>
      </c>
      <c r="C11" t="s">
        <v>6</v>
      </c>
    </row>
    <row r="12" spans="1:13" x14ac:dyDescent="0.25">
      <c r="A12" t="s">
        <v>94</v>
      </c>
    </row>
    <row r="13" spans="1:13" x14ac:dyDescent="0.25">
      <c r="A13" t="s">
        <v>95</v>
      </c>
    </row>
    <row r="14" spans="1:13" x14ac:dyDescent="0.25">
      <c r="A14" t="s">
        <v>133</v>
      </c>
      <c r="B14" t="s">
        <v>93</v>
      </c>
    </row>
    <row r="16" spans="1:13" x14ac:dyDescent="0.25">
      <c r="A16" t="s">
        <v>10</v>
      </c>
      <c r="B16" t="s">
        <v>7</v>
      </c>
      <c r="C16" t="s">
        <v>8</v>
      </c>
      <c r="D16" t="s">
        <v>9</v>
      </c>
      <c r="E16" t="s">
        <v>140</v>
      </c>
      <c r="F16" t="s">
        <v>85</v>
      </c>
      <c r="G16" t="s">
        <v>86</v>
      </c>
      <c r="I16" t="s">
        <v>70</v>
      </c>
      <c r="J16" s="15" t="s">
        <v>68</v>
      </c>
      <c r="K16" s="2" t="s">
        <v>69</v>
      </c>
      <c r="L16" t="s">
        <v>71</v>
      </c>
      <c r="M16" t="s">
        <v>72</v>
      </c>
    </row>
    <row r="17" spans="2:13" x14ac:dyDescent="0.25">
      <c r="B17" s="1"/>
      <c r="C17" s="1"/>
      <c r="D17" s="2">
        <f>MAX((TimeEntries[[#This Row],[End time]]-TimeEntries[[#This Row],[Start time]])*24,0)</f>
        <v>0</v>
      </c>
      <c r="J17" s="15"/>
      <c r="K17" s="2"/>
      <c r="L17" s="2">
        <f>SUM(TimeEntries[Time delta in h])</f>
        <v>0</v>
      </c>
      <c r="M17" s="16" t="e">
        <f>Tabelle7367[[#This Row],[EBS self time]]/Tabelle7367[[#This Row],[Total time]]</f>
        <v>#DIV/0!</v>
      </c>
    </row>
    <row r="18" spans="2:13" x14ac:dyDescent="0.25">
      <c r="B18" s="1"/>
      <c r="C18" s="1"/>
      <c r="D18" s="2"/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9"/>
  <sheetViews>
    <sheetView topLeftCell="A8" workbookViewId="0">
      <selection activeCell="F31" sqref="F31"/>
    </sheetView>
  </sheetViews>
  <sheetFormatPr baseColWidth="10" defaultColWidth="11.42578125" defaultRowHeight="15" x14ac:dyDescent="0.25"/>
  <sheetData>
    <row r="1" spans="1:2" x14ac:dyDescent="0.25">
      <c r="A1" s="10" t="s">
        <v>33</v>
      </c>
    </row>
    <row r="2" spans="1:2" x14ac:dyDescent="0.25">
      <c r="A2" t="s">
        <v>19</v>
      </c>
    </row>
    <row r="3" spans="1:2" x14ac:dyDescent="0.25">
      <c r="A3" t="s">
        <v>20</v>
      </c>
    </row>
    <row r="8" spans="1:2" x14ac:dyDescent="0.25">
      <c r="A8" s="10" t="s">
        <v>119</v>
      </c>
    </row>
    <row r="9" spans="1:2" x14ac:dyDescent="0.25">
      <c r="A9" s="6" t="s">
        <v>28</v>
      </c>
    </row>
    <row r="10" spans="1:2" x14ac:dyDescent="0.25">
      <c r="B10" t="s">
        <v>120</v>
      </c>
    </row>
    <row r="11" spans="1:2" x14ac:dyDescent="0.25">
      <c r="B11" t="s">
        <v>121</v>
      </c>
    </row>
    <row r="12" spans="1:2" x14ac:dyDescent="0.25">
      <c r="B12" t="s">
        <v>124</v>
      </c>
    </row>
    <row r="13" spans="1:2" x14ac:dyDescent="0.25">
      <c r="B13" t="s">
        <v>129</v>
      </c>
    </row>
    <row r="14" spans="1:2" x14ac:dyDescent="0.25">
      <c r="A14" t="s">
        <v>31</v>
      </c>
    </row>
    <row r="15" spans="1:2" x14ac:dyDescent="0.25">
      <c r="B15" t="s">
        <v>125</v>
      </c>
    </row>
    <row r="16" spans="1:2" x14ac:dyDescent="0.25">
      <c r="A16" s="10" t="s">
        <v>122</v>
      </c>
    </row>
    <row r="17" spans="1:3" x14ac:dyDescent="0.25">
      <c r="B17" t="s">
        <v>123</v>
      </c>
    </row>
    <row r="18" spans="1:3" x14ac:dyDescent="0.25">
      <c r="A18" s="10" t="s">
        <v>96</v>
      </c>
      <c r="B18" s="10"/>
    </row>
    <row r="19" spans="1:3" x14ac:dyDescent="0.25">
      <c r="B19" t="s">
        <v>100</v>
      </c>
    </row>
    <row r="20" spans="1:3" x14ac:dyDescent="0.25">
      <c r="B20" t="s">
        <v>97</v>
      </c>
    </row>
    <row r="21" spans="1:3" x14ac:dyDescent="0.25">
      <c r="B21" t="s">
        <v>98</v>
      </c>
    </row>
    <row r="22" spans="1:3" x14ac:dyDescent="0.25">
      <c r="B22" t="s">
        <v>99</v>
      </c>
    </row>
    <row r="23" spans="1:3" x14ac:dyDescent="0.25">
      <c r="A23" s="10" t="s">
        <v>56</v>
      </c>
    </row>
    <row r="24" spans="1:3" x14ac:dyDescent="0.25">
      <c r="B24" t="s">
        <v>57</v>
      </c>
    </row>
    <row r="25" spans="1:3" x14ac:dyDescent="0.25">
      <c r="A25" s="10" t="s">
        <v>50</v>
      </c>
    </row>
    <row r="26" spans="1:3" x14ac:dyDescent="0.25">
      <c r="B26" t="s">
        <v>51</v>
      </c>
    </row>
    <row r="27" spans="1:3" x14ac:dyDescent="0.25">
      <c r="C27" t="s">
        <v>52</v>
      </c>
    </row>
    <row r="28" spans="1:3" x14ac:dyDescent="0.25">
      <c r="C28" t="s">
        <v>54</v>
      </c>
    </row>
    <row r="29" spans="1:3" x14ac:dyDescent="0.25">
      <c r="B29" t="s">
        <v>55</v>
      </c>
    </row>
    <row r="30" spans="1:3" x14ac:dyDescent="0.25">
      <c r="B30" t="s">
        <v>53</v>
      </c>
    </row>
    <row r="31" spans="1:3" x14ac:dyDescent="0.25">
      <c r="A31" s="10" t="s">
        <v>45</v>
      </c>
    </row>
    <row r="32" spans="1:3" x14ac:dyDescent="0.25">
      <c r="A32" t="s">
        <v>28</v>
      </c>
    </row>
    <row r="33" spans="1:2" x14ac:dyDescent="0.25">
      <c r="B33" t="s">
        <v>44</v>
      </c>
    </row>
    <row r="34" spans="1:2" x14ac:dyDescent="0.25">
      <c r="A34" s="10" t="s">
        <v>27</v>
      </c>
    </row>
    <row r="35" spans="1:2" x14ac:dyDescent="0.25">
      <c r="A35" t="s">
        <v>28</v>
      </c>
    </row>
    <row r="36" spans="1:2" x14ac:dyDescent="0.25">
      <c r="B36" t="s">
        <v>29</v>
      </c>
    </row>
    <row r="37" spans="1:2" x14ac:dyDescent="0.25">
      <c r="B37" t="s">
        <v>30</v>
      </c>
    </row>
    <row r="38" spans="1:2" x14ac:dyDescent="0.25">
      <c r="A38" t="s">
        <v>31</v>
      </c>
    </row>
    <row r="39" spans="1:2" x14ac:dyDescent="0.25">
      <c r="B39" t="s">
        <v>32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31491-6CA8-4FBC-AF81-E4F60A86083F}">
  <sheetPr codeName="ListValidationData"/>
  <dimension ref="A1:E44"/>
  <sheetViews>
    <sheetView workbookViewId="0">
      <selection activeCell="B13" sqref="B13"/>
    </sheetView>
  </sheetViews>
  <sheetFormatPr baseColWidth="10" defaultRowHeight="15" x14ac:dyDescent="0.25"/>
  <sheetData>
    <row r="1" spans="1:5" x14ac:dyDescent="0.25">
      <c r="E1" s="42" t="s">
        <v>139</v>
      </c>
    </row>
    <row r="2" spans="1:5" x14ac:dyDescent="0.25">
      <c r="A2" t="s">
        <v>23</v>
      </c>
      <c r="B2" t="s">
        <v>14</v>
      </c>
      <c r="C2" t="s">
        <v>22</v>
      </c>
      <c r="D2" t="s">
        <v>21</v>
      </c>
      <c r="E2" t="s">
        <v>1</v>
      </c>
    </row>
    <row r="3" spans="1:5" x14ac:dyDescent="0.25">
      <c r="A3" t="s">
        <v>214</v>
      </c>
      <c r="B3" t="s">
        <v>18</v>
      </c>
      <c r="C3" t="s">
        <v>171</v>
      </c>
      <c r="D3" t="s">
        <v>191</v>
      </c>
      <c r="E3" t="s">
        <v>136</v>
      </c>
    </row>
    <row r="4" spans="1:5" x14ac:dyDescent="0.25">
      <c r="A4" t="s">
        <v>138</v>
      </c>
      <c r="C4" t="s">
        <v>153</v>
      </c>
      <c r="D4" t="s">
        <v>193</v>
      </c>
      <c r="E4" t="s">
        <v>92</v>
      </c>
    </row>
    <row r="5" spans="1:5" x14ac:dyDescent="0.25">
      <c r="A5" t="s">
        <v>172</v>
      </c>
      <c r="C5" t="s">
        <v>196</v>
      </c>
      <c r="D5" t="s">
        <v>190</v>
      </c>
      <c r="E5" t="s">
        <v>134</v>
      </c>
    </row>
    <row r="6" spans="1:5" x14ac:dyDescent="0.25">
      <c r="A6" t="s">
        <v>217</v>
      </c>
      <c r="C6" t="s">
        <v>184</v>
      </c>
      <c r="D6" t="s">
        <v>166</v>
      </c>
      <c r="E6" t="s">
        <v>147</v>
      </c>
    </row>
    <row r="7" spans="1:5" x14ac:dyDescent="0.25">
      <c r="A7" t="s">
        <v>219</v>
      </c>
      <c r="C7" t="s">
        <v>188</v>
      </c>
      <c r="D7" t="s">
        <v>212</v>
      </c>
      <c r="E7" t="s">
        <v>135</v>
      </c>
    </row>
    <row r="8" spans="1:5" x14ac:dyDescent="0.25">
      <c r="A8" t="s">
        <v>213</v>
      </c>
      <c r="C8" t="s">
        <v>216</v>
      </c>
      <c r="D8" t="s">
        <v>215</v>
      </c>
      <c r="E8" t="s">
        <v>138</v>
      </c>
    </row>
    <row r="9" spans="1:5" x14ac:dyDescent="0.25">
      <c r="A9" t="s">
        <v>210</v>
      </c>
      <c r="C9" t="s">
        <v>185</v>
      </c>
      <c r="D9" t="s">
        <v>199</v>
      </c>
      <c r="E9" t="s">
        <v>137</v>
      </c>
    </row>
    <row r="10" spans="1:5" x14ac:dyDescent="0.25">
      <c r="A10" t="s">
        <v>211</v>
      </c>
      <c r="C10" t="s">
        <v>163</v>
      </c>
      <c r="D10" t="s">
        <v>218</v>
      </c>
    </row>
    <row r="11" spans="1:5" x14ac:dyDescent="0.25">
      <c r="A11" t="s">
        <v>209</v>
      </c>
      <c r="C11" t="s">
        <v>181</v>
      </c>
      <c r="D11" t="s">
        <v>183</v>
      </c>
    </row>
    <row r="12" spans="1:5" x14ac:dyDescent="0.25">
      <c r="A12" t="s">
        <v>208</v>
      </c>
      <c r="C12" t="s">
        <v>161</v>
      </c>
      <c r="D12" t="s">
        <v>152</v>
      </c>
    </row>
    <row r="13" spans="1:5" x14ac:dyDescent="0.25">
      <c r="A13" t="s">
        <v>207</v>
      </c>
      <c r="C13" t="s">
        <v>169</v>
      </c>
      <c r="D13" t="s">
        <v>178</v>
      </c>
    </row>
    <row r="14" spans="1:5" x14ac:dyDescent="0.25">
      <c r="A14" t="s">
        <v>206</v>
      </c>
      <c r="C14" t="s">
        <v>168</v>
      </c>
      <c r="D14" t="s">
        <v>206</v>
      </c>
    </row>
    <row r="15" spans="1:5" x14ac:dyDescent="0.25">
      <c r="A15" t="s">
        <v>204</v>
      </c>
      <c r="D15" t="s">
        <v>205</v>
      </c>
    </row>
    <row r="16" spans="1:5" x14ac:dyDescent="0.25">
      <c r="A16" t="s">
        <v>203</v>
      </c>
      <c r="D16" t="s">
        <v>151</v>
      </c>
    </row>
    <row r="17" spans="1:4" x14ac:dyDescent="0.25">
      <c r="A17" t="s">
        <v>189</v>
      </c>
      <c r="D17" t="s">
        <v>202</v>
      </c>
    </row>
    <row r="18" spans="1:4" x14ac:dyDescent="0.25">
      <c r="A18" t="s">
        <v>197</v>
      </c>
      <c r="D18" t="s">
        <v>201</v>
      </c>
    </row>
    <row r="19" spans="1:4" x14ac:dyDescent="0.25">
      <c r="A19" t="s">
        <v>198</v>
      </c>
      <c r="D19" t="s">
        <v>200</v>
      </c>
    </row>
    <row r="20" spans="1:4" x14ac:dyDescent="0.25">
      <c r="A20" t="s">
        <v>194</v>
      </c>
      <c r="D20" t="s">
        <v>195</v>
      </c>
    </row>
    <row r="21" spans="1:4" x14ac:dyDescent="0.25">
      <c r="A21" t="s">
        <v>192</v>
      </c>
      <c r="D21" t="s">
        <v>162</v>
      </c>
    </row>
    <row r="22" spans="1:4" x14ac:dyDescent="0.25">
      <c r="A22" t="s">
        <v>150</v>
      </c>
      <c r="D22" t="s">
        <v>186</v>
      </c>
    </row>
    <row r="23" spans="1:4" x14ac:dyDescent="0.25">
      <c r="A23" t="s">
        <v>161</v>
      </c>
      <c r="D23" t="s">
        <v>187</v>
      </c>
    </row>
    <row r="24" spans="1:4" x14ac:dyDescent="0.25">
      <c r="D24" t="s">
        <v>185</v>
      </c>
    </row>
    <row r="25" spans="1:4" x14ac:dyDescent="0.25">
      <c r="D25" t="s">
        <v>182</v>
      </c>
    </row>
    <row r="26" spans="1:4" x14ac:dyDescent="0.25">
      <c r="D26" t="s">
        <v>180</v>
      </c>
    </row>
    <row r="27" spans="1:4" x14ac:dyDescent="0.25">
      <c r="D27" t="s">
        <v>179</v>
      </c>
    </row>
    <row r="28" spans="1:4" x14ac:dyDescent="0.25">
      <c r="D28" t="s">
        <v>160</v>
      </c>
    </row>
    <row r="29" spans="1:4" x14ac:dyDescent="0.25">
      <c r="D29" t="s">
        <v>177</v>
      </c>
    </row>
    <row r="30" spans="1:4" x14ac:dyDescent="0.25">
      <c r="D30" t="s">
        <v>175</v>
      </c>
    </row>
    <row r="31" spans="1:4" x14ac:dyDescent="0.25">
      <c r="D31" t="s">
        <v>176</v>
      </c>
    </row>
    <row r="32" spans="1:4" x14ac:dyDescent="0.25">
      <c r="D32" t="s">
        <v>156</v>
      </c>
    </row>
    <row r="33" spans="4:4" x14ac:dyDescent="0.25">
      <c r="D33" t="s">
        <v>174</v>
      </c>
    </row>
    <row r="34" spans="4:4" x14ac:dyDescent="0.25">
      <c r="D34" t="s">
        <v>173</v>
      </c>
    </row>
    <row r="35" spans="4:4" x14ac:dyDescent="0.25">
      <c r="D35" t="s">
        <v>170</v>
      </c>
    </row>
    <row r="36" spans="4:4" x14ac:dyDescent="0.25">
      <c r="D36" t="s">
        <v>164</v>
      </c>
    </row>
    <row r="37" spans="4:4" x14ac:dyDescent="0.25">
      <c r="D37" t="s">
        <v>167</v>
      </c>
    </row>
    <row r="38" spans="4:4" x14ac:dyDescent="0.25">
      <c r="D38" t="s">
        <v>165</v>
      </c>
    </row>
    <row r="39" spans="4:4" x14ac:dyDescent="0.25">
      <c r="D39" t="s">
        <v>159</v>
      </c>
    </row>
    <row r="40" spans="4:4" x14ac:dyDescent="0.25">
      <c r="D40" t="s">
        <v>158</v>
      </c>
    </row>
    <row r="41" spans="4:4" x14ac:dyDescent="0.25">
      <c r="D41" t="s">
        <v>157</v>
      </c>
    </row>
    <row r="42" spans="4:4" x14ac:dyDescent="0.25">
      <c r="D42" t="s">
        <v>155</v>
      </c>
    </row>
    <row r="43" spans="4:4" x14ac:dyDescent="0.25">
      <c r="D43" t="s">
        <v>154</v>
      </c>
    </row>
    <row r="44" spans="4:4" x14ac:dyDescent="0.25">
      <c r="D44" t="s">
        <v>150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74</v>
      </c>
      <c r="F15" s="57" t="s">
        <v>75</v>
      </c>
      <c r="G15" s="58"/>
      <c r="H15" s="58"/>
    </row>
    <row r="16" spans="5:8" x14ac:dyDescent="0.25">
      <c r="E16" s="14" t="s">
        <v>73</v>
      </c>
      <c r="F16" s="57" t="s">
        <v>36</v>
      </c>
      <c r="G16" s="58"/>
      <c r="H16" s="58"/>
    </row>
    <row r="17" spans="1:20" x14ac:dyDescent="0.25">
      <c r="J17" s="10" t="s">
        <v>43</v>
      </c>
      <c r="K17" s="10"/>
    </row>
    <row r="18" spans="1:20" x14ac:dyDescent="0.25">
      <c r="A18" t="s">
        <v>16</v>
      </c>
      <c r="B18" t="s">
        <v>49</v>
      </c>
      <c r="C18" t="s">
        <v>34</v>
      </c>
      <c r="D18" t="s">
        <v>25</v>
      </c>
      <c r="E18" t="s">
        <v>39</v>
      </c>
      <c r="F18" t="s">
        <v>35</v>
      </c>
      <c r="G18" t="s">
        <v>37</v>
      </c>
      <c r="H18" t="s">
        <v>47</v>
      </c>
      <c r="J18" t="s">
        <v>48</v>
      </c>
      <c r="K18" t="s">
        <v>46</v>
      </c>
      <c r="L18" t="s">
        <v>17</v>
      </c>
      <c r="M18" s="2" t="s">
        <v>38</v>
      </c>
      <c r="N18" s="2" t="s">
        <v>78</v>
      </c>
      <c r="O18" t="s">
        <v>40</v>
      </c>
      <c r="P18" t="s">
        <v>42</v>
      </c>
      <c r="Q18" t="s">
        <v>41</v>
      </c>
      <c r="R18" t="s">
        <v>39</v>
      </c>
      <c r="S18" t="s">
        <v>59</v>
      </c>
      <c r="T18" t="s">
        <v>58</v>
      </c>
    </row>
    <row r="19" spans="1:20" x14ac:dyDescent="0.25">
      <c r="B19" s="17"/>
      <c r="D19" t="s">
        <v>26</v>
      </c>
      <c r="M19" s="2"/>
      <c r="N19" s="2"/>
    </row>
    <row r="20" spans="1:20" x14ac:dyDescent="0.25">
      <c r="B20" s="17"/>
      <c r="M20" s="2"/>
      <c r="N20" s="2"/>
    </row>
    <row r="21" spans="1:20" x14ac:dyDescent="0.25">
      <c r="B21" s="17"/>
      <c r="M21" s="2"/>
      <c r="N21" s="2"/>
    </row>
    <row r="22" spans="1:20" x14ac:dyDescent="0.25">
      <c r="B22" s="17"/>
      <c r="M22" s="2"/>
      <c r="N22" s="2"/>
    </row>
    <row r="23" spans="1:20" x14ac:dyDescent="0.25">
      <c r="B23" s="17"/>
      <c r="M23" s="2"/>
      <c r="N23" s="2"/>
    </row>
    <row r="24" spans="1:20" x14ac:dyDescent="0.25">
      <c r="B24" s="17"/>
    </row>
    <row r="25" spans="1:20" x14ac:dyDescent="0.25">
      <c r="B25" s="17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</sheetData>
  <mergeCells count="2">
    <mergeCell ref="F15:H15"/>
    <mergeCell ref="F16:H16"/>
  </mergeCells>
  <conditionalFormatting sqref="D1:D1048576">
    <cfRule type="containsText" dxfId="1" priority="1" operator="containsText" text="No">
      <formula>NOT(ISERROR(SEARCH("No",D1)))</formula>
    </cfRule>
    <cfRule type="containsText" dxfId="0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5</vt:i4>
      </vt:variant>
    </vt:vector>
  </HeadingPairs>
  <TitlesOfParts>
    <vt:vector size="13" baseType="lpstr">
      <vt:lpstr>Planning</vt:lpstr>
      <vt:lpstr>Analysis</vt:lpstr>
      <vt:lpstr>Settings</vt:lpstr>
      <vt:lpstr>Messages</vt:lpstr>
      <vt:lpstr>Task sheet template</vt:lpstr>
      <vt:lpstr>Version info</vt:lpstr>
      <vt:lpstr>List validation data</vt:lpstr>
      <vt:lpstr>EbsSheet template</vt:lpstr>
      <vt:lpstr>_Tag_1Vdata</vt:lpstr>
      <vt:lpstr>_Tag_2Vdata</vt:lpstr>
      <vt:lpstr>_Tag_3Vdata</vt:lpstr>
      <vt:lpstr>ContributorVdata</vt:lpstr>
      <vt:lpstr>Kanban_listVdata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2020-08-31T11:17:29Z</dcterms:modified>
  <cp:category/>
  <cp:contentStatus/>
</cp:coreProperties>
</file>