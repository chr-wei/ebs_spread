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AD8AEAE3-5523-40E0-892B-04AFA747A15F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38B238" sheetId="998" state="hidden" r:id="rId1"/>
    <sheet name="Planning" sheetId="1" r:id="rId2"/>
    <sheet name="t35EBA085FF3A95514" sheetId="999" state="hidden" r:id="rId3"/>
    <sheet name="t5C33AE2C601539DCA" sheetId="1001" state="hidden" r:id="rId4"/>
    <sheet name="EbsSheet (Me)" sheetId="978" r:id="rId5"/>
    <sheet name="Settings" sheetId="418" r:id="rId6"/>
    <sheet name="Task sheet template" sheetId="5" state="hidden" r:id="rId7"/>
    <sheet name="Version info" sheetId="3" r:id="rId8"/>
    <sheet name="EbsSheet template" sheetId="440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001" l="1"/>
  <c r="M21" i="1001"/>
  <c r="L20" i="1001"/>
  <c r="M20" i="1001"/>
  <c r="L19" i="1001"/>
  <c r="M19" i="1001" s="1"/>
  <c r="L18" i="1001"/>
  <c r="M18" i="1001" s="1"/>
  <c r="L17" i="1001"/>
  <c r="M17" i="1001" s="1"/>
  <c r="L16" i="1001"/>
  <c r="M16" i="1001" s="1"/>
  <c r="L15" i="1001"/>
  <c r="M15" i="1001" s="1"/>
  <c r="D15" i="1001"/>
  <c r="B4" i="1001" s="1"/>
  <c r="B11" i="1001" s="1"/>
  <c r="D15" i="999"/>
  <c r="B4" i="999" s="1"/>
  <c r="B11" i="999" s="1"/>
  <c r="D55" i="998"/>
  <c r="D38" i="998"/>
  <c r="D37" i="998"/>
  <c r="D36" i="998"/>
  <c r="D35" i="998"/>
  <c r="D18" i="998"/>
  <c r="D17" i="998"/>
  <c r="D16" i="998"/>
  <c r="B44" i="998" l="1"/>
  <c r="B51" i="998" s="1"/>
  <c r="B24" i="998"/>
  <c r="B31" i="998" s="1"/>
  <c r="B5" i="998"/>
  <c r="B12" i="998" s="1"/>
  <c r="C42" i="3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tc={5BECE97B-DB74-4CCD-A56E-287AB29264F1}</author>
  </authors>
  <commentList>
    <comment ref="P18" authorId="0" shapeId="0" xr:uid="{5BECE97B-DB74-4CCD-A56E-287AB29264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<sst xmlns="http://schemas.openxmlformats.org/spreadsheetml/2006/main" count="467" uniqueCount="177">
  <si>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</si>
  <si>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</si>
  <si>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</si>
  <si>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</si>
  <si>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</si>
  <si>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</si>
  <si>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</si>
  <si>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</si>
  <si>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</si>
  <si>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</si>
  <si>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</si>
  <si>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</si>
  <si>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</si>
  <si>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</si>
  <si>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</si>
  <si>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</si>
  <si>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</si>
  <si>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</si>
  <si>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</si>
  <si>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</si>
  <si>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</si>
  <si>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</si>
  <si>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</si>
  <si>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</si>
  <si>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</si>
  <si>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</si>
  <si>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</si>
  <si>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</si>
  <si>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</si>
  <si>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</si>
  <si>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</si>
  <si>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</si>
  <si>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</si>
  <si>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</si>
  <si>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</si>
  <si>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</si>
  <si>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</si>
  <si>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</si>
  <si>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</si>
  <si>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</si>
  <si>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</si>
  <si>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</si>
  <si>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</si>
  <si>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</si>
  <si>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</si>
  <si>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</si>
  <si>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</si>
  <si>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</si>
  <si>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</si>
  <si>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</si>
  <si>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</si>
  <si>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</si>
  <si>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</si>
  <si>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</si>
  <si>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</si>
  <si>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</si>
  <si>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</si>
  <si>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</si>
  <si>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</si>
  <si>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</si>
  <si>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</si>
  <si>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</si>
  <si>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</si>
  <si>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</si>
  <si>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</si>
  <si>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</si>
  <si>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</si>
  <si>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</si>
  <si>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</si>
  <si>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</si>
  <si>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</si>
  <si>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</si>
  <si>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</si>
  <si>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</si>
  <si>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</si>
  <si>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</si>
  <si>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</si>
  <si>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</si>
  <si>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</si>
  <si>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</si>
  <si>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</si>
  <si>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</si>
  <si>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</si>
  <si>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</si>
  <si>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</si>
  <si>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</si>
  <si>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</si>
  <si>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</si>
  <si>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</si>
  <si>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</si>
  <si>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</si>
  <si>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</si>
  <si>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</si>
  <si>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</si>
  <si>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</si>
  <si>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</si>
  <si>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</si>
  <si>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</si>
  <si>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</si>
  <si>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</si>
  <si>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</si>
  <si>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</si>
  <si>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</si>
  <si>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</si>
  <si>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</si>
  <si>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</si>
  <si>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</si>
  <si>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</si>
  <si>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</si>
  <si>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</si>
  <si>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</si>
  <si>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</si>
  <si>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</si>
  <si>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</si>
  <si>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</si>
  <si>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</si>
  <si>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</si>
  <si>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</si>
  <si>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</si>
  <si>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</si>
  <si>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</si>
  <si>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</si>
  <si>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</si>
  <si>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</si>
  <si>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</si>
  <si>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</si>
  <si>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</si>
  <si>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</si>
  <si>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</si>
  <si>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</si>
  <si>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sheet.xlsm</t>
  </si>
  <si>
    <t>SetPlainDelta()</t>
  </si>
  <si>
    <t>SetCalendarDelta()</t>
  </si>
  <si>
    <t>Done</t>
  </si>
  <si>
    <t>{0,750;0,667}</t>
  </si>
  <si>
    <t>{0,333;0,333;0,333;0,375;0,375;0,375;0,375}</t>
  </si>
  <si>
    <t>VIRTUAL_SHEET_NAME</t>
  </si>
  <si>
    <t>VIRTUAL_SHEET_RANGE_ROWS</t>
  </si>
  <si>
    <t>VIRTUAL_SHEET_RANGE_COLS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</si>
  <si>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</si>
  <si>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</si>
  <si>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</si>
  <si>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</si>
  <si>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</si>
  <si>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</si>
  <si>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</si>
  <si>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</si>
  <si>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</si>
  <si>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</si>
  <si>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</si>
  <si>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</si>
  <si>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</si>
  <si>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</si>
  <si>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</si>
  <si>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</si>
  <si>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</si>
  <si>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</si>
  <si>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</si>
  <si>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</si>
  <si>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</si>
  <si>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</si>
  <si>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</si>
  <si>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</si>
  <si>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</si>
  <si>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</si>
  <si>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{0,333;0,375;0,375;0,333;0,375;0,375;0,333;0,375;0,333;0,375;0,375;0,375;0,375;0,333;0,333;0,333;0,333;0,333;0,333;0,375;0,375;0,375;0,375;0,333;0,333;0,333;0,375;0,375;0,375;0,375;0,375;0,375;0,375;0,375;0,333;0,375;0,333;0,333;0,375;0,375;0,333;0,375;0,333;0,375;0,333;0,333;0,375;0,333;0,375;0,375}</t>
  </si>
  <si>
    <t>{15/01/2020 08:20:00;15/01/2020 08:20:00;15/01/2020 08:20:00;15/01/2020 08:22:30;15/01/2020 08:22:30;15/01/2020 08:22:30;15/01/2020 08:22:30}</t>
  </si>
  <si>
    <t>{1,500;1,333;1,500;1,333;1,500;1,500;1,500;1,500;1,333;1,500;1,500;1,500;1,500;1,333;1,333;1,500;1,500;1,333;1,500;1,500;1,333;1,500;1,500;1,333;1,333;1,333;1,333;1,333;1,333;1,333;1,500;1,333;1,333;1,500;1,333;1,333;1,333;1,500;1,333;1,500;1,500;1,500;1,333;1,500;1,500;1,333;1,500;1,500;1,333;1,333}</t>
  </si>
  <si>
    <t>{1,250;1,083;1,250;1,083;1,250;1,250;1,250;1,250;1,083;1,250;1,250;1,250;1,250;1,083;1,083;1,250;1,250;1,083;1,250;1,250;1,083;1,250;1,250;1,083;1,083;1,083;1,083;1,083;1,083;1,083;1,250;1,083;1,083;1,250;1,083;1,083;1,083;1,250;1,083;1,250;1,250;1,250;1,083;1,250;1,250;1,083;1,250;1,250;1,083;1,083}</t>
  </si>
  <si>
    <t>{1,583;1,458;1,625;1,417;1,625;1,625;1,583;1,625;1,417;1,625;1,625;1,625;1,625;1,417;1,417;1,583;1,583;1,417;1,583;1,625;1,458;1,625;1,625;1,417;1,417;1,417;1,458;1,458;1,458;1,458;1,625;1,458;1,458;1,625;1,417;1,458;1,417;1,583;1,458;1,625;1,583;1,625;1,417;1,625;1,583;1,417;1,625;1,583;1,458;1,458}</t>
  </si>
  <si>
    <t>{1,417;1,417;1,458;1,583;1,583;1,625;1,625}</t>
  </si>
  <si>
    <t>{15/01/2020 09:25:00;15/01/2020 09:25:00;15/01/2020 09:27:30;15/01/2020 09:35:00;15/01/2020 09:35:00;15/01/2020 09:37:30;15/01/2020 09:37:30}</t>
  </si>
  <si>
    <t>{2,667;3,000;2,667;2,667;3,000;2,667;3,000;2,667;3,000;3,000;3,000;3,000;2,667;3,000;3,000;2,667;3,000;2,667;2,667;2,667;2,667;3,000;3,000;2,667;2,667;2,667;3,000;2,667;3,000;2,667;3,000;2,667;2,667;3,000;2,667;3,000;3,000;3,000;3,000;3,000;3,000;3,000;3,000;2,667;3,000;2,667;3,000;3,000;3,000;3,000}</t>
  </si>
  <si>
    <t>{4,250;4,458;4,292;4,083;4,625;4,292;4,583;4,292;4,417;4,625;4,625;4,625;4,292;4,417;4,417;4,250;4,583;4,083;4,250;4,292;4,125;4,625;4,625;4,083;4,083;4,083;4,458;4,125;4,458;4,125;4,625;4,125;4,125;4,625;4,083;4,458;4,417;4,583;4,458;4,625;4,583;4,625;4,417;4,292;4,583;4,083;4,625;4,583;4,458;4,458}</t>
  </si>
  <si>
    <t>{4,083;4,125;4,292;4,417;4,458;4,625;4,625}</t>
  </si>
  <si>
    <t>{15/01/2020 12:05:00;15/01/2020 12:07:30;15/01/2020 12:17:30;15/01/2020 12:25:00;15/01/2020 12:27:30;15/01/2020 12:37:30;15/01/2020 12:37:30}</t>
  </si>
  <si>
    <t>e02CC749D33AEB9883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</si>
</sst>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3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11" fillId="7" borderId="0" xfId="4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79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14/01/2020 23:56:26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0DBC-4C11-B49A-C1BD3F88F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15%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43844.997523148151</c:v>
              </c:pt>
            </c:numLit>
          </c:xVal>
          <c:yVal>
            <c:numLit>
              <c:formatCode>General</c:formatCode>
              <c:ptCount val="1"/>
              <c:pt idx="0">
                <c:v>4.1109999999999998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718-4F42-891A-2FA67B1B1260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43844.997523148151</c:v>
              </c:pt>
            </c:numLit>
          </c:xVal>
          <c:yVal>
            <c:numLit>
              <c:formatCode>General</c:formatCode>
              <c:ptCount val="1"/>
              <c:pt idx="0">
                <c:v>4.4169999999999998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718-4F42-891A-2FA67B1B1260}"/>
            </c:ext>
          </c:extLst>
        </c:ser>
        <c:ser>
          <c:idx val="2"/>
          <c:order val="2"/>
          <c:tx>
            <c:v>85%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43844.997523148151</c:v>
              </c:pt>
            </c:numLit>
          </c:xVal>
          <c:yVal>
            <c:numLit>
              <c:formatCode>General</c:formatCode>
              <c:ptCount val="1"/>
              <c:pt idx="0">
                <c:v>4.625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718-4F42-891A-2FA67B1B1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10227D7-8089-43CF-AFA9-D45F3F538DD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120ECF5-D8DA-44F0-9FF3-95B459BE1867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2CD7032-78EF-4C23-A606-4364578838FB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C25A032-F89A-4498-95C0-C3F1957C7E33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696F812-4C4E-47F2-A550-522D05EDF95C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C586ADC-6DE3-4643-9E33-E3A41C0FFAAE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DB64553-C073-4C8C-A58A-9D675E53EEEB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A91BBD5-59CD-4FD1-B959-118C376D5CAE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D4095BE-3294-4F6E-BEB3-CF73E0B56533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68710C5-3FAC-4465-AC76-ED8885B34D2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3AF6941-4D05-478A-9532-7003FBDFB11A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E8DB94-A4C9-4DC3-A8F5-94935718AACA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F835012-0A5D-4845-A1E2-BE0EB93AB3B4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F23DF20-A170-4933-A491-05BCFBE94B17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0829E94-3E04-4ADD-8676-4160D7ED1A44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0A92E48-2C9E-45D3-B154-5DBC619ECE68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9E93605-0A86-43C3-84CE-1D6012424DD7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295C14B-16E3-49C8-8327-7492E0D2D3E6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F14F247-CBD2-430F-903C-42F676C36682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928ECE-5045-436B-A1B1-600486D26BB7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DF39C3C-7D3F-4245-BA6E-4DC420C61E3B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E05EEE2-9E8C-4E26-9D9A-B5DC9158A7C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65BB45E-506B-4F71-80DC-12BEF42E9BA2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6B9708F-7D5F-4A72-A678-C1E47CFF649A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0658B25-B4EF-4452-9A6A-A45C432EF791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8A8396A-3E4A-4258-AD45-1E4C1D52B3F3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904955-00FB-4199-8A2F-0076B65F0E32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09F1040-70A6-41B5-B95B-7E2B61359773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CE83450-A639-49EF-BC29-1462CF281023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460D5A4-E07C-409E-8269-A9CEF36E0FED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9C31606-E28D-48AA-9658-5D046217FCCB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47E68FA-0550-478A-B790-AA242DF807D4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E8DEB51-4805-48E2-B00B-E94BE4D01A1C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B548D0D-70EB-41F6-88B8-BCD4A9A2FCC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AAC5603-07E5-4443-A4FF-BC9EF105A774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7E0C4E6-0757-4A99-BCE7-2DF32B1B3AD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648F9DF-06F0-4E21-8857-552A7350A46F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E202316-B2BB-4216-9423-B132291C8446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23454D-E3FE-4866-B65B-A0D690FA78BD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954ACF6-232A-4672-915C-50E7DD17C0FD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B557052-FC97-4974-BAEA-C0E24C73C105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B7AD1D3-C477-48D4-8B59-6E7E63F43A6B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0A3A6CE-68FE-4F01-8E07-690B7ECD3A06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23949BA-E6C3-4C4E-A7CE-B48ADB5B096E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375194C-F4E1-439E-820E-AA2019106967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D22BD9E-A21B-4476-AB23-E27FE1A3A467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80503E5-01EE-44D2-B982-6DCF70CC9CD2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AFEDFF9-BCAA-49E3-BE96-570D341BFBE9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30CB9D9-9A48-4E63-9425-6BB53476568E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595C9BD-78EF-49F1-ACE9-9F680A857CB7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72A15CD-37DB-4C31-BA56-ED6A7A9EEB21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B87019C-5398-4D42-8B47-25523ACE7649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1F72232-8581-4046-ADB9-5EC498F40A01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1253816-FD29-460E-948D-F7C6E567A943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B2542AE-66CA-42F1-B601-7E16386A71BF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D496725-B1BD-4D98-85F0-67EB3C5FC81C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1BB45FC-5610-46F0-9C90-C5804648C7A9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C66160A-EFF0-49D1-A092-7294E147C35B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3C390FB-945F-4906-8673-5F3919AD6671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074086B-D5CF-4826-A1C6-78B110E07904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6D9C96-0788-4EA5-993B-D09E0AC410E4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BEEFDD2-42DF-4AA9-A16B-78E1D5CB5F26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E8D88C-E70A-4526-86DE-1CAA4152C4F9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6BC9A9B-BAA4-4D07-A70D-230EAA3FCC0A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53347ED-019A-45EF-A4C4-B5EA545D819A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8232598-5240-4D26-9782-33EA68F902B1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B72EB51-EF33-4EC3-A3E6-829588A87884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5A93B07-6A0F-4BE5-BDED-4F9B11D9BA43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7007159-8752-4A6F-9E26-6C98CA67F966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C113F5-C8E8-40DE-BB46-B015D6B8F5BC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38AEB49-BA65-4A8E-904E-8F1B888088BE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7D1F42F-DE5F-4A3A-8FD4-504054BA1715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8A348AA-8C55-4156-A84B-CBD126695AD7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C384651-D6AF-431A-8656-F1455F685AFB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93F9006-6321-45A4-9DAA-ECF402D378D1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733F0D1-F8BE-4FAD-B099-0D1EF4E7CBD4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3C0209-2ED3-42E1-B32D-140362CF48CF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DC31C2A-F2BE-46AD-8516-0609C92D73A5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FF7E7E1-7925-4FB6-82D6-2F92A06712FF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775D142-ABA9-4654-9DE7-1B3574EFF687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73EB039-4F68-4952-B140-66BB10954433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D115FC0-F458-4F8A-BF37-5DE3631F80CE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F55041-CA70-48BA-821C-5B9116E7305F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9F6BC9C-2574-4BC4-9E4A-429D28335ECB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CD1E599-3CA5-4D17-A36A-444D5CE0690B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96BFFD4-39DB-47D8-BC13-2A692D4944FB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71D22A4-B1F1-42CF-BD0C-A62FDD9AFE2E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6EB1C05-A786-493D-845C-EAE21AB7AB52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75862D-6C44-468A-B600-232879F6087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83512B8-4477-4F12-8185-DFB84AC73672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D17C9CF-DED2-45E3-9AEB-F12ABBB3CAD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36A3016-3293-45A7-825C-E366D79DE9EA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7079018-13E4-4B32-AB4C-7E0A2D490C68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0738A18-9FB8-4709-AE38-0804F3C8BFDA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5A2A910-1649-4AB6-90FD-0CFF1B19C205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A2BB0FA-F265-41A4-B117-CEA1D14880C7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E1BA31-CDB6-4A4F-B26F-2BC53827AD7E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887B1E9-D4D5-48C4-91E6-36AE87A77528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55C6E77-60DB-447A-A23F-6B774D658A5D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5DF9AAF-8F79-4540-B689-E90C3A87D59F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7F50FF7-BB55-4FC2-A9EF-6376523EDD8D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633B93A-4310-40B0-8D70-AF8101040F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D889993C-2D3D-4AEE-9906-5CD52B84A1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ABCC84AA-C726-489C-80A2-3941E3D1B739}" name="TimeEntries14263659626521436526586102122" displayName="TimeEntries14263659626521436526586102122" ref="A15:G18" totalsRowShown="0">
  <autoFilter ref="A15:G18" xr:uid="{3985898A-57E7-40A5-BADE-422D5F4E2A31}"/>
  <tableColumns count="7">
    <tableColumn id="1" xr3:uid="{0224B548-1B64-4854-A204-39724091041E}" name="Time entry no."/>
    <tableColumn id="2" xr3:uid="{B84182D1-6B19-4DE3-B819-A8FC0EFF7056}" name="Start time" dataDxfId="61"/>
    <tableColumn id="3" xr3:uid="{5303A2DA-004D-4099-B0B9-A821EF4B12E4}" name="End time" dataDxfId="60"/>
    <tableColumn id="4" xr3:uid="{D3DFCC28-8564-46CD-8A4E-9C83FD340FAE}" name="Time delta in h" dataDxfId="59">
      <calculatedColumnFormula>MAX((C16-B16)*24,0)</calculatedColumnFormula>
    </tableColumn>
    <tableColumn id="5" xr3:uid="{B03673A2-D3B8-4101-BE81-51BD46C71BB7}" name="Indicator"/>
    <tableColumn id="6" xr3:uid="{F43D325C-67C8-4ED1-9A9E-47735C333B0E}" name="Action1" dataDxfId="58" dataCellStyle="Link"/>
    <tableColumn id="7" xr3:uid="{928226DF-F44A-4F16-968D-8895C756A089}" name="Action2" dataDxfId="57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E73AC4E1-1EBA-405F-9831-656FB102CB3A}" name="Tabelle736715273760727531537536687103123" displayName="Tabelle736715273760727531537536687103123" ref="I15:M16" insertRow="1" totalsRowShown="0">
  <autoFilter ref="I15:M16" xr:uid="{5978E3B8-8639-482E-9EE5-AAC3E3918F4A}"/>
  <tableColumns count="5">
    <tableColumn id="1" xr3:uid="{4961D9F4-4DFB-4DC8-BEDE-85B2093FA4DE}" name="Comparison entry no."/>
    <tableColumn id="2" xr3:uid="{D0355B28-5D8D-474C-9094-2C4E3D077DE0}" name="Propability Support point" dataDxfId="56"/>
    <tableColumn id="3" xr3:uid="{F1408E80-9CA7-473C-AD85-0725B88FB4B0}" name="EBS self time" dataDxfId="55"/>
    <tableColumn id="4" xr3:uid="{63ABE209-8D2B-470B-9A5A-317C6FFB2D48}" name="Total time">
      <calculatedColumnFormula>#REF!</calculatedColumnFormula>
    </tableColumn>
    <tableColumn id="5" xr3:uid="{2D525384-65CF-4239-9C01-2DE070F327DF}" name="Total time / Your estimate" dataDxfId="54">
      <calculatedColumnFormula>Tabelle736715273760727531537536687103123[[#This Row],[EBS self time]]/Tabelle736715273760727531537536687103123[[#This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C878B608-D9BF-4709-92CD-9804C2B71E0F}" name="TimeEntries62044631128591632507088106124" displayName="TimeEntries62044631128591632507088106124" ref="A34:G38" totalsRowShown="0">
  <autoFilter ref="A34:G38" xr:uid="{B54650D5-A379-430E-8D83-36D7F49BDFFD}"/>
  <tableColumns count="7">
    <tableColumn id="1" xr3:uid="{50C2312E-FF1C-47B0-BFDA-81098FCF05B4}" name="Time entry no."/>
    <tableColumn id="2" xr3:uid="{D60644A9-63A6-4603-8064-5F0B35264FF6}" name="Start time" dataDxfId="53"/>
    <tableColumn id="3" xr3:uid="{96F1BCD1-AF09-4607-A559-207A606F156C}" name="End time" dataDxfId="52"/>
    <tableColumn id="4" xr3:uid="{35A0175A-99F5-4E9F-B603-43F34ACC1E1F}" name="Time delta in h" dataDxfId="51">
      <calculatedColumnFormula>MAX((C35-B35)*24,0)</calculatedColumnFormula>
    </tableColumn>
    <tableColumn id="5" xr3:uid="{65F47D44-52F4-445B-8C02-F37BAAFB5373}" name="Indicator"/>
    <tableColumn id="6" xr3:uid="{F069FE2A-2CA8-43C2-8B49-DC9BC9F0F316}" name="Action1" dataDxfId="50" dataCellStyle="Link"/>
    <tableColumn id="7" xr3:uid="{AA5D8B75-1EF8-413C-AD18-8986F2EDE467}" name="Action2" dataDxfId="49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F2D1C2E-3210-4303-92EC-9EA58602A39E}" name="Tabelle736772145641329601733517189107125" displayName="Tabelle736772145641329601733517189107125" ref="I34:M35" insertRow="1" totalsRowShown="0">
  <autoFilter ref="I34:M35" xr:uid="{F0C49467-F3D4-4111-A798-44D41669014B}"/>
  <tableColumns count="5">
    <tableColumn id="1" xr3:uid="{157561B5-7606-46C7-863D-1E9CCA38858C}" name="Comparison entry no."/>
    <tableColumn id="2" xr3:uid="{05DA75E1-7DAF-42C4-8F19-CC6BF6C1CE1A}" name="Propability Support point" dataDxfId="48"/>
    <tableColumn id="3" xr3:uid="{ECE37254-07E8-4290-911C-98F3964137AE}" name="EBS self time" dataDxfId="47"/>
    <tableColumn id="4" xr3:uid="{852D6A29-014B-49FA-A273-4E63B2E991BC}" name="Total time">
      <calculatedColumnFormula>#REF!</calculatedColumnFormula>
    </tableColumn>
    <tableColumn id="5" xr3:uid="{3C83213F-9A07-4568-B35D-EC5250C13336}" name="Total time / Your estimate" dataDxfId="46">
      <calculatedColumnFormula>Tabelle736772145641329601733517189107125[[#This Row],[EBS self time]]/Tabelle736772145641329601733517189107125[[#This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9734ECF-579A-47B5-AD40-2EF1734EE629}" name="TimeEntries8224865163040640547892114128" displayName="TimeEntries8224865163040640547892114128" ref="A54:G55" totalsRowShown="0">
  <autoFilter ref="A54:G55" xr:uid="{A5B485D3-5F3A-4808-91B4-A845C4B443A9}"/>
  <tableColumns count="7">
    <tableColumn id="1" xr3:uid="{7DD4EA42-E7F2-4E59-862B-1BF777BC67C7}" name="Time entry no."/>
    <tableColumn id="2" xr3:uid="{63049A23-2791-4DEB-8027-4F31B60DC4FB}" name="Start time" dataDxfId="45"/>
    <tableColumn id="3" xr3:uid="{06D3106E-6F13-41DF-8466-31EFDF44AFF5}" name="End time" dataDxfId="44"/>
    <tableColumn id="4" xr3:uid="{DC8BA338-4CA6-45A6-B286-E10C087885AF}" name="Time delta in h" dataDxfId="43">
      <calculatedColumnFormula>MAX((C55-B55)*24,0)</calculatedColumnFormula>
    </tableColumn>
    <tableColumn id="5" xr3:uid="{2C67DB3B-A786-43F3-8F7C-57321263924F}" name="Indicator"/>
    <tableColumn id="6" xr3:uid="{83F052F7-41EF-4E05-879C-941499877AA1}" name="Action1"/>
    <tableColumn id="7" xr3:uid="{10E9B2E5-B6FD-409D-B122-0D354D82B687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93FA716-84DB-4F18-9422-E02794F0F63C}" name="Tabelle73679234966173141741567993115129" displayName="Tabelle73679234966173141741567993115129" ref="I54:M55" insertRow="1" totalsRowShown="0">
  <autoFilter ref="I54:M55" xr:uid="{EB86B5DB-0902-42E9-83E2-99C6BE443B70}"/>
  <tableColumns count="5">
    <tableColumn id="1" xr3:uid="{404F9DA4-07A3-400B-BAFB-02E3AA77A964}" name="Comparison entry no."/>
    <tableColumn id="2" xr3:uid="{66471D38-E22E-494A-AF01-1F878728630F}" name="Propability Support point" dataDxfId="42"/>
    <tableColumn id="3" xr3:uid="{73506928-F7E0-4A5F-B817-D5746A75C58E}" name="EBS self time" dataDxfId="41"/>
    <tableColumn id="4" xr3:uid="{7321DDDE-75F5-4A45-9DA4-5ED4BEC4A47E}" name="Total time">
      <calculatedColumnFormula>#REF!</calculatedColumnFormula>
    </tableColumn>
    <tableColumn id="5" xr3:uid="{6AAD8738-F7E9-4FB3-9265-98D15EBAB03D}" name="Total time / Your estimate" dataDxfId="40">
      <calculatedColumnFormula>Tabelle73679234966173141741567993115129[[#This Row],[EBS self time]]/Tabelle73679234966173141741567993115129[[#This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9E496EEE-839C-4B38-B1FB-AF60BAB4AA02}" name="TimeEntries11244061203248114457618498120134" displayName="TimeEntries11244061203248114457618498120134" ref="A14:G15" totalsRowShown="0">
  <autoFilter ref="A14:G15" xr:uid="{F93434C5-9D96-4C7F-87FB-A4B00DEC85D9}"/>
  <tableColumns count="7">
    <tableColumn id="1" xr3:uid="{29C9B3F3-BFD3-4244-83DF-61D524273187}" name="Time entry no."/>
    <tableColumn id="2" xr3:uid="{46C9913E-C239-489A-B6FC-5758F5F57721}" name="Start time" dataDxfId="39"/>
    <tableColumn id="3" xr3:uid="{5536CEDC-139F-42C8-8192-AE9EBB996102}" name="End time" dataDxfId="38"/>
    <tableColumn id="4" xr3:uid="{72E4F76F-DAFC-4188-AE1A-7C67E5F75285}" name="Time delta in h" dataDxfId="37">
      <calculatedColumnFormula>MAX((C15-B15)*24,0)</calculatedColumnFormula>
    </tableColumn>
    <tableColumn id="5" xr3:uid="{9EF5F37C-86A7-4AE7-8E1B-3F2BF2A49D52}" name="Indicator"/>
    <tableColumn id="6" xr3:uid="{393FB7DC-11F4-4CBD-B6F8-A7F077DDC5DB}" name="Action1"/>
    <tableColumn id="7" xr3:uid="{8BA89166-FA25-4DA0-81EC-A884F23280B2}" name="Action2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4EA36AE3-80F2-4511-9332-0754C5A0F90B}" name="Tabelle736713254162213349134558628599121135" displayName="Tabelle736713254162213349134558628599121135" ref="I14:M15" insertRow="1" totalsRowShown="0">
  <autoFilter ref="I14:M15" xr:uid="{39384F7F-489B-4ACF-BC8D-9C5DDC6759BC}"/>
  <tableColumns count="5">
    <tableColumn id="1" xr3:uid="{E8D8C45B-C2E0-41F0-B71E-97A11430289D}" name="Comparison entry no."/>
    <tableColumn id="2" xr3:uid="{1532587C-EBE9-4EB5-A8FA-E3D179A9D5B9}" name="Propability Support point" dataDxfId="36"/>
    <tableColumn id="3" xr3:uid="{5E4DF66A-3B3E-4E36-9CF6-A6D7E574A6B3}" name="EBS self time" dataDxfId="35"/>
    <tableColumn id="4" xr3:uid="{1036384E-E058-47A4-BDD3-C3D526150A9B}" name="Total time">
      <calculatedColumnFormula>#REF!</calculatedColumnFormula>
    </tableColumn>
    <tableColumn id="5" xr3:uid="{3C365CC8-F85C-4DB3-A6A7-413ABA287101}" name="Total time / Your estimate" dataDxfId="34">
      <calculatedColumnFormula>Tabelle736713254162213349134558628599121135[[#This Row],[EBS self time]]/Tabelle736713254162213349134558628599121135[[#This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320C927-323C-4EA4-BA53-10FA5F90C9A8}" name="TimeEntries2185268802444818468294118130142" displayName="TimeEntries2185268802444818468294118130142" ref="A14:G15" totalsRowShown="0">
  <autoFilter ref="A14:G15" xr:uid="{6061828B-7D80-47DF-91D8-AB320A7730C6}"/>
  <tableColumns count="7">
    <tableColumn id="1" xr3:uid="{7B49A4C7-8FEF-4F64-8811-828B8589C20B}" name="Time entry no."/>
    <tableColumn id="2" xr3:uid="{E557BBA0-46AA-4285-859E-DC264EBAAB38}" name="Start time" dataDxfId="33"/>
    <tableColumn id="3" xr3:uid="{D973BD97-DC2A-4B37-A873-276FD6176B94}" name="End time" dataDxfId="32"/>
    <tableColumn id="4" xr3:uid="{DB1468DA-F7EC-48D7-853F-8DF76D21E72A}" name="Time delta in h" dataDxfId="31">
      <calculatedColumnFormula>MAX((C15-B15)*24,0)</calculatedColumnFormula>
    </tableColumn>
    <tableColumn id="5" xr3:uid="{E5C6B748-F6FA-42B2-B072-7CF152AAD3A9}" name="Indicator"/>
    <tableColumn id="6" xr3:uid="{0D08B240-1698-4083-BC74-3F96C13CC9F5}" name="Action1" dataDxfId="30" dataCellStyle="Link"/>
    <tableColumn id="7" xr3:uid="{DFF2DD32-8ADF-4FD8-8914-1278E2C13A8D}" name="Action2" dataDxfId="29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E38CF16D-85DE-4498-B645-09128DC5657F}" name="Tabelle73675195369812545919478395119131143" displayName="Tabelle73675195369812545919478395119131143" ref="I14:M21" totalsRowShown="0">
  <autoFilter ref="I14:M21" xr:uid="{C232E090-9128-4C9C-A5CD-F6893FC1AF63}"/>
  <tableColumns count="5">
    <tableColumn id="1" xr3:uid="{D79ED11E-4883-4C4D-A71C-FB0FECA2CFFF}" name="Comparison entry no."/>
    <tableColumn id="2" xr3:uid="{B9F82E3E-F808-45A2-8FDB-89B2A9CE5D88}" name="Propability Support point" dataDxfId="28"/>
    <tableColumn id="3" xr3:uid="{B3D9A3FB-FC10-4A55-AEF0-42E6537BB299}" name="EBS self time" dataDxfId="27"/>
    <tableColumn id="4" xr3:uid="{D6793E9A-8785-437D-B9B1-F8FD5A004BA3}" name="Total time">
      <calculatedColumnFormula>#REF!</calculatedColumnFormula>
    </tableColumn>
    <tableColumn id="5" xr3:uid="{882743AE-5DA1-4F7E-BCE6-C77E9C872BAD}" name="Total time / Your estimate" dataDxfId="26">
      <calculatedColumnFormula>Tabelle73675195369812545919478395119131143[[#This Row],[EBS self time]]/Tabelle73675195369812545919478395119131143[[#This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7D6B44D-CABA-417C-96B6-A30994641785}" name="EbsBaseData4326270426" displayName="EbsBaseData4326270426" ref="A18:H19" totalsRowShown="0">
  <autoFilter ref="A18:H19" xr:uid="{1948C160-1F52-48A7-8061-8AFF06D47134}"/>
  <tableColumns count="8">
    <tableColumn id="1" xr3:uid="{91517E98-D4F0-4A7E-84DA-227C1BE1665A}" name="EBS entry no."/>
    <tableColumn id="4" xr3:uid="{55F96566-5C71-4986-A9EA-6CFEA4B41FD8}" name="EBS run date" dataDxfId="64"/>
    <tableColumn id="8" xr3:uid="{E7BF2E9D-BAA6-4DCE-9CB8-7D19B2F9CA53}" name="[Velocity pool]"/>
    <tableColumn id="2" xr3:uid="{54B0F21A-8DAA-470B-8510-B61FD51691E3}" name="Show pool?"/>
    <tableColumn id="3" xr3:uid="{5C9609C1-7E08-4438-8537-D4EE693DB8FC}" name="[Propability support points]"/>
    <tableColumn id="5" xr3:uid="{42021D75-6616-4DEA-9FCF-A3EB22C8FAD0}" name="[Project time estimates]"/>
    <tableColumn id="6" xr3:uid="{FAEF8027-EA81-45FE-8B1F-1A1CD4F86BD1}" name="[Project date estimates]"/>
    <tableColumn id="7" xr3:uid="{CAB0B7AE-CD86-4889-8C28-2C4FB9B619C5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4000A3-C4F9-491B-B88B-B4354F36E248}" name="EbsTaskData9592711227" displayName="EbsTaskData9592711227" ref="J18:T21" totalsRowShown="0">
  <autoFilter ref="J18:T21" xr:uid="{2297DC20-55A3-4C75-B785-3C4ABEF5CB9C}"/>
  <tableColumns count="11">
    <tableColumn id="1" xr3:uid="{24DAE38F-68BF-42BA-A468-76F23E7946F5}" name="Data entry no."/>
    <tableColumn id="10" xr3:uid="{846A3B0F-DF9C-4EE8-94E4-A757B7C5E77D}" name="tHASH"/>
    <tableColumn id="5" xr3:uid="{E9F8B96F-0375-4FFA-A1CA-75A4410501A5}" name="Logged Priority"/>
    <tableColumn id="7" xr3:uid="{0C3AD91E-785E-41D7-B966-4FC1671810B6}" name="Time spent so far" dataDxfId="63"/>
    <tableColumn id="4" xr3:uid="{B9100390-2F49-43D5-AF03-D7AE698C0FEF}" name="User time estimate" dataDxfId="62"/>
    <tableColumn id="3" xr3:uid="{78613373-FB01-4F78-AEEF-28D3D67DCA18}" name="[Monte Carlo estimate pool]"/>
    <tableColumn id="2" xr3:uid="{47CE218C-7523-4EDB-BFC3-940103DF2B87}" name="[Remaining time pool]"/>
    <tableColumn id="6" xr3:uid="{9995C5A0-7939-49DA-B6EA-EC27F62627B1}" name="[Accumulated time pool]"/>
    <tableColumn id="8" xr3:uid="{429E7426-0B86-43B1-97F3-F36D70A5F9A5}" name="[Propability support points]"/>
    <tableColumn id="9" xr3:uid="{2BC8CA61-F84B-4931-9B0C-6ABB05E57B11}" name="[Interpolated time estimates]"/>
    <tableColumn id="11" xr3:uid="{200A92D7-49D5-4112-9D7F-A7C1E62C7D18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78" dataCellStyle="Link"/>
    <tableColumn id="9" xr3:uid="{0037D127-E2BA-445A-BC63-1395BA3AC441}" name="Calendar ID" dataDxfId="77" dataCellStyle="Link"/>
    <tableColumn id="10" xr3:uid="{37CA3B7B-8FF0-4042-97C6-E23A79A74325}" name="Store ID"/>
    <tableColumn id="6" xr3:uid="{044D8005-25C5-4D31-940A-B6DE4C6B0EA5}" name="WorkingDays" dataDxfId="76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75"/>
    <tableColumn id="8" xr3:uid="{1177B0FB-46B2-406D-B988-C64E0ABA6972}" name="AppointmentOffsetHours" dataDxfId="74">
      <calculatedColumnFormula>5/60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73"/>
    <tableColumn id="3" xr3:uid="{78DABF02-3853-48FF-81AD-5801C74BED1B}" name="End time" dataDxfId="72"/>
    <tableColumn id="4" xr3:uid="{76C994F9-216A-4848-9FB6-16BAF8B0EEEA}" name="Time delta in h" dataDxfId="71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0"/>
    <tableColumn id="3" xr3:uid="{A62B365F-400F-45A4-B789-FE7B5FDBD312}" name="EBS self time" dataDxfId="69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68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67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66"/>
    <tableColumn id="4" xr3:uid="{F9EDA55E-5206-49A7-A846-6A0B14C04CAF}" name="User time estimate" dataDxfId="65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5BECE97B-DB74-4CCD-A56E-287AB29264F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4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3BEB0-C4CC-4711-A299-E5DDE859C125}">
  <sheetPr codeName="Tabelle3"/>
  <dimension ref="A1:M55"/>
  <sheetViews>
    <sheetView workbookViewId="0">
      <selection activeCell="A92" sqref="A92:M112"/>
    </sheetView>
  </sheetViews>
  <sheetFormatPr baseColWidth="10" defaultRowHeight="15" x14ac:dyDescent="0.25"/>
  <sheetData>
    <row r="1" spans="1:13" x14ac:dyDescent="0.25">
      <c r="A1" t="s">
        <v>136</v>
      </c>
      <c r="B1" t="s">
        <v>118</v>
      </c>
      <c r="C1" t="s">
        <v>137</v>
      </c>
      <c r="D1">
        <v>17</v>
      </c>
      <c r="E1" t="s">
        <v>138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119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51.749999999767169</v>
      </c>
      <c r="C5" t="s">
        <v>4</v>
      </c>
    </row>
    <row r="6" spans="1:13" x14ac:dyDescent="0.25">
      <c r="A6" t="s">
        <v>14</v>
      </c>
      <c r="B6" s="5" t="s">
        <v>99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133</v>
      </c>
    </row>
    <row r="9" spans="1:13" x14ac:dyDescent="0.25">
      <c r="A9" t="s">
        <v>16</v>
      </c>
      <c r="B9" s="5">
        <v>43817.078483796293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118</v>
      </c>
    </row>
    <row r="12" spans="1:13" x14ac:dyDescent="0.25">
      <c r="A12" t="s">
        <v>5</v>
      </c>
      <c r="B12" s="2">
        <f>B4/B5</f>
        <v>9.6618357488357405E-3</v>
      </c>
      <c r="C12" t="s">
        <v>6</v>
      </c>
    </row>
    <row r="13" spans="1:13" x14ac:dyDescent="0.25">
      <c r="A13" t="s">
        <v>103</v>
      </c>
      <c r="B13" t="s">
        <v>127</v>
      </c>
    </row>
    <row r="14" spans="1:13" x14ac:dyDescent="0.25">
      <c r="A14" t="s">
        <v>104</v>
      </c>
      <c r="B14" t="s">
        <v>128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96</v>
      </c>
      <c r="B16" s="1">
        <v>43817.068055555559</v>
      </c>
      <c r="C16" s="1">
        <v>43817.078472222223</v>
      </c>
      <c r="D16" s="2">
        <f>MAX((C16-B16)*24,0)</f>
        <v>0.24999999994179234</v>
      </c>
      <c r="F16" s="32" t="s">
        <v>131</v>
      </c>
      <c r="G16" s="32" t="s">
        <v>132</v>
      </c>
      <c r="J16" s="16"/>
      <c r="K16" s="2"/>
      <c r="L16" s="2"/>
      <c r="M16" s="17"/>
    </row>
    <row r="17" spans="1:7" x14ac:dyDescent="0.25">
      <c r="A17" t="s">
        <v>100</v>
      </c>
      <c r="B17" s="1">
        <v>43817.068067129629</v>
      </c>
      <c r="C17" s="1">
        <v>43817.078483796293</v>
      </c>
      <c r="D17" s="2">
        <f>MAX((C17-B17)*24,0)</f>
        <v>0.24999999994179234</v>
      </c>
      <c r="F17" s="32" t="s">
        <v>131</v>
      </c>
      <c r="G17" s="32" t="s">
        <v>132</v>
      </c>
    </row>
    <row r="18" spans="1:7" x14ac:dyDescent="0.25">
      <c r="A18" t="s">
        <v>101</v>
      </c>
      <c r="B18" s="1">
        <v>43817.068067129629</v>
      </c>
      <c r="C18" s="1">
        <v>43817.078483796293</v>
      </c>
      <c r="D18" s="2">
        <f>MAX((C18-B18)*24,0)</f>
        <v>0.24999999994179234</v>
      </c>
      <c r="F18" s="32" t="s">
        <v>131</v>
      </c>
      <c r="G18" s="32" t="s">
        <v>132</v>
      </c>
    </row>
    <row r="20" spans="1:7" x14ac:dyDescent="0.25">
      <c r="A20" t="s">
        <v>136</v>
      </c>
      <c r="B20" t="s">
        <v>113</v>
      </c>
      <c r="C20" t="s">
        <v>137</v>
      </c>
      <c r="D20">
        <v>18</v>
      </c>
      <c r="E20" t="s">
        <v>138</v>
      </c>
      <c r="F20">
        <v>13</v>
      </c>
    </row>
    <row r="21" spans="1:7" x14ac:dyDescent="0.25">
      <c r="A21" s="4" t="s">
        <v>25</v>
      </c>
    </row>
    <row r="22" spans="1:7" x14ac:dyDescent="0.25">
      <c r="A22" t="s">
        <v>3</v>
      </c>
      <c r="B22" t="s">
        <v>129</v>
      </c>
    </row>
    <row r="23" spans="1:7" x14ac:dyDescent="0.25">
      <c r="A23" t="s">
        <v>79</v>
      </c>
      <c r="B23" s="2">
        <v>0.75</v>
      </c>
      <c r="C23" t="s">
        <v>4</v>
      </c>
    </row>
    <row r="24" spans="1:7" x14ac:dyDescent="0.25">
      <c r="A24" t="s">
        <v>0</v>
      </c>
      <c r="B24" s="2">
        <f>SUM(D:D)</f>
        <v>51.749999999767169</v>
      </c>
      <c r="C24" t="s">
        <v>4</v>
      </c>
    </row>
    <row r="25" spans="1:7" x14ac:dyDescent="0.25">
      <c r="A25" t="s">
        <v>14</v>
      </c>
      <c r="B25" s="5" t="s">
        <v>99</v>
      </c>
    </row>
    <row r="26" spans="1:7" x14ac:dyDescent="0.25">
      <c r="A26" t="s">
        <v>15</v>
      </c>
      <c r="B26" s="5" t="s">
        <v>19</v>
      </c>
    </row>
    <row r="27" spans="1:7" x14ac:dyDescent="0.25">
      <c r="A27" t="s">
        <v>1</v>
      </c>
      <c r="B27" t="s">
        <v>133</v>
      </c>
    </row>
    <row r="28" spans="1:7" x14ac:dyDescent="0.25">
      <c r="A28" t="s">
        <v>16</v>
      </c>
      <c r="B28" s="5">
        <v>43817.07885416667</v>
      </c>
    </row>
    <row r="29" spans="1:7" x14ac:dyDescent="0.25">
      <c r="A29" t="s">
        <v>2</v>
      </c>
    </row>
    <row r="30" spans="1:7" x14ac:dyDescent="0.25">
      <c r="A30" t="s">
        <v>47</v>
      </c>
      <c r="B30" t="s">
        <v>113</v>
      </c>
    </row>
    <row r="31" spans="1:7" x14ac:dyDescent="0.25">
      <c r="A31" t="s">
        <v>5</v>
      </c>
      <c r="B31" s="2">
        <f>B23/B24</f>
        <v>1.4492753623253611E-2</v>
      </c>
      <c r="C31" t="s">
        <v>6</v>
      </c>
    </row>
    <row r="32" spans="1:7" x14ac:dyDescent="0.25">
      <c r="A32" t="s">
        <v>103</v>
      </c>
      <c r="B32" t="s">
        <v>121</v>
      </c>
    </row>
    <row r="33" spans="1:13" x14ac:dyDescent="0.25">
      <c r="A33" t="s">
        <v>104</v>
      </c>
      <c r="B33" t="s">
        <v>125</v>
      </c>
    </row>
    <row r="34" spans="1:13" x14ac:dyDescent="0.25">
      <c r="A34" t="s">
        <v>11</v>
      </c>
      <c r="B34" t="s">
        <v>7</v>
      </c>
      <c r="C34" t="s">
        <v>8</v>
      </c>
      <c r="D34" t="s">
        <v>9</v>
      </c>
      <c r="E34" t="s">
        <v>10</v>
      </c>
      <c r="F34" t="s">
        <v>86</v>
      </c>
      <c r="G34" t="s">
        <v>87</v>
      </c>
      <c r="I34" t="s">
        <v>71</v>
      </c>
      <c r="J34" s="16" t="s">
        <v>69</v>
      </c>
      <c r="K34" s="2" t="s">
        <v>70</v>
      </c>
      <c r="L34" t="s">
        <v>72</v>
      </c>
      <c r="M34" t="s">
        <v>73</v>
      </c>
    </row>
    <row r="35" spans="1:13" x14ac:dyDescent="0.25">
      <c r="A35" t="s">
        <v>96</v>
      </c>
      <c r="B35" s="1">
        <v>43817.068194444444</v>
      </c>
      <c r="C35" s="1">
        <v>43817.078611111108</v>
      </c>
      <c r="D35" s="2">
        <f>MAX((C35-B35)*24,0)</f>
        <v>0.24999999994179234</v>
      </c>
      <c r="F35" s="32" t="s">
        <v>131</v>
      </c>
      <c r="G35" s="32" t="s">
        <v>132</v>
      </c>
      <c r="J35" s="16"/>
      <c r="K35" s="2"/>
      <c r="L35" s="2"/>
      <c r="M35" s="17"/>
    </row>
    <row r="36" spans="1:13" x14ac:dyDescent="0.25">
      <c r="A36" t="s">
        <v>100</v>
      </c>
      <c r="B36" s="1">
        <v>43817.068229166667</v>
      </c>
      <c r="C36" s="1">
        <v>43817.078645833331</v>
      </c>
      <c r="D36" s="2">
        <f>MAX((C36-B36)*24,0)</f>
        <v>0.24999999994179234</v>
      </c>
      <c r="F36" s="32" t="s">
        <v>131</v>
      </c>
      <c r="G36" s="32" t="s">
        <v>132</v>
      </c>
    </row>
    <row r="37" spans="1:13" x14ac:dyDescent="0.25">
      <c r="A37" t="s">
        <v>101</v>
      </c>
      <c r="B37" s="1">
        <v>43817.06826388889</v>
      </c>
      <c r="C37" s="1">
        <v>43817.078680555554</v>
      </c>
      <c r="D37" s="2">
        <f>MAX((C37-B37)*24,0)</f>
        <v>0.24999999994179234</v>
      </c>
      <c r="F37" s="32" t="s">
        <v>131</v>
      </c>
      <c r="G37" s="32" t="s">
        <v>132</v>
      </c>
    </row>
    <row r="38" spans="1:13" x14ac:dyDescent="0.25">
      <c r="A38" t="s">
        <v>105</v>
      </c>
      <c r="B38" s="1">
        <v>43817.068437499998</v>
      </c>
      <c r="C38" s="1">
        <v>43817.07885416667</v>
      </c>
      <c r="D38" s="2">
        <f>MAX((C38-B38)*24,0)</f>
        <v>0.25000000011641532</v>
      </c>
      <c r="F38" s="32" t="s">
        <v>131</v>
      </c>
      <c r="G38" s="32" t="s">
        <v>132</v>
      </c>
    </row>
    <row r="40" spans="1:13" x14ac:dyDescent="0.25">
      <c r="A40" t="s">
        <v>136</v>
      </c>
      <c r="B40" t="s">
        <v>115</v>
      </c>
      <c r="C40" t="s">
        <v>137</v>
      </c>
      <c r="D40">
        <v>15</v>
      </c>
      <c r="E40" t="s">
        <v>138</v>
      </c>
      <c r="F40">
        <v>13</v>
      </c>
    </row>
    <row r="41" spans="1:13" x14ac:dyDescent="0.25">
      <c r="A41" s="4" t="s">
        <v>25</v>
      </c>
    </row>
    <row r="42" spans="1:13" x14ac:dyDescent="0.25">
      <c r="A42" t="s">
        <v>3</v>
      </c>
      <c r="B42" t="s">
        <v>114</v>
      </c>
    </row>
    <row r="43" spans="1:13" x14ac:dyDescent="0.25">
      <c r="A43" t="s">
        <v>79</v>
      </c>
      <c r="B43" s="2">
        <v>0.25</v>
      </c>
      <c r="C43" t="s">
        <v>4</v>
      </c>
    </row>
    <row r="44" spans="1:13" x14ac:dyDescent="0.25">
      <c r="A44" t="s">
        <v>0</v>
      </c>
      <c r="B44" s="2">
        <f>SUM(D:D)</f>
        <v>51.749999999767169</v>
      </c>
      <c r="C44" t="s">
        <v>4</v>
      </c>
    </row>
    <row r="45" spans="1:13" x14ac:dyDescent="0.25">
      <c r="A45" t="s">
        <v>14</v>
      </c>
      <c r="B45" s="5" t="s">
        <v>99</v>
      </c>
    </row>
    <row r="46" spans="1:13" x14ac:dyDescent="0.25">
      <c r="A46" t="s">
        <v>15</v>
      </c>
      <c r="B46" s="5" t="s">
        <v>19</v>
      </c>
    </row>
    <row r="47" spans="1:13" x14ac:dyDescent="0.25">
      <c r="A47" t="s">
        <v>1</v>
      </c>
      <c r="B47" t="s">
        <v>97</v>
      </c>
    </row>
    <row r="48" spans="1:13" x14ac:dyDescent="0.25">
      <c r="A48" t="s">
        <v>16</v>
      </c>
      <c r="B48" s="5" t="s">
        <v>99</v>
      </c>
    </row>
    <row r="49" spans="1:13" x14ac:dyDescent="0.25">
      <c r="A49" t="s">
        <v>2</v>
      </c>
    </row>
    <row r="50" spans="1:13" x14ac:dyDescent="0.25">
      <c r="A50" t="s">
        <v>47</v>
      </c>
      <c r="B50" t="s">
        <v>115</v>
      </c>
    </row>
    <row r="51" spans="1:13" x14ac:dyDescent="0.25">
      <c r="A51" t="s">
        <v>5</v>
      </c>
      <c r="B51" s="2">
        <f>B43/B44</f>
        <v>4.8309178744178703E-3</v>
      </c>
      <c r="C51" t="s">
        <v>6</v>
      </c>
    </row>
    <row r="52" spans="1:13" x14ac:dyDescent="0.25">
      <c r="A52" t="s">
        <v>103</v>
      </c>
      <c r="B52" t="s">
        <v>121</v>
      </c>
    </row>
    <row r="53" spans="1:13" x14ac:dyDescent="0.25">
      <c r="A53" t="s">
        <v>104</v>
      </c>
      <c r="B53" t="s">
        <v>125</v>
      </c>
    </row>
    <row r="54" spans="1:13" x14ac:dyDescent="0.25">
      <c r="A54" t="s">
        <v>11</v>
      </c>
      <c r="B54" t="s">
        <v>7</v>
      </c>
      <c r="C54" t="s">
        <v>8</v>
      </c>
      <c r="D54" t="s">
        <v>9</v>
      </c>
      <c r="E54" t="s">
        <v>10</v>
      </c>
      <c r="F54" t="s">
        <v>86</v>
      </c>
      <c r="G54" t="s">
        <v>87</v>
      </c>
      <c r="I54" t="s">
        <v>71</v>
      </c>
      <c r="J54" s="16" t="s">
        <v>69</v>
      </c>
      <c r="K54" s="2" t="s">
        <v>70</v>
      </c>
      <c r="L54" t="s">
        <v>72</v>
      </c>
      <c r="M54" t="s">
        <v>73</v>
      </c>
    </row>
    <row r="55" spans="1:13" x14ac:dyDescent="0.25">
      <c r="B55" s="1"/>
      <c r="C55" s="1"/>
      <c r="D55" s="2">
        <f>MAX((C55-B55)*24,0)</f>
        <v>0</v>
      </c>
      <c r="J55" s="16"/>
      <c r="K55" s="2"/>
      <c r="L55" s="2"/>
      <c r="M55" s="17"/>
    </row>
  </sheetData>
  <hyperlinks>
    <hyperlink ref="A2" location="Planning!A1" display="Go back to 'Planning' sheet" xr:uid="{E32B3A9F-4559-403A-9BE3-7C1FE3CF2141}"/>
    <hyperlink ref="F16" location="$F$15" display="$F$15" xr:uid="{4A4A611A-6522-48BD-8269-96D6C0D69497}"/>
    <hyperlink ref="G16" location="$G$15" display="$G$15" xr:uid="{AC238B4E-0EBD-4CB9-B6C3-854955E7B4F4}"/>
    <hyperlink ref="F17" location="$F$16" display="$F$16" xr:uid="{2833B741-D6B3-45EC-91E9-96E998D88774}"/>
    <hyperlink ref="G17" location="$G$16" display="$G$16" xr:uid="{6CD2073B-84E3-4453-AF22-F8078E122978}"/>
    <hyperlink ref="F18" location="$F$17" display="$F$17" xr:uid="{27F7E76A-7C69-487B-A566-E4642D942020}"/>
    <hyperlink ref="G18" location="$G$17" display="$G$17" xr:uid="{2F0ECB40-A34B-4889-A7B4-847A8FE98966}"/>
    <hyperlink ref="A21" location="Planning!A1" display="Go back to 'Planning' sheet" xr:uid="{F6D3DB92-EB2E-4E48-9F9B-9BB9929705BF}"/>
    <hyperlink ref="F35" location="$F$15" display="$F$15" xr:uid="{EB3D0C1E-C0E7-4E3F-8EE4-F71B76DE2BBF}"/>
    <hyperlink ref="G35" location="$G$15" display="$G$15" xr:uid="{A5AD84D6-C376-4AA7-8C0D-C039DE8B0229}"/>
    <hyperlink ref="F36" location="$F$16" display="$F$16" xr:uid="{091DA604-7825-4C02-BDFB-4BF28869A965}"/>
    <hyperlink ref="G36" location="$G$16" display="$G$16" xr:uid="{564E77B0-6681-4C5C-8ECB-7F60F310B335}"/>
    <hyperlink ref="F37" location="$F$17" display="$F$17" xr:uid="{E6D69B3A-517F-4C92-8328-EB46E8769041}"/>
    <hyperlink ref="G37" location="$G$17" display="$G$17" xr:uid="{726205E1-45E4-4875-B6D5-C38684F604E1}"/>
    <hyperlink ref="F38" location="$F$18" display="$F$18" xr:uid="{A091EB0D-0F85-483C-B67A-E82F9F4BE57E}"/>
    <hyperlink ref="G38" location="$G$18" display="$G$18" xr:uid="{B6F238F6-AAEC-4FAF-A82E-85FF9D881635}"/>
    <hyperlink ref="A41" location="Planning!A1" display="Go back to 'Planning' sheet" xr:uid="{2E227880-3D86-4F96-934A-0C885AF043C0}"/>
  </hyperlinks>
  <pageMargins left="0.7" right="0.7" top="0.78740157499999996" bottom="0.78740157499999996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zoomScaleNormal="100" workbookViewId="0">
      <selection activeCell="B18" sqref="B18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9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19" t="s">
        <v>78</v>
      </c>
      <c r="K2" s="19" t="s">
        <v>78</v>
      </c>
      <c r="L2" s="8"/>
      <c r="M2" s="8"/>
      <c r="N2" s="8"/>
      <c r="O2" s="8"/>
      <c r="P2" s="8"/>
      <c r="Q2" s="8"/>
      <c r="R2"/>
    </row>
    <row r="3" spans="1:19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7" t="s">
        <v>83</v>
      </c>
      <c r="K3" s="7" t="s">
        <v>77</v>
      </c>
      <c r="L3" s="20" t="s">
        <v>72</v>
      </c>
      <c r="M3" s="6" t="s">
        <v>14</v>
      </c>
      <c r="N3" s="6" t="s">
        <v>15</v>
      </c>
      <c r="O3" t="s">
        <v>16</v>
      </c>
      <c r="P3" t="s">
        <v>13</v>
      </c>
      <c r="Q3" t="s">
        <v>47</v>
      </c>
      <c r="R3"/>
    </row>
    <row r="4" spans="1:19" x14ac:dyDescent="0.25">
      <c r="A4" s="26" t="s">
        <v>106</v>
      </c>
      <c r="B4" s="25" t="s">
        <v>119</v>
      </c>
      <c r="C4" s="25"/>
      <c r="D4" s="26"/>
      <c r="E4" s="26" t="s">
        <v>126</v>
      </c>
      <c r="F4" s="26"/>
      <c r="G4" s="26" t="s">
        <v>120</v>
      </c>
      <c r="H4" s="31" t="s">
        <v>133</v>
      </c>
      <c r="I4" s="29">
        <v>0.5</v>
      </c>
      <c r="J4" s="29" t="s">
        <v>99</v>
      </c>
      <c r="K4" s="30" t="s">
        <v>99</v>
      </c>
      <c r="L4" s="27">
        <v>0.74999999982537702</v>
      </c>
      <c r="M4" s="26"/>
      <c r="N4" s="26" t="s">
        <v>19</v>
      </c>
      <c r="O4" s="28">
        <v>43817.078483796293</v>
      </c>
      <c r="P4" s="26" t="s">
        <v>99</v>
      </c>
      <c r="Q4" s="26" t="s">
        <v>118</v>
      </c>
    </row>
    <row r="5" spans="1:19" x14ac:dyDescent="0.25">
      <c r="A5" s="26" t="s">
        <v>100</v>
      </c>
      <c r="B5" s="25" t="s">
        <v>129</v>
      </c>
      <c r="C5" s="25"/>
      <c r="D5" s="26"/>
      <c r="E5" s="26"/>
      <c r="F5" s="26"/>
      <c r="G5" s="26" t="s">
        <v>124</v>
      </c>
      <c r="H5" s="31" t="s">
        <v>133</v>
      </c>
      <c r="I5" s="29">
        <v>0.75</v>
      </c>
      <c r="J5" s="29" t="s">
        <v>99</v>
      </c>
      <c r="K5" s="30" t="s">
        <v>99</v>
      </c>
      <c r="L5" s="27">
        <v>0.99999999994179201</v>
      </c>
      <c r="M5" s="26"/>
      <c r="N5" s="26" t="s">
        <v>19</v>
      </c>
      <c r="O5" s="28">
        <v>43817.07885416667</v>
      </c>
      <c r="P5" s="26" t="s">
        <v>99</v>
      </c>
      <c r="Q5" s="26" t="s">
        <v>113</v>
      </c>
    </row>
    <row r="6" spans="1:19" x14ac:dyDescent="0.25">
      <c r="A6" s="26" t="s">
        <v>101</v>
      </c>
      <c r="B6" s="25" t="s">
        <v>114</v>
      </c>
      <c r="C6" s="25"/>
      <c r="D6" s="26"/>
      <c r="E6" s="26"/>
      <c r="F6" s="26"/>
      <c r="G6" s="26" t="s">
        <v>124</v>
      </c>
      <c r="H6" s="31" t="s">
        <v>97</v>
      </c>
      <c r="I6" s="29">
        <v>0.25</v>
      </c>
      <c r="J6" s="29">
        <v>0.375</v>
      </c>
      <c r="K6" s="30">
        <v>43845.348958333336</v>
      </c>
      <c r="L6" s="27">
        <v>0</v>
      </c>
      <c r="M6" s="26"/>
      <c r="N6" s="26" t="s">
        <v>19</v>
      </c>
      <c r="O6" s="28"/>
      <c r="P6" s="26">
        <v>3</v>
      </c>
      <c r="Q6" s="26" t="s">
        <v>115</v>
      </c>
    </row>
    <row r="7" spans="1:19" x14ac:dyDescent="0.25">
      <c r="A7" s="26" t="s">
        <v>96</v>
      </c>
      <c r="B7" s="25" t="s">
        <v>112</v>
      </c>
      <c r="C7" s="25"/>
      <c r="D7" s="26"/>
      <c r="E7" s="26"/>
      <c r="F7" s="26"/>
      <c r="G7" s="26" t="s">
        <v>124</v>
      </c>
      <c r="H7" s="31" t="s">
        <v>97</v>
      </c>
      <c r="I7" s="29">
        <v>1</v>
      </c>
      <c r="J7" s="29">
        <v>1.583</v>
      </c>
      <c r="K7" s="30">
        <v>43845.399305555555</v>
      </c>
      <c r="L7" s="27">
        <v>0.24999999994179201</v>
      </c>
      <c r="M7" s="26"/>
      <c r="N7" s="26" t="s">
        <v>19</v>
      </c>
      <c r="O7" s="28"/>
      <c r="P7" s="26">
        <v>2</v>
      </c>
      <c r="Q7" s="26" t="s">
        <v>111</v>
      </c>
    </row>
    <row r="8" spans="1:19" x14ac:dyDescent="0.25">
      <c r="A8" s="26" t="s">
        <v>105</v>
      </c>
      <c r="B8" s="25" t="s">
        <v>117</v>
      </c>
      <c r="C8" s="25"/>
      <c r="D8" s="26"/>
      <c r="E8" s="26"/>
      <c r="F8" s="26"/>
      <c r="G8" s="26" t="s">
        <v>122</v>
      </c>
      <c r="H8" s="31" t="s">
        <v>97</v>
      </c>
      <c r="I8" s="29">
        <v>2</v>
      </c>
      <c r="J8" s="29">
        <v>4.4169999999999998</v>
      </c>
      <c r="K8" s="30">
        <v>43845.517361111109</v>
      </c>
      <c r="L8" s="27">
        <v>0</v>
      </c>
      <c r="M8" s="26"/>
      <c r="N8" s="26" t="s">
        <v>19</v>
      </c>
      <c r="O8" s="28"/>
      <c r="P8" s="26">
        <v>1</v>
      </c>
      <c r="Q8" s="26" t="s">
        <v>116</v>
      </c>
    </row>
    <row r="9" spans="1:19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0" spans="1:19" x14ac:dyDescent="0.25">
      <c r="A10" s="26"/>
      <c r="B10" s="25"/>
      <c r="C10" s="25"/>
      <c r="D10" s="26"/>
      <c r="E10" s="26"/>
      <c r="F10" s="26"/>
      <c r="G10" s="26"/>
      <c r="H10" s="31"/>
      <c r="I10" s="29"/>
      <c r="J10" s="29"/>
      <c r="K10" s="30"/>
      <c r="L10" s="27"/>
      <c r="M10" s="26"/>
      <c r="N10" s="26"/>
      <c r="O10" s="28"/>
      <c r="P10" s="26"/>
      <c r="Q10" s="26"/>
    </row>
    <row r="11" spans="1:19" x14ac:dyDescent="0.25">
      <c r="S11" s="8"/>
    </row>
    <row r="15" spans="1:19" x14ac:dyDescent="0.25">
      <c r="B15" s="12"/>
    </row>
    <row r="39" spans="19:19" x14ac:dyDescent="0.25">
      <c r="S39" t="s">
        <v>89</v>
      </c>
    </row>
  </sheetData>
  <dataConsolidate/>
  <conditionalFormatting sqref="D1 D3:D1048576">
    <cfRule type="containsText" dxfId="25" priority="5" operator="containsText" text="&lt;current">
      <formula>NOT(ISERROR(SEARCH("&lt;current",D1)))</formula>
    </cfRule>
  </conditionalFormatting>
  <conditionalFormatting sqref="H1:N1 H3:N3 J2:K2 H11:N1048576 H4:J10 L4:N8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3:P1048576 P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9F542B9B-6457-4DF0-A686-12CFDB2D0871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8" xr:uid="{5BC6DE82-994E-4984-9BFB-1292C1A6B6C3}">
      <formula1>"Me,Me3"</formula1>
    </dataValidation>
  </dataValidations>
  <hyperlinks>
    <hyperlink ref="B7" location="Planning!A1" display="Planning!A1" xr:uid="{E7E9EB20-9A6A-43A4-85F6-0260588D6383}"/>
    <hyperlink ref="B5" location="Planning!A1" display="Planning!A1" xr:uid="{FCF18BA7-767E-42AC-9D94-128940FF679B}"/>
    <hyperlink ref="B6" location="Planning!A1" display="Planning!A1" xr:uid="{F2059489-B87D-48E9-ACF8-FDDAAE5BAA21}"/>
    <hyperlink ref="B8" location="Planning!A1" display="Planning!A1" xr:uid="{8CFA1261-F85D-4859-A4DC-8DA15B465660}"/>
    <hyperlink ref="B4" location="Planning!A1" display="Planning!A1" xr:uid="{FB1E17D5-9329-412C-A215-AF443F84EE8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D37C7-27CA-4979-BC0E-E9B698F1DAC4}">
  <sheetPr codeName="TaskSheetTemplate1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117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116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103</v>
      </c>
      <c r="B12" t="s">
        <v>121</v>
      </c>
    </row>
    <row r="13" spans="1:13" x14ac:dyDescent="0.25">
      <c r="A13" t="s">
        <v>104</v>
      </c>
      <c r="B13" t="s">
        <v>123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/>
      <c r="M15" s="17"/>
    </row>
  </sheetData>
  <dataConsolidate/>
  <hyperlinks>
    <hyperlink ref="A1" location="Planning!A1" display="Go back to 'Planning' sheet" xr:uid="{840F0974-1A93-4919-8ED4-20D1BC61005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7EFF-51E3-44D3-9570-D4CFD0CF0959}">
  <sheetPr codeName="TaskSheetTemplate2"/>
  <dimension ref="A1:M21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112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0.24999999994179234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111</v>
      </c>
    </row>
    <row r="11" spans="1:13" x14ac:dyDescent="0.25">
      <c r="A11" t="s">
        <v>5</v>
      </c>
      <c r="B11" s="2">
        <f>B3/B4</f>
        <v>4.0000000009313226</v>
      </c>
      <c r="C11" t="s">
        <v>6</v>
      </c>
    </row>
    <row r="12" spans="1:13" x14ac:dyDescent="0.25">
      <c r="A12" t="s">
        <v>103</v>
      </c>
      <c r="B12" t="s">
        <v>121</v>
      </c>
    </row>
    <row r="13" spans="1:13" x14ac:dyDescent="0.25">
      <c r="A13" t="s">
        <v>104</v>
      </c>
      <c r="B13" t="s">
        <v>125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43817.077002314814</v>
      </c>
      <c r="C15" s="1">
        <v>43817.087418981479</v>
      </c>
      <c r="D15" s="2">
        <f>MAX((C15-B15)*24,0)</f>
        <v>0.24999999994179234</v>
      </c>
      <c r="F15" s="32" t="s">
        <v>131</v>
      </c>
      <c r="G15" s="32" t="s">
        <v>132</v>
      </c>
      <c r="I15" t="s">
        <v>96</v>
      </c>
      <c r="J15" s="16">
        <v>0.05</v>
      </c>
      <c r="K15" s="2">
        <v>1.3333333333333333</v>
      </c>
      <c r="L15" s="2" t="e">
        <f>#REF!</f>
        <v>#REF!</v>
      </c>
      <c r="M15" s="17" t="e">
        <f>Tabelle73675195369812545919478395119131143[[#This Row],[EBS self time]]/Tabelle73675195369812545919478395119131143[[#This Row],[Total time]]</f>
        <v>#REF!</v>
      </c>
    </row>
    <row r="16" spans="1:13" x14ac:dyDescent="0.25">
      <c r="I16" t="s">
        <v>100</v>
      </c>
      <c r="J16" s="16">
        <v>0.2</v>
      </c>
      <c r="K16" s="2">
        <v>1.3333333333333333</v>
      </c>
      <c r="L16" s="2" t="e">
        <f>#REF!</f>
        <v>#REF!</v>
      </c>
      <c r="M16" s="17" t="e">
        <f>Tabelle73675195369812545919478395119131143[[#This Row],[EBS self time]]/Tabelle73675195369812545919478395119131143[[#This Row],[Total time]]</f>
        <v>#REF!</v>
      </c>
    </row>
    <row r="17" spans="9:13" x14ac:dyDescent="0.25">
      <c r="I17" t="s">
        <v>101</v>
      </c>
      <c r="J17" s="16">
        <v>0.35</v>
      </c>
      <c r="K17" s="2">
        <v>1.3333333333333333</v>
      </c>
      <c r="L17" s="2" t="e">
        <f>#REF!</f>
        <v>#REF!</v>
      </c>
      <c r="M17" s="17" t="e">
        <f>Tabelle73675195369812545919478395119131143[[#This Row],[EBS self time]]/Tabelle73675195369812545919478395119131143[[#This Row],[Total time]]</f>
        <v>#REF!</v>
      </c>
    </row>
    <row r="18" spans="9:13" x14ac:dyDescent="0.25">
      <c r="I18" t="s">
        <v>105</v>
      </c>
      <c r="J18" s="16">
        <v>0.5</v>
      </c>
      <c r="K18" s="2">
        <v>1.3333333333333333</v>
      </c>
      <c r="L18" s="2" t="e">
        <f>#REF!</f>
        <v>#REF!</v>
      </c>
      <c r="M18" s="17" t="e">
        <f>Tabelle73675195369812545919478395119131143[[#This Row],[EBS self time]]/Tabelle73675195369812545919478395119131143[[#This Row],[Total time]]</f>
        <v>#REF!</v>
      </c>
    </row>
    <row r="19" spans="9:13" x14ac:dyDescent="0.25">
      <c r="I19" t="s">
        <v>106</v>
      </c>
      <c r="J19" s="16">
        <v>0.65</v>
      </c>
      <c r="K19" s="2">
        <v>1.4992503748125936</v>
      </c>
      <c r="L19" s="2" t="e">
        <f>#REF!</f>
        <v>#REF!</v>
      </c>
      <c r="M19" s="17" t="e">
        <f>Tabelle73675195369812545919478395119131143[[#This Row],[EBS self time]]/Tabelle73675195369812545919478395119131143[[#This Row],[Total time]]</f>
        <v>#REF!</v>
      </c>
    </row>
    <row r="20" spans="9:13" x14ac:dyDescent="0.25">
      <c r="I20" t="s">
        <v>163</v>
      </c>
      <c r="J20" s="16">
        <v>0.8</v>
      </c>
      <c r="K20" s="2">
        <v>1.4992503748125936</v>
      </c>
      <c r="L20" s="2" t="e">
        <f>#REF!</f>
        <v>#REF!</v>
      </c>
      <c r="M20" s="17" t="e">
        <f>Tabelle73675195369812545919478395119131143[[#This Row],[EBS self time]]/Tabelle73675195369812545919478395119131143[[#This Row],[Total time]]</f>
        <v>#REF!</v>
      </c>
    </row>
    <row r="21" spans="9:13" x14ac:dyDescent="0.25">
      <c r="I21" t="s">
        <v>164</v>
      </c>
      <c r="J21" s="16">
        <v>0.95</v>
      </c>
      <c r="K21" s="2">
        <v>1.4992503748125936</v>
      </c>
      <c r="L21" s="2" t="e">
        <f>#REF!</f>
        <v>#REF!</v>
      </c>
      <c r="M21" s="17" t="e">
        <f>Tabelle73675195369812545919478395119131143[[#This Row],[EBS self time]]/Tabelle73675195369812545919478395119131143[[#This Row],[Total time]]</f>
        <v>#REF!</v>
      </c>
    </row>
  </sheetData>
  <dataConsolidate/>
  <hyperlinks>
    <hyperlink ref="A1" location="Planning!A1" display="Go back to 'Planning' sheet" xr:uid="{6855A06A-02D7-494B-90C8-059071B32E73}"/>
    <hyperlink ref="F15" location="$F$15" display="$F$15" xr:uid="{4EEBA3C7-A951-4595-B720-2923D29631D3}"/>
    <hyperlink ref="G15" location="$G$15" display="$G$15" xr:uid="{34E0EDC7-1D67-4D1B-AF73-09D01A38A7C4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51A0-0C19-4175-A730-A7B703D68C60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4" t="s">
        <v>76</v>
      </c>
      <c r="G15" s="35"/>
      <c r="H15" s="35"/>
    </row>
    <row r="16" spans="5:8" x14ac:dyDescent="0.25">
      <c r="E16" s="15" t="s">
        <v>74</v>
      </c>
      <c r="F16" s="34" t="s">
        <v>37</v>
      </c>
      <c r="G16" s="35"/>
      <c r="H16" s="35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8">
        <v>43844.997523148151</v>
      </c>
      <c r="C19" t="s">
        <v>134</v>
      </c>
      <c r="D19" t="s">
        <v>27</v>
      </c>
      <c r="E19" t="s">
        <v>98</v>
      </c>
      <c r="F19" t="s">
        <v>174</v>
      </c>
      <c r="G19" t="s">
        <v>175</v>
      </c>
      <c r="H19" t="s">
        <v>176</v>
      </c>
      <c r="J19" t="s">
        <v>96</v>
      </c>
      <c r="K19" t="s">
        <v>115</v>
      </c>
      <c r="L19">
        <v>3</v>
      </c>
      <c r="M19" s="2">
        <v>0</v>
      </c>
      <c r="N19" s="2">
        <v>0.25</v>
      </c>
      <c r="O19" t="s">
        <v>165</v>
      </c>
      <c r="P19" t="s">
        <v>165</v>
      </c>
      <c r="Q19" t="s">
        <v>165</v>
      </c>
      <c r="R19" t="s">
        <v>98</v>
      </c>
      <c r="S19" t="s">
        <v>135</v>
      </c>
      <c r="T19" t="s">
        <v>166</v>
      </c>
    </row>
    <row r="20" spans="1:20" x14ac:dyDescent="0.25">
      <c r="B20" s="18"/>
      <c r="J20" t="s">
        <v>100</v>
      </c>
      <c r="K20" t="s">
        <v>111</v>
      </c>
      <c r="L20">
        <v>2</v>
      </c>
      <c r="M20" s="2">
        <v>0.24999999994179201</v>
      </c>
      <c r="N20" s="2">
        <v>1</v>
      </c>
      <c r="O20" t="s">
        <v>167</v>
      </c>
      <c r="P20" t="s">
        <v>168</v>
      </c>
      <c r="Q20" t="s">
        <v>169</v>
      </c>
      <c r="R20" t="s">
        <v>98</v>
      </c>
      <c r="S20" t="s">
        <v>170</v>
      </c>
      <c r="T20" t="s">
        <v>171</v>
      </c>
    </row>
    <row r="21" spans="1:20" x14ac:dyDescent="0.25">
      <c r="B21" s="18"/>
      <c r="J21" t="s">
        <v>101</v>
      </c>
      <c r="K21" t="s">
        <v>116</v>
      </c>
      <c r="L21">
        <v>1</v>
      </c>
      <c r="M21" s="2">
        <v>0</v>
      </c>
      <c r="N21" s="2">
        <v>2</v>
      </c>
      <c r="O21" t="s">
        <v>172</v>
      </c>
      <c r="P21" t="s">
        <v>172</v>
      </c>
      <c r="Q21" t="s">
        <v>173</v>
      </c>
      <c r="R21" t="s">
        <v>98</v>
      </c>
      <c r="S21" t="s">
        <v>174</v>
      </c>
      <c r="T21" t="s">
        <v>175</v>
      </c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  <c r="M25" s="2"/>
      <c r="N25" s="2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B35F6300-AE24-4E12-811D-B47DB6C152E7}">
      <formula1>"Yes,No"</formula1>
    </dataValidation>
    <dataValidation type="list" allowBlank="1" showInputMessage="1" showErrorMessage="1" sqref="F16" xr:uid="{0DA49313-C29A-4242-AC1F-0DB55851F7A6}">
      <formula1>"Time,Date"</formula1>
    </dataValidation>
    <dataValidation type="list" allowBlank="1" showInputMessage="1" showErrorMessage="1" sqref="F15:H15" xr:uid="{6028E4CA-4985-401E-8812-8C89D427572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workbookViewId="0">
      <selection activeCell="F24" sqref="F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33" t="s">
        <v>162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107</v>
      </c>
      <c r="C4" t="s">
        <v>108</v>
      </c>
      <c r="D4" t="s">
        <v>92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5"/>
      <c r="C5" s="5"/>
      <c r="D5" s="5"/>
      <c r="E5" s="5"/>
    </row>
    <row r="6" spans="1:10" x14ac:dyDescent="0.25">
      <c r="A6" t="s">
        <v>80</v>
      </c>
      <c r="B6" s="22"/>
      <c r="C6" s="22"/>
      <c r="D6" s="22"/>
      <c r="E6" s="5"/>
    </row>
    <row r="7" spans="1:10" x14ac:dyDescent="0.25">
      <c r="A7" t="s">
        <v>81</v>
      </c>
      <c r="B7" s="24"/>
      <c r="C7" s="24"/>
      <c r="D7" s="24"/>
    </row>
    <row r="8" spans="1:10" x14ac:dyDescent="0.25">
      <c r="A8" t="s">
        <v>82</v>
      </c>
      <c r="B8" s="23"/>
      <c r="C8" s="23"/>
      <c r="D8" s="23"/>
      <c r="E8" s="5"/>
    </row>
    <row r="10" spans="1:10" x14ac:dyDescent="0.25">
      <c r="B10" t="s">
        <v>94</v>
      </c>
      <c r="C10" t="s">
        <v>108</v>
      </c>
    </row>
    <row r="11" spans="1:10" x14ac:dyDescent="0.25">
      <c r="B11" t="s">
        <v>93</v>
      </c>
      <c r="C11" t="s">
        <v>109</v>
      </c>
      <c r="D11" s="2"/>
      <c r="E11" s="2"/>
    </row>
    <row r="12" spans="1:10" x14ac:dyDescent="0.25">
      <c r="B12" s="2" t="s">
        <v>95</v>
      </c>
      <c r="C12" s="13" t="s">
        <v>110</v>
      </c>
    </row>
    <row r="15" spans="1:10" x14ac:dyDescent="0.25">
      <c r="A15" t="s">
        <v>85</v>
      </c>
    </row>
    <row r="23" spans="1:2" x14ac:dyDescent="0.25">
      <c r="A23" t="s">
        <v>102</v>
      </c>
      <c r="B23" s="22" t="s">
        <v>130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1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1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1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1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1" t="s">
        <v>57</v>
      </c>
    </row>
    <row r="21" spans="1:3" x14ac:dyDescent="0.25">
      <c r="B21" t="s">
        <v>58</v>
      </c>
    </row>
    <row r="23" spans="1:3" x14ac:dyDescent="0.25">
      <c r="A23" s="11" t="s">
        <v>139</v>
      </c>
      <c r="B23" s="11" t="s">
        <v>88</v>
      </c>
    </row>
    <row r="24" spans="1:3" x14ac:dyDescent="0.25">
      <c r="A24" t="s">
        <v>140</v>
      </c>
      <c r="C24">
        <v>709</v>
      </c>
    </row>
    <row r="25" spans="1:3" x14ac:dyDescent="0.25">
      <c r="A25" t="s">
        <v>141</v>
      </c>
      <c r="C25">
        <v>1714</v>
      </c>
    </row>
    <row r="26" spans="1:3" x14ac:dyDescent="0.25">
      <c r="A26" t="s">
        <v>142</v>
      </c>
      <c r="C26">
        <v>403</v>
      </c>
    </row>
    <row r="27" spans="1:3" x14ac:dyDescent="0.25">
      <c r="A27" t="s">
        <v>143</v>
      </c>
      <c r="C27">
        <v>1115</v>
      </c>
    </row>
    <row r="28" spans="1:3" x14ac:dyDescent="0.25">
      <c r="A28" t="s">
        <v>144</v>
      </c>
      <c r="C28">
        <v>255</v>
      </c>
    </row>
    <row r="29" spans="1:3" x14ac:dyDescent="0.25">
      <c r="A29" t="s">
        <v>145</v>
      </c>
      <c r="C29">
        <v>12</v>
      </c>
    </row>
    <row r="30" spans="1:3" x14ac:dyDescent="0.25">
      <c r="A30" t="s">
        <v>146</v>
      </c>
      <c r="C30">
        <v>643</v>
      </c>
    </row>
    <row r="31" spans="1:3" x14ac:dyDescent="0.25">
      <c r="A31" t="s">
        <v>147</v>
      </c>
      <c r="C31">
        <v>686</v>
      </c>
    </row>
    <row r="32" spans="1:3" x14ac:dyDescent="0.25">
      <c r="A32" t="s">
        <v>148</v>
      </c>
      <c r="C32">
        <v>788</v>
      </c>
    </row>
    <row r="33" spans="1:3" x14ac:dyDescent="0.25">
      <c r="A33" t="s">
        <v>149</v>
      </c>
      <c r="C33">
        <v>72</v>
      </c>
    </row>
    <row r="34" spans="1:3" x14ac:dyDescent="0.25">
      <c r="A34" t="s">
        <v>150</v>
      </c>
      <c r="C34">
        <v>1290</v>
      </c>
    </row>
    <row r="35" spans="1:3" x14ac:dyDescent="0.25">
      <c r="A35" t="s">
        <v>151</v>
      </c>
      <c r="C35">
        <v>53</v>
      </c>
    </row>
    <row r="36" spans="1:3" x14ac:dyDescent="0.25">
      <c r="A36" t="s">
        <v>152</v>
      </c>
      <c r="C36">
        <v>210</v>
      </c>
    </row>
    <row r="37" spans="1:3" x14ac:dyDescent="0.25">
      <c r="A37" t="s">
        <v>153</v>
      </c>
      <c r="C37">
        <v>28</v>
      </c>
    </row>
    <row r="38" spans="1:3" x14ac:dyDescent="0.25">
      <c r="A38" t="s">
        <v>154</v>
      </c>
      <c r="C38">
        <v>1168</v>
      </c>
    </row>
    <row r="39" spans="1:3" x14ac:dyDescent="0.25">
      <c r="A39" t="s">
        <v>155</v>
      </c>
      <c r="C39">
        <v>17</v>
      </c>
    </row>
    <row r="40" spans="1:3" x14ac:dyDescent="0.25">
      <c r="A40" t="s">
        <v>156</v>
      </c>
      <c r="C40">
        <v>84</v>
      </c>
    </row>
    <row r="41" spans="1:3" x14ac:dyDescent="0.25">
      <c r="A41" t="s">
        <v>157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161</v>
      </c>
    </row>
    <row r="45" spans="1:3" x14ac:dyDescent="0.25">
      <c r="B45" t="s">
        <v>158</v>
      </c>
    </row>
    <row r="46" spans="1:3" x14ac:dyDescent="0.25">
      <c r="B46" t="s">
        <v>159</v>
      </c>
    </row>
    <row r="47" spans="1:3" x14ac:dyDescent="0.25">
      <c r="B47" t="s">
        <v>160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4" t="s">
        <v>76</v>
      </c>
      <c r="G15" s="35"/>
      <c r="H15" s="35"/>
    </row>
    <row r="16" spans="5:8" x14ac:dyDescent="0.25">
      <c r="E16" s="15" t="s">
        <v>74</v>
      </c>
      <c r="F16" s="34" t="s">
        <v>37</v>
      </c>
      <c r="G16" s="35"/>
      <c r="H16" s="35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VSHEET_STOR_38B238</vt:lpstr>
      <vt:lpstr>Planning</vt:lpstr>
      <vt:lpstr>t35EBA085FF3A95514</vt:lpstr>
      <vt:lpstr>t5C33AE2C601539DCA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2020-01-14T22:57:44Z</dcterms:modified>
  <cp:category/>
  <cp:contentStatus/>
</cp:coreProperties>
</file>