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drawings/drawing6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53438B6A-0F7E-4250-9B81-5E656B054D07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181E50" sheetId="955" state="hidden" r:id="rId1"/>
    <sheet name="Planning" sheetId="1" r:id="rId2"/>
    <sheet name="tFC8484721CD68E2E0" sheetId="956" state="hidden" r:id="rId3"/>
    <sheet name="t5C33AE2C601539DCA" sheetId="958" state="hidden" r:id="rId4"/>
    <sheet name="EbsSheet (Me)" sheetId="953" r:id="rId5"/>
    <sheet name="Settings" sheetId="418" r:id="rId6"/>
    <sheet name="Task sheet template" sheetId="5" state="hidden" r:id="rId7"/>
    <sheet name="Version info" sheetId="3" r:id="rId8"/>
    <sheet name="EbsSheet template" sheetId="440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956" l="1"/>
  <c r="D19" i="956"/>
  <c r="D20" i="956"/>
  <c r="D15" i="958"/>
  <c r="B4" i="958" s="1"/>
  <c r="B11" i="958" s="1"/>
  <c r="D72" i="955"/>
  <c r="D55" i="955"/>
  <c r="D54" i="955"/>
  <c r="D53" i="955"/>
  <c r="D52" i="955"/>
  <c r="D35" i="955"/>
  <c r="D18" i="955"/>
  <c r="D17" i="955"/>
  <c r="D16" i="955"/>
  <c r="B4" i="956" l="1"/>
  <c r="B11" i="956" s="1"/>
  <c r="B61" i="955"/>
  <c r="B68" i="955" s="1"/>
  <c r="B41" i="955"/>
  <c r="B48" i="955" s="1"/>
  <c r="B24" i="955"/>
  <c r="B31" i="955" s="1"/>
  <c r="B5" i="955"/>
  <c r="B12" i="955" s="1"/>
  <c r="L15" i="5"/>
  <c r="L15" i="956" l="1"/>
  <c r="M15" i="956" s="1"/>
  <c r="B34" i="3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tc={DFB19EB3-E1D4-45B4-AA19-19FB58DE5775}</author>
  </authors>
  <commentList>
    <comment ref="P18" authorId="0" shapeId="0" xr:uid="{DFB19EB3-E1D4-45B4-AA19-19FB58DE577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<sst xmlns="http://schemas.openxmlformats.org/spreadsheetml/2006/main" count="507" uniqueCount="166">
  <si>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</si>
  <si>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</si>
  <si>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</si>
  <si>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</si>
  <si>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</si>
  <si>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</si>
  <si>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</si>
  <si>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</si>
  <si>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</si>
  <si>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</si>
  <si>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</si>
  <si>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</si>
  <si>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</si>
  <si>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</si>
  <si>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</si>
  <si>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</si>
  <si>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</si>
  <si>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</si>
  <si>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n/a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</si>
  <si>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</si>
  <si>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</si>
  <si>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</si>
  <si>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</si>
  <si>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</si>
  <si>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</si>
  <si>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</si>
  <si>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</si>
  <si>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EBS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</si>
  <si>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</si>
  <si>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</si>
  <si>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</si>
  <si>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</si>
  <si>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</si>
  <si>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</si>
  <si>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</si>
  <si>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</si>
  <si>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</si>
  <si>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</si>
  <si>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</si>
  <si>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</si>
  <si>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</si>
  <si>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</si>
  <si>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</si>
  <si>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</si>
  <si>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</si>
  <si>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</si>
  <si>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</si>
  <si>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</si>
  <si>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</si>
  <si>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</si>
  <si>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</si>
  <si>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</si>
  <si>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</si>
  <si>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</si>
  <si>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</si>
  <si>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</si>
  <si>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</si>
  <si>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</si>
  <si>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</si>
  <si>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</si>
  <si>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</si>
  <si>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</si>
  <si>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</si>
  <si>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</si>
  <si>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</si>
  <si>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</si>
  <si>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</si>
  <si>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</si>
  <si>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</si>
  <si>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</si>
  <si>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</si>
  <si>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</si>
  <si>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</si>
  <si>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</si>
  <si>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</si>
  <si>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</si>
  <si>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</si>
  <si>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</si>
  <si>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</si>
  <si>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</si>
  <si>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</si>
  <si>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</si>
  <si>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</si>
  <si>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</si>
  <si>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</si>
  <si>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</si>
  <si>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</si>
  <si>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</si>
  <si>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</si>
  <si>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</si>
  <si>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Utils</t>
  </si>
  <si>
    <t>TaskUtils</t>
  </si>
  <si>
    <t>SettingUtils</t>
  </si>
  <si>
    <t>SanityChecks</t>
  </si>
  <si>
    <t>Planning</t>
  </si>
  <si>
    <t>Constants</t>
  </si>
  <si>
    <t>Base</t>
  </si>
  <si>
    <t>Calendar</t>
  </si>
  <si>
    <t>Lines of code</t>
  </si>
  <si>
    <t>PlanningSheet</t>
  </si>
  <si>
    <t>v1.05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</si>
  <si>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</si>
  <si>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</si>
  <si>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</si>
  <si>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</si>
  <si>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</si>
  <si>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</si>
  <si>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</si>
  <si>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</si>
  <si>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</si>
  <si>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</si>
  <si>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</si>
  <si>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</si>
  <si>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</si>
  <si>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</si>
  <si>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</si>
  <si>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</si>
  <si>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</si>
  <si>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</si>
  <si>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</si>
  <si>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</si>
  <si>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</si>
  <si>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</si>
  <si>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</si>
  <si>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&lt;ENTER_ESTIMATE&gt;</t>
  </si>
  <si>
    <t>Buy soy sauce</t>
  </si>
  <si>
    <t>tA4B130DB37AD50E73</t>
  </si>
  <si>
    <t>Buy strawberries</t>
  </si>
  <si>
    <t>t50344759B92C4C0A3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</si>
  <si>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</si>
  <si>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</si>
  <si>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</si>
  <si>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</si>
  <si>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</si>
  <si>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</si>
  <si>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</si>
  <si>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</si>
  <si>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</si>
  <si>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</si>
  <si>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</si>
  <si>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</si>
  <si>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</si>
  <si>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Buy chia seeds</t>
  </si>
  <si>
    <t>#000006</t>
  </si>
  <si>
    <t>VIRTUAL_SHEET_NAME</t>
  </si>
  <si>
    <t>VIRTUAL_SHEET_RANGE_ROWS</t>
  </si>
  <si>
    <t>VIRTUAL_SHEET_RANGE_COLS</t>
  </si>
  <si>
    <t>sheet.xlsm</t>
  </si>
  <si>
    <t>SetPlainDelta()</t>
  </si>
  <si>
    <t>SetCalendarDelta()</t>
  </si>
  <si>
    <t>Done</t>
  </si>
  <si>
    <t>{0,375;0,375;0,333;0,333;0,375;0,333;0,333;0,375;0,333;0,375;0,333;0,333;0,375;0,375;0,375;0,333;0,375;0,375;0,333;0,375;0,333;0,333;0,333;0,333;0,333;0,375;0,333;0,333;0,333;0,375;0,333;0,375;0,333;0,375;0,333;0,333;0,333;0,333;0,375;0,375;0,375;0,375;0,375;0,375;0,375;0,375;0,333;0,375;0,333;0,375}</t>
  </si>
  <si>
    <t>{0,333;0,333;0,333;0,354;0,375;0,375;0,375}</t>
  </si>
  <si>
    <t>{18/12/2019 08:20:00;18/12/2019 08:20:00;18/12/2019 08:20:00;18/12/2019 08:21:15;18/12/2019 08:22:30;18/12/2019 08:22:30;18/12/2019 08:22:30}</t>
  </si>
  <si>
    <t>{1,333;1,333;1,333;1,500;1,500;1,500;1,333;1,333;1,333;1,333;1,333;1,333;1,333;1,500;1,500;1,333;1,333;1,500;1,333;1,500;1,500;1,333;1,500;1,333;1,500;1,500;1,333;1,500;1,333;1,333;1,333;1,333;1,500;1,333;1,500;1,500;1,333;1,500;1,333;1,333;1,500;1,500;1,500;1,333;1,333;1,500;1,500;1,333;1,500;1,500}</t>
  </si>
  <si>
    <t>{1,708;1,708;1,667;1,833;1,875;1,833;1,667;1,708;1,667;1,708;1,667;1,667;1,708;1,875;1,875;1,667;1,708;1,875;1,667;1,875;1,833;1,667;1,833;1,667;1,833;1,875;1,667;1,833;1,667;1,708;1,667;1,708;1,833;1,708;1,833;1,833;1,667;1,833;1,708;1,708;1,875;1,875;1,875;1,708;1,708;1,875;1,833;1,708;1,833;1,875}</t>
  </si>
  <si>
    <t>{1,667;1,667;1,708;1,708;1,833;1,875;1,875}</t>
  </si>
  <si>
    <t>{18/12/2019 09:40:00;18/12/2019 09:40:00;18/12/2019 09:42:30;18/12/2019 09:42:30;18/12/2019 09:50:00;18/12/2019 09:52:30;18/12/2019 09:52:30}</t>
  </si>
  <si>
    <t>{2,667;2,667;3,000;3,000;2,667;3,000;2,667;3,000;3,000;3,000;2,667;3,000;3,000;3,000;3,000;2,667;3,000;2,667;3,000;3,000;2,667;3,000;3,000;2,667;3,000;3,000;2,667;2,667;3,000;2,667;3,000;3,000;2,667;2,667;2,667;2,667;2,667;3,000;2,667;3,000;2,667;3,000;2,667;3,000;2,667;3,000;2,667;2,667;2,667;2,667}</t>
  </si>
  <si>
    <t>{4,375;4,375;4,667;4,833;4,542;4,833;4,333;4,708;4,667;4,708;4,333;4,667;4,708;4,875;4,875;4,333;4,708;4,542;4,667;4,875;4,500;4,667;4,833;4,333;4,833;4,875;4,333;4,500;4,667;4,375;4,667;4,708;4,500;4,375;4,500;4,500;4,333;4,833;4,375;4,708;4,542;4,875;4,542;4,708;4,375;4,875;4,500;4,375;4,500;4,542}</t>
  </si>
  <si>
    <t>{4,333;4,375;4,500;4,604;4,702;4,833;4,875}</t>
  </si>
  <si>
    <t>{18/12/2019 12:20:00;18/12/2019 12:22:30;18/12/2019 12:30:00;18/12/2019 12:36:15;18/12/2019 12:42:07;18/12/2019 12:50:00;18/12/2019 12:52:30}</t>
  </si>
  <si>
    <t>e76B2037731D14B42C</t>
  </si>
  <si>
    <t>{0,750;0,667}</t>
  </si>
  <si>
    <t>tFC8484721CD68E2E0</t>
  </si>
  <si>
    <t>Add N/A to ebs cols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</si>
</sst>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93D07B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</cellStyleXfs>
  <cellXfs count="36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4" fillId="4" borderId="0" xfId="3" applyFont="1" applyFill="1" applyBorder="1" applyAlignment="1">
      <alignment horizontal="left"/>
    </xf>
    <xf numFmtId="0" fontId="7" fillId="7" borderId="0" xfId="2" applyFont="1" applyFill="1"/>
    <xf numFmtId="0" fontId="7" fillId="0" borderId="0" xfId="2" applyFont="1"/>
  </cellXfs>
  <cellStyles count="4">
    <cellStyle name="Eingabe" xfId="3" builtinId="20"/>
    <cellStyle name="Link" xfId="2" builtinId="8"/>
    <cellStyle name="Spaltenebene_1" xfId="1" builtinId="2" iLevel="0"/>
    <cellStyle name="Standard" xfId="0" builtinId="0"/>
  </cellStyles>
  <dxfs count="87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18/12/2019 01:53:44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2D76-4977-8CBC-B9A0050BA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15%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43817.078981481478</c:v>
              </c:pt>
            </c:numLit>
          </c:xVal>
          <c:yVal>
            <c:numLit>
              <c:formatCode>General</c:formatCode>
              <c:ptCount val="1"/>
              <c:pt idx="0">
                <c:v>4.3609999999999998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7DB-47FB-BC2B-1108175EE9BB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43817.078981481478</c:v>
              </c:pt>
            </c:numLit>
          </c:xVal>
          <c:yVal>
            <c:numLit>
              <c:formatCode>General</c:formatCode>
              <c:ptCount val="1"/>
              <c:pt idx="0">
                <c:v>4.6040000000000001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7DB-47FB-BC2B-1108175EE9BB}"/>
            </c:ext>
          </c:extLst>
        </c:ser>
        <c:ser>
          <c:idx val="2"/>
          <c:order val="2"/>
          <c:tx>
            <c:v>85%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43817.078981481478</c:v>
              </c:pt>
            </c:numLit>
          </c:xVal>
          <c:yVal>
            <c:numLit>
              <c:formatCode>General</c:formatCode>
              <c:ptCount val="1"/>
              <c:pt idx="0">
                <c:v>4.8470000000000004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7DB-47FB-BC2B-1108175EE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9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9AD2C48-39F2-4CA0-87A0-A0632CFF1B85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227D540-1C01-4A42-BA10-8B8ACF2597D8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CFE7071-5F7E-476D-91FE-1C6739CC5EFB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6BFFABC-EA31-4F40-85E9-28868B76F2A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A926D74-DF8F-4617-A625-FAA04A32742B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29349B9-4AF9-4E1E-A0F6-DCADAFB21BC9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7217DA9-EFD8-408B-9F93-4E6F6B33B1CB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C7E2E91-4675-4257-A1B6-384124ED7FDC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E6BF6D7-C765-4713-B15C-D1E48313DD39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B9C7D6-87C2-4AD4-9A32-EB0D7AE1C9BD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D3DEE63-C847-4BE1-8FA7-93A0FCDE955B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E957F97-4E43-436A-B372-211426ED5A77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3A5AD9B-3C0E-467A-9E11-11942357B3B5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C2A4DB8-986E-4065-8232-A0BB31FDDEB3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C917CF9-9335-4231-AB46-E6AF7EAC6532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D5E167B-0E5C-4906-9F43-90E90C62B5FF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DE425A1-0B06-4BB6-805C-794A955D2DD6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AACF2F8-0613-41AC-BBFC-7D284AD1A0E2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39B7785-E83A-44B5-9750-A97EA7DCF722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94ECA22-F1A6-420B-ABBC-36173ECB4083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CB45F24-1EAF-4CE3-938F-F340286BA141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2EE119F-54C2-4928-A504-74EB5CA36A14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F3FFD80-408C-4271-9863-93942193C76C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3B1BE8B-7B9B-4D4A-9930-4D6EC135ACB9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9F0879-7D32-4580-99F3-9400E39752A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89F7333-DB0F-4FBA-94E2-83B0733C412D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B239CD3-913E-43EA-A9DB-A381E7C699B4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1020158-04E3-4F22-961B-FDFF7949370C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6B0D6B1-00FF-4CC4-9969-561CE87A50FE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F2CBA16-B67B-4F31-B8AB-952E69D8EDFA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A7D7F42-9F8C-4DBF-9A93-0D334855B6D5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598850D-9641-4486-95D0-30828BECD7FC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578D33A-02DE-4AB4-A821-7F01C2AE9654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4433677-AADC-41F7-BB45-BF14A8EB948A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D61F546-521E-457D-B801-0FE9FA19F0B8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2D15ECE-4C93-4A38-BB06-52162E211A7B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AB27584-E02E-48C3-ADB7-DE7316F2E2B5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78B030C-214B-45A3-87F9-95D9FDB9FED6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14BC83A-DD1B-434C-87EE-ED4200092FB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EF37F2C-680B-459A-9771-E93A2A3371A8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96BF694-275F-4FD6-989E-898B732EC056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199C35D-D400-4F98-A112-FA4FE12986B5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24D9D09-ABFE-454F-BAE1-1610C7F2CC72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AED4ED6-89E4-43F7-83BD-C65B6845B1BD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6A2AC4E-758D-495F-BC57-5999DEB313F9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DA7CEB4-F5E4-4736-BC71-90C19C72D75A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810B799-BDD7-4E95-9D90-1F9953527B2B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3DE879A-7B16-4752-9D63-73428BCF050D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EC6676C-F3FF-4602-B1AD-3F515C518873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2CCCE68-F926-4D56-A2F7-F4E5DEF0DB5E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1D60BC5-02D7-427A-ABA4-68824D17E069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05BCD14-A87A-4D51-930C-AC83FA0917DE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13F9971-9C47-4A32-BFE0-F94CB12A901C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13E5C0E-9D95-46BA-963B-07BD37F0892C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79D20CC-F3E6-45C6-9B55-6171CB978117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4806710-5390-419D-8924-2A1335FFE33E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3232D66-9127-4325-A40D-4CBC45AFC51B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F18D9D1-33CC-45C4-9C02-54C00A76C957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FB1AB5C-D1DF-4CA2-BBF9-9A1E297779C2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5FB55EC-6EFF-4FBE-8B79-E5E17F891AF6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DE441F5-37F3-4498-929C-08376EFF8CD4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19E99A5-9A40-443E-B365-B7730B6A27D7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251E0AC-4FE4-4F1A-966A-DDA4C1365A48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38091C3-F54C-4448-9712-8D9524D9CAFD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144DF31-4247-4F8A-B69C-227C968BB5AF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E2A5E0-F4AF-41A9-A850-38E7AB8F8BB6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FC6640E-C918-4AEB-A19F-2310F579D7F8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1FF92F-65C1-4683-BD11-484B6125A30D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1B64C6A-EBCD-4239-AB13-17262F10DCBF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BB6825F-D654-451C-96F6-3E06A139EAD9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CCABB6-9125-4BAA-8C96-F6BE4336F146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1784708-414B-4BC2-9A6C-5A40D4F17419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A64A138-6857-464E-8027-E9CE3C6B9DB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1F4579A-AD7E-4BC2-B51B-8341C6A53A62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59D278E-240C-40E8-870A-257E7AEF7431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1F7253A-7781-4714-A4AA-0B82AFF052CE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01F5E89-9A68-4298-A549-A7B125F4717D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77D5382-2D21-46BF-AFBD-5ACEE063054E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218D36B-7B2C-483A-9D5C-279EFE26FFC5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D0F9D2B-EC07-4813-A1C6-DD11B4DCF44D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E4ADDB6-459A-47EF-98E2-7E75113BE385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E80A20E-CBD8-425D-B7BC-E1383F8CA794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F0AFC46-356B-467E-9793-59505F4DB901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E8B12CE-783D-4153-A8A1-0922E7D58064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97D1873-12B3-467D-8D6E-D75B0A4D9125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5DE598F-E788-4D73-8D33-6FB5475279CB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9D4142-BCD6-4084-80D6-D589A5425DCF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76B8A42-3B7D-4372-9B2F-B1DC7A2DD5F7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121EAE6-4367-46E0-9E14-4C858652FEB9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C50E041-5DCC-439A-B234-13CB81DB231A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56207AD-5D47-408C-9544-BE92BCF566E9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BEB55A-37E4-4AF6-AE5A-F8061D506869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9A242D1-9208-4772-97F9-378B20376BB3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EF8C21-534C-4CAF-ACD7-87646D6DA69D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0AD473C-45B1-436A-B0F8-9C0CA453EB4E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6FF1AC9-3378-47CD-BBE7-53C486644CCE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5ED0048-D055-4212-BCF2-562CDA661C89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A9BC2C4-3252-4AA7-A4D5-620200E235E9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BA10312-3A5F-41DF-91F1-F865FA3BE4D5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8CFAB4E-6B4C-4B7B-BC22-5160E387600A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2346411-8562-4740-B32F-85360A985C5E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F70BF4CD-053A-4FCD-8A46-2DAFF3B756D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AFC6F56E-F710-4DD8-AC58-BDBC8F0EF64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B8A786C-7D2A-4221-8A7D-80A6F3BCD8B9}" name="TimeEntries14263659" displayName="TimeEntries14263659" ref="A15:G18" totalsRowShown="0">
  <autoFilter ref="A15:G18" xr:uid="{733D44F6-3404-46FA-9108-D422AA42AF20}"/>
  <sortState xmlns:xlrd2="http://schemas.microsoft.com/office/spreadsheetml/2017/richdata2" ref="A16:E16">
    <sortCondition ref="A14:A15"/>
  </sortState>
  <tableColumns count="7">
    <tableColumn id="1" xr3:uid="{BE0F6670-1EE1-40EF-9B5B-C1F60B49B977}" name="Time entry no."/>
    <tableColumn id="2" xr3:uid="{2D79A858-EAC8-4675-B852-F53A8BEEC34B}" name="Start time" dataDxfId="69"/>
    <tableColumn id="3" xr3:uid="{F3812BE8-5D9A-4078-99BC-E49B2CE6AFDC}" name="End time" dataDxfId="68"/>
    <tableColumn id="4" xr3:uid="{7AE55369-CAC9-448F-9945-ED886ED3B08D}" name="Time delta in h" dataDxfId="67">
      <calculatedColumnFormula>MAX((C16-B16)*24,0)</calculatedColumnFormula>
    </tableColumn>
    <tableColumn id="5" xr3:uid="{92A83CBD-5A39-4476-B3A4-2E8CCB268716}" name="Indicator"/>
    <tableColumn id="6" xr3:uid="{53AEF144-8C76-4CE3-897F-8B91F027662B}" name="Action1" dataDxfId="66" dataCellStyle="Link"/>
    <tableColumn id="7" xr3:uid="{2EB5D108-8C30-49A8-8BB2-D544E27971B6}" name="Action2" dataDxfId="65" dataCellStyle="Link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B1D5C3E7-09CA-4A96-9417-AB194A735CB4}" name="Tabelle736715273760" displayName="Tabelle736715273760" ref="I15:M16" insertRow="1" totalsRowShown="0">
  <autoFilter ref="I15:M16" xr:uid="{5CCB7AC9-E547-476B-B132-628F4895A4C8}"/>
  <tableColumns count="5">
    <tableColumn id="1" xr3:uid="{E3E4F8F2-EE7C-4553-AE6A-89B5485B4FD4}" name="Comparison entry no."/>
    <tableColumn id="2" xr3:uid="{38912E86-B867-488A-A3AB-0FE3E5A2D568}" name="Propability Support point" dataDxfId="64"/>
    <tableColumn id="3" xr3:uid="{2B84B7D4-C9A4-4D29-A37B-8EABBF37315C}" name="EBS self time" dataDxfId="63"/>
    <tableColumn id="4" xr3:uid="{072EA3A8-3DC5-4C9E-80DF-67F84D317B2B}" name="Total time">
      <calculatedColumnFormula>$B$4</calculatedColumnFormula>
    </tableColumn>
    <tableColumn id="5" xr3:uid="{A04BD9E3-CFF3-4DEC-B18C-80C90BE3FB9D}" name="Total time / Your estimate" dataDxfId="62">
      <calculatedColumnFormula>Tabelle736715273760[[#This Row],[EBS self time]]/Tabelle736715273760[[#This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223ECB5-095A-48CF-A7F0-EEC2A35E862F}" name="TimeEntries11244061" displayName="TimeEntries11244061" ref="A34:G35" totalsRowShown="0">
  <autoFilter ref="A34:G35" xr:uid="{3DCC1ECD-6B73-4979-A647-5F7093B60BDB}"/>
  <sortState xmlns:xlrd2="http://schemas.microsoft.com/office/spreadsheetml/2017/richdata2" ref="A35:E35">
    <sortCondition ref="A14:A15"/>
  </sortState>
  <tableColumns count="7">
    <tableColumn id="1" xr3:uid="{64DE819C-6854-4178-A4B8-EC1D80E05470}" name="Time entry no."/>
    <tableColumn id="2" xr3:uid="{0B9F65E6-986C-4F79-9EA0-234E364569E1}" name="Start time" dataDxfId="61"/>
    <tableColumn id="3" xr3:uid="{E9980EEC-0A96-41B9-9AED-3157F7D4AF6E}" name="End time" dataDxfId="60"/>
    <tableColumn id="4" xr3:uid="{4D6A7E35-23D2-4F0A-9181-43DB381824CB}" name="Time delta in h" dataDxfId="59">
      <calculatedColumnFormula>MAX((C35-B35)*24,0)</calculatedColumnFormula>
    </tableColumn>
    <tableColumn id="5" xr3:uid="{86B8EA24-986F-4698-9FDA-21D9592A3470}" name="Indicator"/>
    <tableColumn id="6" xr3:uid="{204ADD92-D557-48DF-AA60-BCC307ED24CD}" name="Action1"/>
    <tableColumn id="7" xr3:uid="{DFFE4493-816D-48C2-AE3E-60B4512DCC55}" name="Action2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A996E51-681D-4FC9-B2D4-C027DB9F4806}" name="Tabelle736713254162" displayName="Tabelle736713254162" ref="I34:M35" insertRow="1" totalsRowShown="0">
  <autoFilter ref="I34:M35" xr:uid="{919A895A-7952-4A35-9C5F-F2C73C404B33}"/>
  <tableColumns count="5">
    <tableColumn id="1" xr3:uid="{5AA33B4F-976B-4F62-AD92-4C75C7C2E6C3}" name="Comparison entry no."/>
    <tableColumn id="2" xr3:uid="{C6DEC0CA-D53A-4A72-8D91-16ED0D705AA2}" name="Propability Support point" dataDxfId="58"/>
    <tableColumn id="3" xr3:uid="{4105BC05-C60C-4B50-AA6A-449E74593CDA}" name="EBS self time" dataDxfId="57"/>
    <tableColumn id="4" xr3:uid="{2F0FE2D1-D033-479A-BA01-C6456C28E037}" name="Total time">
      <calculatedColumnFormula>$B$4</calculatedColumnFormula>
    </tableColumn>
    <tableColumn id="5" xr3:uid="{4779AEB6-88A6-439B-9FC2-C404865255FA}" name="Total time / Your estimate" dataDxfId="56">
      <calculatedColumnFormula>Tabelle736713254162[[#This Row],[EBS self time]]/Tabelle736713254162[[#This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B56FA42-993C-4086-B0C4-7920BC2FFF63}" name="TimeEntries6204463" displayName="TimeEntries6204463" ref="A51:G55" totalsRowShown="0">
  <autoFilter ref="A51:G55" xr:uid="{B61711DC-60DE-4320-8656-44EA7E807702}"/>
  <sortState xmlns:xlrd2="http://schemas.microsoft.com/office/spreadsheetml/2017/richdata2" ref="A52:E52">
    <sortCondition ref="A14:A15"/>
  </sortState>
  <tableColumns count="7">
    <tableColumn id="1" xr3:uid="{16269218-C491-43F8-A56C-D15DA2219F00}" name="Time entry no."/>
    <tableColumn id="2" xr3:uid="{7B3317ED-1E17-4F05-909A-753FB179A520}" name="Start time" dataDxfId="55"/>
    <tableColumn id="3" xr3:uid="{040DD55B-AAA3-4390-8A62-6CACB4AC9CD8}" name="End time" dataDxfId="54"/>
    <tableColumn id="4" xr3:uid="{96C5A386-64BA-45F8-95B3-3E9D36219F17}" name="Time delta in h" dataDxfId="53">
      <calculatedColumnFormula>MAX((C52-B52)*24,0)</calculatedColumnFormula>
    </tableColumn>
    <tableColumn id="5" xr3:uid="{60C798E5-CC69-4BBA-9BBD-FC1D81E0F46D}" name="Indicator"/>
    <tableColumn id="6" xr3:uid="{05944A3E-C7BD-4A64-A36D-74F898CCC2C2}" name="Action1" dataDxfId="52" dataCellStyle="Link"/>
    <tableColumn id="7" xr3:uid="{51A72317-CDF3-45CE-9D4D-154D48E9B1ED}" name="Action2" dataDxfId="51" dataCellStyle="Link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C717FA50-A176-49DE-9541-7AB204DE2D84}" name="Tabelle73677214564" displayName="Tabelle73677214564" ref="I51:M52" insertRow="1" totalsRowShown="0">
  <autoFilter ref="I51:M52" xr:uid="{CBFC9EED-CFBF-4A52-8E04-9EB2D1D4FA75}"/>
  <tableColumns count="5">
    <tableColumn id="1" xr3:uid="{D452B512-C888-4806-9A07-E3F4DD551888}" name="Comparison entry no."/>
    <tableColumn id="2" xr3:uid="{1369D2B5-091E-470E-954E-D920829DE673}" name="Propability Support point" dataDxfId="50"/>
    <tableColumn id="3" xr3:uid="{E0663BA5-5C91-4C0A-9084-46F0AF914038}" name="EBS self time" dataDxfId="49"/>
    <tableColumn id="4" xr3:uid="{6CED48D5-0A3D-4EBD-947A-B05F02A67B3F}" name="Total time">
      <calculatedColumnFormula>$B$4</calculatedColumnFormula>
    </tableColumn>
    <tableColumn id="5" xr3:uid="{545C0973-CABD-45CA-93CF-86A02ADB3A0B}" name="Total time / Your estimate" dataDxfId="48">
      <calculatedColumnFormula>Tabelle73677214564[[#This Row],[EBS self time]]/Tabelle73677214564[[#This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A36F06E-6869-469B-A62E-3AD138D748E1}" name="TimeEntries8224865" displayName="TimeEntries8224865" ref="A71:G72" totalsRowShown="0">
  <autoFilter ref="A71:G72" xr:uid="{08E77E6A-9EF6-4524-8968-024196FD6A81}"/>
  <sortState xmlns:xlrd2="http://schemas.microsoft.com/office/spreadsheetml/2017/richdata2" ref="A72:E72">
    <sortCondition ref="A14:A15"/>
  </sortState>
  <tableColumns count="7">
    <tableColumn id="1" xr3:uid="{E338EC04-3F4A-42A4-8F42-D27759C3D091}" name="Time entry no."/>
    <tableColumn id="2" xr3:uid="{FD933696-6A60-4751-AB54-1B9F134159B4}" name="Start time" dataDxfId="47"/>
    <tableColumn id="3" xr3:uid="{5F5295E0-B59F-4E2C-B5C7-FD3FCB941B88}" name="End time" dataDxfId="46"/>
    <tableColumn id="4" xr3:uid="{BD0A6F27-0FEE-4045-BE68-E66590714632}" name="Time delta in h" dataDxfId="45">
      <calculatedColumnFormula>MAX((C72-B72)*24,0)</calculatedColumnFormula>
    </tableColumn>
    <tableColumn id="5" xr3:uid="{6BE743BF-F7B5-4212-8458-1CC9F573E2A1}" name="Indicator"/>
    <tableColumn id="6" xr3:uid="{219A23AF-3AF3-4D42-965E-1B3B524989AB}" name="Action1"/>
    <tableColumn id="7" xr3:uid="{11201BC5-1109-4433-B71E-B3DA54500AA8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F92A8F5-2EC2-4591-A85D-C234626ED1B4}" name="Tabelle73679234966" displayName="Tabelle73679234966" ref="I71:M72" insertRow="1" totalsRowShown="0">
  <autoFilter ref="I71:M72" xr:uid="{4204C614-1745-4E75-B63C-7EA267C59D5B}"/>
  <tableColumns count="5">
    <tableColumn id="1" xr3:uid="{E184F23E-4FF4-47D8-B90F-202DFB21A827}" name="Comparison entry no."/>
    <tableColumn id="2" xr3:uid="{8006843D-6DC4-4195-A4D7-C183D65C8C0D}" name="Propability Support point" dataDxfId="44"/>
    <tableColumn id="3" xr3:uid="{023289E1-C957-453C-ADA7-C95E7F10C8FD}" name="EBS self time" dataDxfId="43"/>
    <tableColumn id="4" xr3:uid="{85325F0B-0562-4D5B-9F95-B66C6BF27D56}" name="Total time">
      <calculatedColumnFormula>$B$4</calculatedColumnFormula>
    </tableColumn>
    <tableColumn id="5" xr3:uid="{4141A412-A50F-4D68-914E-0F9C3DC11C92}" name="Total time / Your estimate" dataDxfId="42">
      <calculatedColumnFormula>Tabelle73679234966[[#This Row],[EBS self time]]/Tabelle73679234966[[#This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9" totalsRowShown="0" dataDxfId="0">
  <autoFilter ref="A3:Q9" xr:uid="{520F3973-795E-47E6-97CD-1C1265CA838A}"/>
  <sortState xmlns:xlrd2="http://schemas.microsoft.com/office/spreadsheetml/2017/richdata2" ref="A4:Q9">
    <sortCondition descending="1" ref="P3:P9"/>
  </sortState>
  <tableColumns count="17">
    <tableColumn id="1" xr3:uid="{78BB2EF9-C626-4B0D-94B3-1781BE57C67F}" name="Task no." dataDxfId="17"/>
    <tableColumn id="2" xr3:uid="{C139B307-7150-4838-B1FD-482AAB7B1208}" name="Task name" dataDxfId="16" dataCellStyle="Link"/>
    <tableColumn id="18" xr3:uid="{3B298737-E571-4F23-9C71-2BC3C2385355}" name="Comment" dataDxfId="15" dataCellStyle="Link"/>
    <tableColumn id="3" xr3:uid="{3AD21368-826B-4507-A159-BE8BE5B02C1F}" name="Indicator" dataDxfId="14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paltenebene_1"/>
    <tableColumn id="11" xr3:uid="{E542542F-D34F-488A-95AF-76A724785E5A}" name="User time estimate" dataDxfId="9" dataCellStyle="Spaltenebene_1"/>
    <tableColumn id="8" xr3:uid="{727785B7-29B9-493D-A20B-C319B38E1DF3}" name="EBS 50% time" dataDxfId="8" dataCellStyle="Spaltenebene_1"/>
    <tableColumn id="9" xr3:uid="{B12BA9B8-3C81-408C-AFE4-25993FD8491D}" name="EBS 50% date" dataDxfId="7" dataCellStyle="Spaltenebene_1"/>
    <tableColumn id="12" xr3:uid="{7DA005F8-D924-4031-B65E-6C6F60E3212D}" name="Total time" dataDxfId="6"/>
    <tableColumn id="20" xr3:uid="{DAE27A09-2EB0-4A47-A9F0-48ED802D8570}" name="Due date" dataDxfId="5" dataCellStyle="Standard"/>
    <tableColumn id="19" xr3:uid="{7A8CB495-6AE9-4A1E-AC5B-8B6487C84135}" name="Contributor" dataDxfId="4"/>
    <tableColumn id="16" xr3:uid="{209AEE68-BDAE-4E8C-BCF6-6EEA4F9A7FDE}" name="Finished on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D25B1FD-78BC-480E-AB6C-868473030526}" name="TimeEntries577074" displayName="TimeEntries577074" ref="A14:G20" totalsRowShown="0">
  <autoFilter ref="A14:G20" xr:uid="{C3F1A082-3516-48B6-9F41-90B49F9350C8}"/>
  <sortState xmlns:xlrd2="http://schemas.microsoft.com/office/spreadsheetml/2017/richdata2" ref="A15:E15">
    <sortCondition ref="A14:A15"/>
  </sortState>
  <tableColumns count="7">
    <tableColumn id="1" xr3:uid="{84E500EC-BF9A-4393-BFF8-1A087A2B63B0}" name="Time entry no."/>
    <tableColumn id="2" xr3:uid="{8B5143B7-FB58-4607-9D16-3DDB9D7C73B2}" name="Start time" dataDxfId="41"/>
    <tableColumn id="3" xr3:uid="{CC85D04F-A817-4FE4-9E68-D289B69B7CE3}" name="End time" dataDxfId="40"/>
    <tableColumn id="4" xr3:uid="{48DE3559-4890-4DC8-85BC-CEF8D75F1085}" name="Time delta in h" dataDxfId="39">
      <calculatedColumnFormula>MAX((C15-B15)*24,0)</calculatedColumnFormula>
    </tableColumn>
    <tableColumn id="5" xr3:uid="{9542078D-F76E-41FC-BB02-FAA7A8F293BA}" name="Indicator"/>
    <tableColumn id="6" xr3:uid="{253EC0FD-5E10-4A9B-8229-86416E28A465}" name="Action1" dataDxfId="27" dataCellStyle="Link"/>
    <tableColumn id="7" xr3:uid="{6734BF49-44AF-4AD8-8FB9-C23D3522A1F0}" name="Action2" dataDxfId="26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77BCF61-8688-45BA-B440-FECBE96B79EF}" name="Tabelle7367587175" displayName="Tabelle7367587175" ref="I14:M15" totalsRowShown="0">
  <autoFilter ref="I14:M15" xr:uid="{B05DC841-CC89-48FD-81BA-C190CA5D828F}"/>
  <tableColumns count="5">
    <tableColumn id="1" xr3:uid="{BA777F25-76C9-4D2A-80AD-FE2DF9D66A3C}" name="Comparison entry no."/>
    <tableColumn id="2" xr3:uid="{9997E5F5-14CA-4546-B7F4-A1140F1C2BA9}" name="Propability Support point" dataDxfId="38"/>
    <tableColumn id="3" xr3:uid="{C09002F8-03E6-4C6D-9D3E-00FDE3A5173E}" name="EBS self time" dataDxfId="37"/>
    <tableColumn id="4" xr3:uid="{B2772665-EEC5-4C2B-AFEC-029E205F7A8D}" name="Total time">
      <calculatedColumnFormula>$B$4</calculatedColumnFormula>
    </tableColumn>
    <tableColumn id="5" xr3:uid="{28A16716-266F-4602-B55A-25F96B570750}" name="Total time / Your estimate" dataDxfId="36">
      <calculatedColumnFormula>Tabelle7367587175[[#This Row],[EBS self time]]/Tabelle7367587175[[#This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F8237780-5172-4161-8788-105C8A22DB85}" name="TimeEntries218526880" displayName="TimeEntries218526880" ref="A14:G15" totalsRowShown="0">
  <autoFilter ref="A14:G15" xr:uid="{4268C542-BABD-49D6-B12D-097A3FC23118}"/>
  <sortState xmlns:xlrd2="http://schemas.microsoft.com/office/spreadsheetml/2017/richdata2" ref="A15:E15">
    <sortCondition ref="A14:A15"/>
  </sortState>
  <tableColumns count="7">
    <tableColumn id="1" xr3:uid="{2D5BAAF3-81F6-4DFA-AA88-B5B3FD3FA9F0}" name="Time entry no."/>
    <tableColumn id="2" xr3:uid="{8B8B53C7-ACB6-49D5-8478-94CDB09ABCD5}" name="Start time" dataDxfId="35"/>
    <tableColumn id="3" xr3:uid="{200AAFBA-B84E-4E36-BB9A-4BCEC8296DC0}" name="End time" dataDxfId="34"/>
    <tableColumn id="4" xr3:uid="{47DAC390-40D0-40F4-BAFB-1121FBA73D64}" name="Time delta in h" dataDxfId="33">
      <calculatedColumnFormula>MAX((C15-B15)*24,0)</calculatedColumnFormula>
    </tableColumn>
    <tableColumn id="5" xr3:uid="{D124CFD1-2640-4731-BF97-4BF564BCD7FB}" name="Indicator"/>
    <tableColumn id="6" xr3:uid="{21F2C61C-68F0-4A27-BCA3-F67A79D16DDE}" name="Action1" dataDxfId="29" dataCellStyle="Link"/>
    <tableColumn id="7" xr3:uid="{4377D6F2-5142-477A-A705-391E338B7D91}" name="Action2" dataDxfId="28" dataCellStyle="Link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605CFECF-61D4-440E-B39B-E4D236A4BDDD}" name="Tabelle7367519536981" displayName="Tabelle7367519536981" ref="I14:M15" insertRow="1" totalsRowShown="0">
  <autoFilter ref="I14:M15" xr:uid="{B12C8731-55A4-4E09-9168-A829EE8D0A60}"/>
  <tableColumns count="5">
    <tableColumn id="1" xr3:uid="{80071543-B7B8-4D3D-BF7B-8005D39F8A41}" name="Comparison entry no."/>
    <tableColumn id="2" xr3:uid="{ABD17054-A5F6-430D-802A-B2CEC2DF86E8}" name="Propability Support point" dataDxfId="32"/>
    <tableColumn id="3" xr3:uid="{E33A21C6-E7D2-4D21-B0D8-585065588B4B}" name="EBS self time" dataDxfId="31"/>
    <tableColumn id="4" xr3:uid="{93471474-0571-41AE-80D9-7DA79443B2B9}" name="Total time">
      <calculatedColumnFormula>$B$4</calculatedColumnFormula>
    </tableColumn>
    <tableColumn id="5" xr3:uid="{CCB9F561-7FF7-4029-A4F2-B42D9838454F}" name="Total time / Your estimate" dataDxfId="30">
      <calculatedColumnFormula>Tabelle7367519536981[[#This Row],[EBS self time]]/Tabelle7367519536981[[#This Row],[Total time]]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C5FCC96-2576-4BC4-A2F4-7C9479131E70}" name="EbsBaseData4326270454" displayName="EbsBaseData4326270454" ref="A18:H19" totalsRowShown="0">
  <autoFilter ref="A18:H19" xr:uid="{1948C160-1F52-48A7-8061-8AFF06D47134}"/>
  <tableColumns count="8">
    <tableColumn id="1" xr3:uid="{BCBB6181-FD8C-441C-AF4C-7322F7722CDD}" name="EBS entry no."/>
    <tableColumn id="4" xr3:uid="{14759953-6E2E-43F2-B9E2-32D6133725E6}" name="EBS run date" dataDxfId="72"/>
    <tableColumn id="8" xr3:uid="{95733588-7622-423D-A09B-A2801A568336}" name="[Velocity pool]"/>
    <tableColumn id="2" xr3:uid="{31DAD1B6-AA6F-4318-B1BA-B05E8921B68D}" name="Show pool?"/>
    <tableColumn id="3" xr3:uid="{341CBBC0-C7A6-47CE-B7A1-8B79C4904052}" name="[Propability support points]"/>
    <tableColumn id="5" xr3:uid="{EE4C7F14-BA0D-45A7-B2F5-7D49405BD03C}" name="[Project time estimates]"/>
    <tableColumn id="6" xr3:uid="{3A72AABA-697D-4DA3-AAC6-89869FAF36B2}" name="[Project date estimates]"/>
    <tableColumn id="7" xr3:uid="{94CA8F5A-2D11-4907-9939-A6028D2A01A0}" name="eHASH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EEA822-D7B5-4C8E-BE32-DE5561B4E7E1}" name="EbsTaskData9592711256" displayName="EbsTaskData9592711256" ref="J18:T21" totalsRowShown="0">
  <autoFilter ref="J18:T21" xr:uid="{2297DC20-55A3-4C75-B785-3C4ABEF5CB9C}"/>
  <tableColumns count="11">
    <tableColumn id="1" xr3:uid="{BA135D7C-B382-42D2-ACD6-206E452BF799}" name="Data entry no."/>
    <tableColumn id="10" xr3:uid="{DF7A5F69-6B5F-421C-A2EE-BFC1A27DA840}" name="tHASH"/>
    <tableColumn id="5" xr3:uid="{C1BE5CF4-35BA-4A29-A617-29A2C85B81C9}" name="Logged Priority"/>
    <tableColumn id="7" xr3:uid="{9F1A6F62-9058-4BFB-84F6-E1FF929B23EE}" name="Time spent so far" dataDxfId="71"/>
    <tableColumn id="4" xr3:uid="{EF4FC152-3842-4EC0-BFAE-6BEF3BA57CB7}" name="User time estimate" dataDxfId="70"/>
    <tableColumn id="3" xr3:uid="{8DDCCF73-F989-416A-A482-83FE93A89E66}" name="[Monte Carlo estimate pool]"/>
    <tableColumn id="2" xr3:uid="{38D2B213-D401-4C2F-9407-5CE3DA736C0A}" name="[Remaining time pool]"/>
    <tableColumn id="6" xr3:uid="{C90689EC-A5D9-46CB-A209-EB588AC1B11F}" name="[Accumulated time pool]"/>
    <tableColumn id="8" xr3:uid="{314EFBAB-B286-4360-B3B2-2FF130DAFEA2}" name="[Propability support points]"/>
    <tableColumn id="9" xr3:uid="{EB86D1B8-A8FB-43A6-B8C6-73CFA9263ECD}" name="[Interpolated time estimates]"/>
    <tableColumn id="11" xr3:uid="{864C77CE-11F5-4DEE-B584-F82EC12A555E}" name="[Interpolated date estimates]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86" dataCellStyle="Link"/>
    <tableColumn id="9" xr3:uid="{0037D127-E2BA-445A-BC63-1395BA3AC441}" name="Calendar ID" dataDxfId="85" dataCellStyle="Link"/>
    <tableColumn id="10" xr3:uid="{37CA3B7B-8FF0-4042-97C6-E23A79A74325}" name="Store ID"/>
    <tableColumn id="6" xr3:uid="{044D8005-25C5-4D31-940A-B6DE4C6B0EA5}" name="WorkingDays" dataDxfId="84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83"/>
    <tableColumn id="8" xr3:uid="{1177B0FB-46B2-406D-B988-C64E0ABA6972}" name="AppointmentOffsetHours" dataDxfId="82">
      <calculatedColumnFormula>5/60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81"/>
    <tableColumn id="3" xr3:uid="{78DABF02-3853-48FF-81AD-5801C74BED1B}" name="End time" dataDxfId="80"/>
    <tableColumn id="4" xr3:uid="{76C994F9-216A-4848-9FB6-16BAF8B0EEEA}" name="Time delta in h" dataDxfId="79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8"/>
    <tableColumn id="3" xr3:uid="{A62B365F-400F-45A4-B789-FE7B5FDBD312}" name="EBS self time" dataDxfId="77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76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75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74"/>
    <tableColumn id="4" xr3:uid="{F9EDA55E-5206-49A7-A846-6A0B14C04CAF}" name="User time estimate" dataDxfId="73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FB19EB3-E1D4-45B4-AA19-19FB58DE5775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16.x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EE986-EA9B-4D7E-914C-F3494EB2C939}">
  <sheetPr codeName="Tabelle2"/>
  <dimension ref="A1:M72"/>
  <sheetViews>
    <sheetView workbookViewId="0">
      <selection activeCell="A92" sqref="A92:M106"/>
    </sheetView>
  </sheetViews>
  <sheetFormatPr baseColWidth="10" defaultRowHeight="15" x14ac:dyDescent="0.25"/>
  <sheetData>
    <row r="1" spans="1:13" x14ac:dyDescent="0.25">
      <c r="A1" t="s">
        <v>144</v>
      </c>
      <c r="B1" t="s">
        <v>131</v>
      </c>
      <c r="C1" t="s">
        <v>145</v>
      </c>
      <c r="D1">
        <v>17</v>
      </c>
      <c r="E1" t="s">
        <v>146</v>
      </c>
      <c r="F1">
        <v>13</v>
      </c>
    </row>
    <row r="2" spans="1:13" x14ac:dyDescent="0.25">
      <c r="A2" s="5" t="s">
        <v>26</v>
      </c>
    </row>
    <row r="3" spans="1:13" x14ac:dyDescent="0.25">
      <c r="A3" t="s">
        <v>3</v>
      </c>
      <c r="B3" t="s">
        <v>132</v>
      </c>
    </row>
    <row r="4" spans="1:13" x14ac:dyDescent="0.25">
      <c r="A4" t="s">
        <v>81</v>
      </c>
      <c r="B4" s="3">
        <v>0.5</v>
      </c>
      <c r="C4" t="s">
        <v>4</v>
      </c>
    </row>
    <row r="5" spans="1:13" x14ac:dyDescent="0.25">
      <c r="A5" t="s">
        <v>0</v>
      </c>
      <c r="B5" s="3">
        <f>SUM(D:D)</f>
        <v>66.749999999767169</v>
      </c>
      <c r="C5" t="s">
        <v>4</v>
      </c>
    </row>
    <row r="6" spans="1:13" x14ac:dyDescent="0.25">
      <c r="A6" t="s">
        <v>14</v>
      </c>
      <c r="B6" s="6" t="s">
        <v>111</v>
      </c>
    </row>
    <row r="7" spans="1:13" x14ac:dyDescent="0.25">
      <c r="A7" t="s">
        <v>15</v>
      </c>
      <c r="B7" s="6" t="s">
        <v>20</v>
      </c>
    </row>
    <row r="8" spans="1:13" x14ac:dyDescent="0.25">
      <c r="A8" t="s">
        <v>1</v>
      </c>
      <c r="B8" t="s">
        <v>150</v>
      </c>
    </row>
    <row r="9" spans="1:13" x14ac:dyDescent="0.25">
      <c r="A9" t="s">
        <v>16</v>
      </c>
      <c r="B9" s="6">
        <v>43817.078483796293</v>
      </c>
    </row>
    <row r="10" spans="1:13" x14ac:dyDescent="0.25">
      <c r="A10" t="s">
        <v>2</v>
      </c>
    </row>
    <row r="11" spans="1:13" x14ac:dyDescent="0.25">
      <c r="A11" t="s">
        <v>49</v>
      </c>
      <c r="B11" t="s">
        <v>131</v>
      </c>
    </row>
    <row r="12" spans="1:13" x14ac:dyDescent="0.25">
      <c r="A12" t="s">
        <v>5</v>
      </c>
      <c r="B12" s="3">
        <f>B4/B5</f>
        <v>7.4906367041459787E-3</v>
      </c>
      <c r="C12" t="s">
        <v>6</v>
      </c>
    </row>
    <row r="13" spans="1:13" x14ac:dyDescent="0.25">
      <c r="A13" t="s">
        <v>115</v>
      </c>
      <c r="B13" t="s">
        <v>140</v>
      </c>
    </row>
    <row r="14" spans="1:13" x14ac:dyDescent="0.25">
      <c r="A14" t="s">
        <v>116</v>
      </c>
      <c r="B14" t="s">
        <v>141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88</v>
      </c>
      <c r="G15" t="s">
        <v>89</v>
      </c>
      <c r="I15" t="s">
        <v>73</v>
      </c>
      <c r="J15" s="17" t="s">
        <v>71</v>
      </c>
      <c r="K15" s="3" t="s">
        <v>72</v>
      </c>
      <c r="L15" t="s">
        <v>74</v>
      </c>
      <c r="M15" t="s">
        <v>75</v>
      </c>
    </row>
    <row r="16" spans="1:13" x14ac:dyDescent="0.25">
      <c r="A16" t="s">
        <v>108</v>
      </c>
      <c r="B16" s="2">
        <v>43817.068055555559</v>
      </c>
      <c r="C16" s="2">
        <v>43817.078472222223</v>
      </c>
      <c r="D16" s="3">
        <f>MAX((C16-B16)*24,0)</f>
        <v>0.24999999994179234</v>
      </c>
      <c r="F16" s="35" t="s">
        <v>148</v>
      </c>
      <c r="G16" s="35" t="s">
        <v>149</v>
      </c>
      <c r="J16" s="17"/>
      <c r="K16" s="3"/>
      <c r="L16" s="3"/>
      <c r="M16" s="18"/>
    </row>
    <row r="17" spans="1:7" x14ac:dyDescent="0.25">
      <c r="A17" t="s">
        <v>112</v>
      </c>
      <c r="B17" s="2">
        <v>43817.068067129629</v>
      </c>
      <c r="C17" s="2">
        <v>43817.078483796293</v>
      </c>
      <c r="D17" s="3">
        <f>MAX((C17-B17)*24,0)</f>
        <v>0.24999999994179234</v>
      </c>
      <c r="F17" s="35" t="s">
        <v>148</v>
      </c>
      <c r="G17" s="35" t="s">
        <v>149</v>
      </c>
    </row>
    <row r="18" spans="1:7" x14ac:dyDescent="0.25">
      <c r="A18" t="s">
        <v>113</v>
      </c>
      <c r="B18" s="2">
        <v>43817.068067129629</v>
      </c>
      <c r="C18" s="2">
        <v>43817.078483796293</v>
      </c>
      <c r="D18" s="3">
        <f>MAX((C18-B18)*24,0)</f>
        <v>0.24999999994179234</v>
      </c>
      <c r="F18" s="35" t="s">
        <v>148</v>
      </c>
      <c r="G18" s="35" t="s">
        <v>149</v>
      </c>
    </row>
    <row r="20" spans="1:7" x14ac:dyDescent="0.25">
      <c r="A20" t="s">
        <v>144</v>
      </c>
      <c r="B20" t="s">
        <v>129</v>
      </c>
      <c r="C20" t="s">
        <v>145</v>
      </c>
      <c r="D20">
        <v>15</v>
      </c>
      <c r="E20" t="s">
        <v>146</v>
      </c>
      <c r="F20">
        <v>13</v>
      </c>
    </row>
    <row r="21" spans="1:7" x14ac:dyDescent="0.25">
      <c r="A21" s="5" t="s">
        <v>26</v>
      </c>
    </row>
    <row r="22" spans="1:7" x14ac:dyDescent="0.25">
      <c r="A22" t="s">
        <v>3</v>
      </c>
      <c r="B22" t="s">
        <v>130</v>
      </c>
    </row>
    <row r="23" spans="1:7" x14ac:dyDescent="0.25">
      <c r="A23" t="s">
        <v>81</v>
      </c>
      <c r="B23" s="3">
        <v>2</v>
      </c>
      <c r="C23" t="s">
        <v>4</v>
      </c>
    </row>
    <row r="24" spans="1:7" x14ac:dyDescent="0.25">
      <c r="A24" t="s">
        <v>0</v>
      </c>
      <c r="B24" s="3">
        <f>SUM(D:D)</f>
        <v>66.749999999767169</v>
      </c>
      <c r="C24" t="s">
        <v>4</v>
      </c>
    </row>
    <row r="25" spans="1:7" x14ac:dyDescent="0.25">
      <c r="A25" t="s">
        <v>14</v>
      </c>
      <c r="B25" s="6" t="s">
        <v>111</v>
      </c>
    </row>
    <row r="26" spans="1:7" x14ac:dyDescent="0.25">
      <c r="A26" t="s">
        <v>15</v>
      </c>
      <c r="B26" s="6" t="s">
        <v>20</v>
      </c>
    </row>
    <row r="27" spans="1:7" x14ac:dyDescent="0.25">
      <c r="A27" t="s">
        <v>1</v>
      </c>
      <c r="B27" t="s">
        <v>109</v>
      </c>
    </row>
    <row r="28" spans="1:7" x14ac:dyDescent="0.25">
      <c r="A28" t="s">
        <v>16</v>
      </c>
      <c r="B28" s="6" t="s">
        <v>111</v>
      </c>
    </row>
    <row r="29" spans="1:7" x14ac:dyDescent="0.25">
      <c r="A29" t="s">
        <v>2</v>
      </c>
    </row>
    <row r="30" spans="1:7" x14ac:dyDescent="0.25">
      <c r="A30" t="s">
        <v>49</v>
      </c>
      <c r="B30" t="s">
        <v>129</v>
      </c>
    </row>
    <row r="31" spans="1:7" x14ac:dyDescent="0.25">
      <c r="A31" t="s">
        <v>5</v>
      </c>
      <c r="B31" s="3">
        <f>B23/B24</f>
        <v>2.9962546816583915E-2</v>
      </c>
      <c r="C31" t="s">
        <v>6</v>
      </c>
    </row>
    <row r="32" spans="1:7" x14ac:dyDescent="0.25">
      <c r="A32" t="s">
        <v>115</v>
      </c>
      <c r="B32" t="s">
        <v>134</v>
      </c>
    </row>
    <row r="33" spans="1:13" x14ac:dyDescent="0.25">
      <c r="A33" t="s">
        <v>116</v>
      </c>
      <c r="B33" t="s">
        <v>136</v>
      </c>
    </row>
    <row r="34" spans="1:13" x14ac:dyDescent="0.25">
      <c r="A34" t="s">
        <v>11</v>
      </c>
      <c r="B34" t="s">
        <v>7</v>
      </c>
      <c r="C34" t="s">
        <v>8</v>
      </c>
      <c r="D34" t="s">
        <v>9</v>
      </c>
      <c r="E34" t="s">
        <v>10</v>
      </c>
      <c r="F34" t="s">
        <v>88</v>
      </c>
      <c r="G34" t="s">
        <v>89</v>
      </c>
      <c r="I34" t="s">
        <v>73</v>
      </c>
      <c r="J34" s="17" t="s">
        <v>71</v>
      </c>
      <c r="K34" s="3" t="s">
        <v>72</v>
      </c>
      <c r="L34" t="s">
        <v>74</v>
      </c>
      <c r="M34" t="s">
        <v>75</v>
      </c>
    </row>
    <row r="35" spans="1:13" x14ac:dyDescent="0.25">
      <c r="B35" s="2"/>
      <c r="C35" s="2"/>
      <c r="D35" s="3">
        <f>MAX((C35-B35)*24,0)</f>
        <v>0</v>
      </c>
      <c r="J35" s="17"/>
      <c r="K35" s="3"/>
      <c r="L35" s="3"/>
      <c r="M35" s="18"/>
    </row>
    <row r="37" spans="1:13" x14ac:dyDescent="0.25">
      <c r="A37" t="s">
        <v>144</v>
      </c>
      <c r="B37" t="s">
        <v>126</v>
      </c>
      <c r="C37" t="s">
        <v>145</v>
      </c>
      <c r="D37">
        <v>18</v>
      </c>
      <c r="E37" t="s">
        <v>146</v>
      </c>
      <c r="F37">
        <v>13</v>
      </c>
    </row>
    <row r="38" spans="1:13" x14ac:dyDescent="0.25">
      <c r="A38" s="5" t="s">
        <v>26</v>
      </c>
    </row>
    <row r="39" spans="1:13" x14ac:dyDescent="0.25">
      <c r="A39" t="s">
        <v>3</v>
      </c>
      <c r="B39" t="s">
        <v>142</v>
      </c>
    </row>
    <row r="40" spans="1:13" x14ac:dyDescent="0.25">
      <c r="A40" t="s">
        <v>81</v>
      </c>
      <c r="B40" s="3">
        <v>0.75</v>
      </c>
      <c r="C40" t="s">
        <v>4</v>
      </c>
    </row>
    <row r="41" spans="1:13" x14ac:dyDescent="0.25">
      <c r="A41" t="s">
        <v>0</v>
      </c>
      <c r="B41" s="3">
        <f>SUM(D:D)</f>
        <v>66.749999999767169</v>
      </c>
      <c r="C41" t="s">
        <v>4</v>
      </c>
    </row>
    <row r="42" spans="1:13" x14ac:dyDescent="0.25">
      <c r="A42" t="s">
        <v>14</v>
      </c>
      <c r="B42" s="6" t="s">
        <v>111</v>
      </c>
    </row>
    <row r="43" spans="1:13" x14ac:dyDescent="0.25">
      <c r="A43" t="s">
        <v>15</v>
      </c>
      <c r="B43" s="6" t="s">
        <v>20</v>
      </c>
    </row>
    <row r="44" spans="1:13" x14ac:dyDescent="0.25">
      <c r="A44" t="s">
        <v>1</v>
      </c>
      <c r="B44" t="s">
        <v>150</v>
      </c>
    </row>
    <row r="45" spans="1:13" x14ac:dyDescent="0.25">
      <c r="A45" t="s">
        <v>16</v>
      </c>
      <c r="B45" s="6">
        <v>43817.07885416667</v>
      </c>
    </row>
    <row r="46" spans="1:13" x14ac:dyDescent="0.25">
      <c r="A46" t="s">
        <v>2</v>
      </c>
    </row>
    <row r="47" spans="1:13" x14ac:dyDescent="0.25">
      <c r="A47" t="s">
        <v>49</v>
      </c>
      <c r="B47" t="s">
        <v>126</v>
      </c>
    </row>
    <row r="48" spans="1:13" x14ac:dyDescent="0.25">
      <c r="A48" t="s">
        <v>5</v>
      </c>
      <c r="B48" s="3">
        <f>B40/B41</f>
        <v>1.1235955056218968E-2</v>
      </c>
      <c r="C48" t="s">
        <v>6</v>
      </c>
    </row>
    <row r="49" spans="1:13" x14ac:dyDescent="0.25">
      <c r="A49" t="s">
        <v>115</v>
      </c>
      <c r="B49" t="s">
        <v>134</v>
      </c>
    </row>
    <row r="50" spans="1:13" x14ac:dyDescent="0.25">
      <c r="A50" t="s">
        <v>116</v>
      </c>
      <c r="B50" t="s">
        <v>138</v>
      </c>
    </row>
    <row r="51" spans="1:13" x14ac:dyDescent="0.25">
      <c r="A51" t="s">
        <v>11</v>
      </c>
      <c r="B51" t="s">
        <v>7</v>
      </c>
      <c r="C51" t="s">
        <v>8</v>
      </c>
      <c r="D51" t="s">
        <v>9</v>
      </c>
      <c r="E51" t="s">
        <v>10</v>
      </c>
      <c r="F51" t="s">
        <v>88</v>
      </c>
      <c r="G51" t="s">
        <v>89</v>
      </c>
      <c r="I51" t="s">
        <v>73</v>
      </c>
      <c r="J51" s="17" t="s">
        <v>71</v>
      </c>
      <c r="K51" s="3" t="s">
        <v>72</v>
      </c>
      <c r="L51" t="s">
        <v>74</v>
      </c>
      <c r="M51" t="s">
        <v>75</v>
      </c>
    </row>
    <row r="52" spans="1:13" x14ac:dyDescent="0.25">
      <c r="A52" t="s">
        <v>108</v>
      </c>
      <c r="B52" s="2">
        <v>43817.068194444444</v>
      </c>
      <c r="C52" s="2">
        <v>43817.078611111108</v>
      </c>
      <c r="D52" s="3">
        <f>MAX((C52-B52)*24,0)</f>
        <v>0.24999999994179234</v>
      </c>
      <c r="F52" s="35" t="s">
        <v>148</v>
      </c>
      <c r="G52" s="35" t="s">
        <v>149</v>
      </c>
      <c r="J52" s="17"/>
      <c r="K52" s="3"/>
      <c r="L52" s="3"/>
      <c r="M52" s="18"/>
    </row>
    <row r="53" spans="1:13" x14ac:dyDescent="0.25">
      <c r="A53" t="s">
        <v>112</v>
      </c>
      <c r="B53" s="2">
        <v>43817.068229166667</v>
      </c>
      <c r="C53" s="2">
        <v>43817.078645833331</v>
      </c>
      <c r="D53" s="3">
        <f>MAX((C53-B53)*24,0)</f>
        <v>0.24999999994179234</v>
      </c>
      <c r="F53" s="35" t="s">
        <v>148</v>
      </c>
      <c r="G53" s="35" t="s">
        <v>149</v>
      </c>
    </row>
    <row r="54" spans="1:13" x14ac:dyDescent="0.25">
      <c r="A54" t="s">
        <v>113</v>
      </c>
      <c r="B54" s="2">
        <v>43817.06826388889</v>
      </c>
      <c r="C54" s="2">
        <v>43817.078680555554</v>
      </c>
      <c r="D54" s="3">
        <f>MAX((C54-B54)*24,0)</f>
        <v>0.24999999994179234</v>
      </c>
      <c r="F54" s="35" t="s">
        <v>148</v>
      </c>
      <c r="G54" s="35" t="s">
        <v>149</v>
      </c>
    </row>
    <row r="55" spans="1:13" x14ac:dyDescent="0.25">
      <c r="A55" t="s">
        <v>117</v>
      </c>
      <c r="B55" s="2">
        <v>43817.068437499998</v>
      </c>
      <c r="C55" s="2">
        <v>43817.07885416667</v>
      </c>
      <c r="D55" s="3">
        <f>MAX((C55-B55)*24,0)</f>
        <v>0.25000000011641532</v>
      </c>
      <c r="F55" s="35" t="s">
        <v>148</v>
      </c>
      <c r="G55" s="35" t="s">
        <v>149</v>
      </c>
    </row>
    <row r="57" spans="1:13" x14ac:dyDescent="0.25">
      <c r="A57" t="s">
        <v>144</v>
      </c>
      <c r="B57" t="s">
        <v>128</v>
      </c>
      <c r="C57" t="s">
        <v>145</v>
      </c>
      <c r="D57">
        <v>15</v>
      </c>
      <c r="E57" t="s">
        <v>146</v>
      </c>
      <c r="F57">
        <v>13</v>
      </c>
    </row>
    <row r="58" spans="1:13" x14ac:dyDescent="0.25">
      <c r="A58" s="5" t="s">
        <v>26</v>
      </c>
    </row>
    <row r="59" spans="1:13" x14ac:dyDescent="0.25">
      <c r="A59" t="s">
        <v>3</v>
      </c>
      <c r="B59" t="s">
        <v>127</v>
      </c>
    </row>
    <row r="60" spans="1:13" x14ac:dyDescent="0.25">
      <c r="A60" t="s">
        <v>81</v>
      </c>
      <c r="B60" s="3">
        <v>0.25</v>
      </c>
      <c r="C60" t="s">
        <v>4</v>
      </c>
    </row>
    <row r="61" spans="1:13" x14ac:dyDescent="0.25">
      <c r="A61" t="s">
        <v>0</v>
      </c>
      <c r="B61" s="3">
        <f>SUM(D:D)</f>
        <v>66.749999999767169</v>
      </c>
      <c r="C61" t="s">
        <v>4</v>
      </c>
    </row>
    <row r="62" spans="1:13" x14ac:dyDescent="0.25">
      <c r="A62" t="s">
        <v>14</v>
      </c>
      <c r="B62" s="6" t="s">
        <v>111</v>
      </c>
    </row>
    <row r="63" spans="1:13" x14ac:dyDescent="0.25">
      <c r="A63" t="s">
        <v>15</v>
      </c>
      <c r="B63" s="6" t="s">
        <v>20</v>
      </c>
    </row>
    <row r="64" spans="1:13" x14ac:dyDescent="0.25">
      <c r="A64" t="s">
        <v>1</v>
      </c>
      <c r="B64" t="s">
        <v>109</v>
      </c>
    </row>
    <row r="65" spans="1:13" x14ac:dyDescent="0.25">
      <c r="A65" t="s">
        <v>16</v>
      </c>
      <c r="B65" s="6" t="s">
        <v>111</v>
      </c>
    </row>
    <row r="66" spans="1:13" x14ac:dyDescent="0.25">
      <c r="A66" t="s">
        <v>2</v>
      </c>
    </row>
    <row r="67" spans="1:13" x14ac:dyDescent="0.25">
      <c r="A67" t="s">
        <v>49</v>
      </c>
      <c r="B67" t="s">
        <v>128</v>
      </c>
    </row>
    <row r="68" spans="1:13" x14ac:dyDescent="0.25">
      <c r="A68" t="s">
        <v>5</v>
      </c>
      <c r="B68" s="3">
        <f>B60/B61</f>
        <v>3.7453183520729893E-3</v>
      </c>
      <c r="C68" t="s">
        <v>6</v>
      </c>
    </row>
    <row r="69" spans="1:13" x14ac:dyDescent="0.25">
      <c r="A69" t="s">
        <v>115</v>
      </c>
      <c r="B69" t="s">
        <v>134</v>
      </c>
    </row>
    <row r="70" spans="1:13" x14ac:dyDescent="0.25">
      <c r="A70" t="s">
        <v>116</v>
      </c>
      <c r="B70" t="s">
        <v>138</v>
      </c>
    </row>
    <row r="71" spans="1:13" x14ac:dyDescent="0.25">
      <c r="A71" t="s">
        <v>11</v>
      </c>
      <c r="B71" t="s">
        <v>7</v>
      </c>
      <c r="C71" t="s">
        <v>8</v>
      </c>
      <c r="D71" t="s">
        <v>9</v>
      </c>
      <c r="E71" t="s">
        <v>10</v>
      </c>
      <c r="F71" t="s">
        <v>88</v>
      </c>
      <c r="G71" t="s">
        <v>89</v>
      </c>
      <c r="I71" t="s">
        <v>73</v>
      </c>
      <c r="J71" s="17" t="s">
        <v>71</v>
      </c>
      <c r="K71" s="3" t="s">
        <v>72</v>
      </c>
      <c r="L71" t="s">
        <v>74</v>
      </c>
      <c r="M71" t="s">
        <v>75</v>
      </c>
    </row>
    <row r="72" spans="1:13" x14ac:dyDescent="0.25">
      <c r="B72" s="2"/>
      <c r="C72" s="2"/>
      <c r="D72" s="3">
        <f>MAX((C72-B72)*24,0)</f>
        <v>0</v>
      </c>
      <c r="J72" s="17"/>
      <c r="K72" s="3"/>
      <c r="L72" s="3"/>
      <c r="M72" s="18"/>
    </row>
  </sheetData>
  <hyperlinks>
    <hyperlink ref="A2" location="Planning!A1" display="Go back to 'Planning' sheet" xr:uid="{6E186A06-FEE8-45A9-802E-3B5968BFBC10}"/>
    <hyperlink ref="F16" location="$F$15" display="$F$15" xr:uid="{6137946C-D1CD-4011-AE71-54C561A86B94}"/>
    <hyperlink ref="G16" location="$G$15" display="$G$15" xr:uid="{9950FE02-58DC-4F04-AC39-DB49EC5A56BF}"/>
    <hyperlink ref="F17" location="$F$16" display="$F$16" xr:uid="{62083ED1-42B2-4099-AB70-F61CD93C2EF2}"/>
    <hyperlink ref="G17" location="$G$16" display="$G$16" xr:uid="{F68A76B2-8BE1-4E3E-A0F6-11F2999DEECE}"/>
    <hyperlink ref="F18" location="$F$17" display="$F$17" xr:uid="{8264D138-5372-4317-99ED-1B344202A27F}"/>
    <hyperlink ref="G18" location="$G$17" display="$G$17" xr:uid="{1140377E-4F67-4DF6-83B8-F5A893F72F5D}"/>
    <hyperlink ref="A21" location="Planning!A1" display="Go back to 'Planning' sheet" xr:uid="{875E9BDB-4809-4F29-B7E1-8B221D5C83B3}"/>
    <hyperlink ref="A38" location="Planning!A1" display="Go back to 'Planning' sheet" xr:uid="{826420DB-84FD-42EE-8140-EA35BFA7F2FE}"/>
    <hyperlink ref="F52" location="$F$15" display="$F$15" xr:uid="{5E1F299A-3140-4769-91C7-09C4E022662B}"/>
    <hyperlink ref="G52" location="$G$15" display="$G$15" xr:uid="{D9FEE0E9-D28F-437C-B7C1-8B082A146ABF}"/>
    <hyperlink ref="F53" location="$F$16" display="$F$16" xr:uid="{3584D870-CC20-479A-9041-933C7A5BEA3C}"/>
    <hyperlink ref="G53" location="$G$16" display="$G$16" xr:uid="{E9D71F47-6FA7-43D3-A134-B95A79B9F52E}"/>
    <hyperlink ref="F54" location="$F$17" display="$F$17" xr:uid="{2985B5E6-5634-44F9-9F4C-3391B93FC4A3}"/>
    <hyperlink ref="G54" location="$G$17" display="$G$17" xr:uid="{B640A565-54E4-454B-9826-1BAF87E7D85D}"/>
    <hyperlink ref="F55" location="$F$18" display="$F$18" xr:uid="{A39661C2-0CE2-45A7-A040-7A6443EBD2E4}"/>
    <hyperlink ref="G55" location="$G$18" display="$G$18" xr:uid="{D6687588-131E-400C-B7D0-85642269D809}"/>
    <hyperlink ref="A58" location="Planning!A1" display="Go back to 'Planning' sheet" xr:uid="{69EDA7D5-A6EB-43A3-A072-A0C39A673F9B}"/>
  </hyperlinks>
  <pageMargins left="0.7" right="0.7" top="0.78740157499999996" bottom="0.78740157499999996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zoomScaleNormal="100" workbookViewId="0">
      <selection activeCell="B6" sqref="B6"/>
    </sheetView>
  </sheetViews>
  <sheetFormatPr baseColWidth="10" defaultColWidth="11.42578125" defaultRowHeight="15" outlineLevelCol="1" x14ac:dyDescent="0.25"/>
  <cols>
    <col min="1" max="1" width="10.42578125" style="7" bestFit="1" customWidth="1"/>
    <col min="2" max="2" width="32.140625" style="10" customWidth="1"/>
    <col min="3" max="3" width="25.7109375" style="10" customWidth="1"/>
    <col min="4" max="4" width="13.5703125" style="7" bestFit="1" customWidth="1"/>
    <col min="5" max="6" width="9.28515625" style="8" customWidth="1" outlineLevel="1"/>
    <col min="7" max="7" width="12.42578125" style="8" bestFit="1" customWidth="1" outlineLevel="1"/>
    <col min="8" max="8" width="14.85546875" style="11" customWidth="1"/>
    <col min="9" max="9" width="20.42578125" style="11" bestFit="1" customWidth="1"/>
    <col min="10" max="11" width="15.7109375" style="11" bestFit="1" customWidth="1"/>
    <col min="12" max="12" width="12.28515625" style="11" bestFit="1" customWidth="1"/>
    <col min="13" max="13" width="14.85546875" style="7" customWidth="1"/>
    <col min="14" max="14" width="25.140625" style="7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4" customWidth="1"/>
  </cols>
  <sheetData>
    <row r="1" spans="1:18" ht="65.25" customHeight="1" x14ac:dyDescent="0.25">
      <c r="A1" s="4"/>
      <c r="B1" s="9"/>
      <c r="C1" s="9"/>
      <c r="D1" s="4"/>
      <c r="E1" s="22"/>
      <c r="F1" s="22"/>
      <c r="G1" s="22"/>
      <c r="N1" s="4"/>
      <c r="O1" s="4"/>
      <c r="P1" s="4"/>
      <c r="R1"/>
    </row>
    <row r="2" spans="1:18" x14ac:dyDescent="0.25">
      <c r="A2" s="4"/>
      <c r="B2" s="9"/>
      <c r="C2" s="9"/>
      <c r="D2" s="4"/>
      <c r="E2" s="22"/>
      <c r="F2" s="22"/>
      <c r="G2" s="22"/>
      <c r="H2" s="9" t="s">
        <v>18</v>
      </c>
      <c r="I2" s="9"/>
      <c r="J2" s="20" t="s">
        <v>80</v>
      </c>
      <c r="K2" s="20" t="s">
        <v>80</v>
      </c>
      <c r="N2" s="4"/>
      <c r="O2" s="4"/>
      <c r="P2" s="4"/>
      <c r="R2"/>
    </row>
    <row r="3" spans="1:18" x14ac:dyDescent="0.25">
      <c r="A3" s="7" t="s">
        <v>12</v>
      </c>
      <c r="B3" s="10" t="s">
        <v>3</v>
      </c>
      <c r="C3" s="10" t="s">
        <v>2</v>
      </c>
      <c r="D3" s="7" t="s">
        <v>10</v>
      </c>
      <c r="E3" s="8" t="s">
        <v>23</v>
      </c>
      <c r="F3" s="8" t="s">
        <v>24</v>
      </c>
      <c r="G3" s="8" t="s">
        <v>25</v>
      </c>
      <c r="H3" s="11" t="s">
        <v>1</v>
      </c>
      <c r="I3" s="11" t="s">
        <v>81</v>
      </c>
      <c r="J3" s="8" t="s">
        <v>85</v>
      </c>
      <c r="K3" s="8" t="s">
        <v>79</v>
      </c>
      <c r="L3" s="21" t="s">
        <v>74</v>
      </c>
      <c r="M3" s="7" t="s">
        <v>14</v>
      </c>
      <c r="N3" s="7" t="s">
        <v>15</v>
      </c>
      <c r="O3" t="s">
        <v>16</v>
      </c>
      <c r="P3" t="s">
        <v>13</v>
      </c>
      <c r="Q3" t="s">
        <v>49</v>
      </c>
      <c r="R3"/>
    </row>
    <row r="4" spans="1:18" x14ac:dyDescent="0.25">
      <c r="A4" s="27" t="s">
        <v>118</v>
      </c>
      <c r="B4" s="26" t="s">
        <v>132</v>
      </c>
      <c r="C4" s="26"/>
      <c r="D4" s="27"/>
      <c r="E4" s="27" t="s">
        <v>139</v>
      </c>
      <c r="F4" s="27"/>
      <c r="G4" s="27" t="s">
        <v>133</v>
      </c>
      <c r="H4" s="32" t="s">
        <v>150</v>
      </c>
      <c r="I4" s="30">
        <v>0.5</v>
      </c>
      <c r="J4" s="30"/>
      <c r="K4" s="31"/>
      <c r="L4" s="28">
        <v>0.74999999982537702</v>
      </c>
      <c r="M4" s="27"/>
      <c r="N4" s="27" t="s">
        <v>20</v>
      </c>
      <c r="O4" s="29">
        <v>43817.078483796293</v>
      </c>
      <c r="P4" s="27" t="s">
        <v>111</v>
      </c>
      <c r="Q4" s="27" t="s">
        <v>131</v>
      </c>
    </row>
    <row r="5" spans="1:18" x14ac:dyDescent="0.25">
      <c r="A5" s="27" t="s">
        <v>112</v>
      </c>
      <c r="B5" s="26" t="s">
        <v>142</v>
      </c>
      <c r="C5" s="26"/>
      <c r="D5" s="27"/>
      <c r="E5" s="27"/>
      <c r="F5" s="27"/>
      <c r="G5" s="27" t="s">
        <v>137</v>
      </c>
      <c r="H5" s="32" t="s">
        <v>150</v>
      </c>
      <c r="I5" s="30">
        <v>0.75</v>
      </c>
      <c r="J5" s="30"/>
      <c r="K5" s="31"/>
      <c r="L5" s="28">
        <v>0.99999999994179201</v>
      </c>
      <c r="M5" s="27"/>
      <c r="N5" s="27" t="s">
        <v>20</v>
      </c>
      <c r="O5" s="29">
        <v>43817.07885416667</v>
      </c>
      <c r="P5" s="27" t="s">
        <v>111</v>
      </c>
      <c r="Q5" s="27" t="s">
        <v>126</v>
      </c>
    </row>
    <row r="6" spans="1:18" x14ac:dyDescent="0.25">
      <c r="A6" s="27" t="s">
        <v>143</v>
      </c>
      <c r="B6" s="26" t="s">
        <v>165</v>
      </c>
      <c r="C6" s="26"/>
      <c r="D6" s="27"/>
      <c r="E6" s="27"/>
      <c r="F6" s="27"/>
      <c r="G6" s="27"/>
      <c r="H6" s="32" t="s">
        <v>109</v>
      </c>
      <c r="I6" s="30" t="s">
        <v>124</v>
      </c>
      <c r="J6" s="30"/>
      <c r="K6" s="31"/>
      <c r="L6" s="28"/>
      <c r="M6" s="27"/>
      <c r="N6" s="27" t="s">
        <v>20</v>
      </c>
      <c r="O6" s="29"/>
      <c r="P6" s="27">
        <v>4</v>
      </c>
      <c r="Q6" s="27" t="s">
        <v>164</v>
      </c>
    </row>
    <row r="7" spans="1:18" x14ac:dyDescent="0.25">
      <c r="A7" s="27" t="s">
        <v>113</v>
      </c>
      <c r="B7" s="26" t="s">
        <v>127</v>
      </c>
      <c r="C7" s="26"/>
      <c r="D7" s="27"/>
      <c r="E7" s="27"/>
      <c r="F7" s="27"/>
      <c r="G7" s="27" t="s">
        <v>137</v>
      </c>
      <c r="H7" s="32" t="s">
        <v>109</v>
      </c>
      <c r="I7" s="30">
        <v>0.25</v>
      </c>
      <c r="J7" s="30">
        <v>0.35399999999999998</v>
      </c>
      <c r="K7" s="31">
        <v>43817.348090277781</v>
      </c>
      <c r="L7" s="28">
        <v>0</v>
      </c>
      <c r="M7" s="27"/>
      <c r="N7" s="27" t="s">
        <v>20</v>
      </c>
      <c r="O7" s="29"/>
      <c r="P7" s="27">
        <v>3</v>
      </c>
      <c r="Q7" s="27" t="s">
        <v>128</v>
      </c>
    </row>
    <row r="8" spans="1:18" x14ac:dyDescent="0.25">
      <c r="A8" s="27" t="s">
        <v>108</v>
      </c>
      <c r="B8" s="26" t="s">
        <v>125</v>
      </c>
      <c r="C8" s="26"/>
      <c r="D8" s="27"/>
      <c r="E8" s="27"/>
      <c r="F8" s="27"/>
      <c r="G8" s="27" t="s">
        <v>137</v>
      </c>
      <c r="H8" s="32" t="s">
        <v>109</v>
      </c>
      <c r="I8" s="30">
        <v>1</v>
      </c>
      <c r="J8" s="30">
        <v>1.708</v>
      </c>
      <c r="K8" s="31">
        <v>43817.404513888891</v>
      </c>
      <c r="L8" s="28">
        <v>0</v>
      </c>
      <c r="M8" s="27"/>
      <c r="N8" s="27" t="s">
        <v>20</v>
      </c>
      <c r="O8" s="29"/>
      <c r="P8" s="27">
        <v>2</v>
      </c>
      <c r="Q8" s="27" t="s">
        <v>123</v>
      </c>
    </row>
    <row r="9" spans="1:18" x14ac:dyDescent="0.25">
      <c r="A9" s="27" t="s">
        <v>117</v>
      </c>
      <c r="B9" s="26" t="s">
        <v>130</v>
      </c>
      <c r="C9" s="26"/>
      <c r="D9" s="27"/>
      <c r="E9" s="27"/>
      <c r="F9" s="27"/>
      <c r="G9" s="27" t="s">
        <v>135</v>
      </c>
      <c r="H9" s="32" t="s">
        <v>109</v>
      </c>
      <c r="I9" s="30">
        <v>2</v>
      </c>
      <c r="J9" s="30">
        <v>4.6040000000000001</v>
      </c>
      <c r="K9" s="31">
        <v>43817.525173611109</v>
      </c>
      <c r="L9" s="28">
        <v>0</v>
      </c>
      <c r="M9" s="27"/>
      <c r="N9" s="27" t="s">
        <v>20</v>
      </c>
      <c r="O9" s="29"/>
      <c r="P9" s="27">
        <v>1</v>
      </c>
      <c r="Q9" s="27" t="s">
        <v>129</v>
      </c>
    </row>
    <row r="10" spans="1:18" x14ac:dyDescent="0.25">
      <c r="A10" s="27"/>
      <c r="B10" s="26"/>
      <c r="C10" s="26"/>
      <c r="D10" s="27"/>
      <c r="E10" s="27"/>
      <c r="F10" s="27"/>
      <c r="G10" s="27"/>
      <c r="H10" s="32"/>
      <c r="I10" s="30"/>
      <c r="J10" s="30"/>
      <c r="K10" s="31"/>
      <c r="L10" s="28"/>
      <c r="M10" s="27"/>
      <c r="N10" s="27"/>
      <c r="O10" s="29"/>
      <c r="P10" s="27"/>
      <c r="Q10" s="27"/>
    </row>
    <row r="11" spans="1:18" x14ac:dyDescent="0.25">
      <c r="A11" s="27"/>
      <c r="B11" s="26"/>
      <c r="C11" s="26"/>
      <c r="D11" s="27"/>
      <c r="E11" s="27"/>
      <c r="F11" s="27"/>
      <c r="G11" s="27"/>
      <c r="H11" s="32"/>
      <c r="I11" s="30"/>
      <c r="J11" s="30"/>
      <c r="K11" s="31"/>
      <c r="L11" s="28"/>
      <c r="M11" s="27"/>
      <c r="N11" s="27"/>
      <c r="O11" s="29"/>
      <c r="P11" s="27"/>
      <c r="Q11" s="27"/>
    </row>
    <row r="16" spans="1:18" x14ac:dyDescent="0.25">
      <c r="B16" s="13"/>
    </row>
    <row r="39" spans="19:19" x14ac:dyDescent="0.25">
      <c r="S39" t="s">
        <v>101</v>
      </c>
    </row>
  </sheetData>
  <dataConsolidate/>
  <conditionalFormatting sqref="D1:D1048576">
    <cfRule type="containsText" dxfId="25" priority="5" operator="containsText" text="&lt;current">
      <formula>NOT(ISERROR(SEARCH("&lt;current",D1)))</formula>
    </cfRule>
  </conditionalFormatting>
  <conditionalFormatting sqref="H1:N1 H3:N3 J2:N2 H12:N1048576 H4:J11 L4:N9">
    <cfRule type="containsText" dxfId="24" priority="6" operator="containsText" text="Done">
      <formula>NOT(ISERROR(SEARCH("Done",H1)))</formula>
    </cfRule>
    <cfRule type="containsText" dxfId="23" priority="7" operator="containsText" text="In progress">
      <formula>NOT(ISERROR(SEARCH("In progress",H1)))</formula>
    </cfRule>
    <cfRule type="containsText" dxfId="22" priority="8" operator="containsText" text="To do">
      <formula>NOT(ISERROR(SEARCH("To do",H1)))</formula>
    </cfRule>
  </conditionalFormatting>
  <conditionalFormatting sqref="P1:P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9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9" xr:uid="{3ECC8279-A030-4FE8-A745-B48DD7D83552}">
      <formula1>"Me"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9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9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9" xr:uid="{9F542B9B-6457-4DF0-A686-12CFDB2D0871}">
      <formula1>"Important"</formula1>
    </dataValidation>
  </dataValidations>
  <hyperlinks>
    <hyperlink ref="B8" location="Planning!A1" display="Planning!A1" xr:uid="{E7E9EB20-9A6A-43A4-85F6-0260588D6383}"/>
    <hyperlink ref="B5" location="Planning!A1" display="Planning!A1" xr:uid="{FCF18BA7-767E-42AC-9D94-128940FF679B}"/>
    <hyperlink ref="B7" location="Planning!A1" display="Planning!A1" xr:uid="{F2059489-B87D-48E9-ACF8-FDDAAE5BAA21}"/>
    <hyperlink ref="B9" location="Planning!A1" display="Planning!A1" xr:uid="{8CFA1261-F85D-4859-A4DC-8DA15B465660}"/>
    <hyperlink ref="B4" location="Planning!A1" display="Planning!A1" xr:uid="{FB1E17D5-9329-412C-A215-AF443F84EE83}"/>
    <hyperlink ref="B6" location="Planning!A1" display="Planning!A1" xr:uid="{4FBB6029-7A4F-4619-A95E-9A40D67FBBBB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4CC5-84D4-46F2-B083-3D2A9088AA6B}">
  <sheetPr codeName="TaskSheetTemplate1"/>
  <dimension ref="A1:M20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26</v>
      </c>
    </row>
    <row r="2" spans="1:13" x14ac:dyDescent="0.25">
      <c r="A2" t="s">
        <v>3</v>
      </c>
      <c r="B2" t="s">
        <v>165</v>
      </c>
    </row>
    <row r="3" spans="1:13" x14ac:dyDescent="0.25">
      <c r="A3" t="s">
        <v>81</v>
      </c>
      <c r="B3" s="3" t="s">
        <v>111</v>
      </c>
      <c r="C3" t="s">
        <v>4</v>
      </c>
    </row>
    <row r="4" spans="1:13" x14ac:dyDescent="0.25">
      <c r="A4" t="s">
        <v>0</v>
      </c>
      <c r="B4" s="3">
        <f>SUM(D:D)</f>
        <v>0.74999999982537702</v>
      </c>
      <c r="C4" t="s">
        <v>4</v>
      </c>
    </row>
    <row r="5" spans="1:13" x14ac:dyDescent="0.25">
      <c r="A5" t="s">
        <v>14</v>
      </c>
      <c r="B5" s="6" t="s">
        <v>111</v>
      </c>
    </row>
    <row r="6" spans="1:13" x14ac:dyDescent="0.25">
      <c r="A6" t="s">
        <v>15</v>
      </c>
      <c r="B6" s="6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6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164</v>
      </c>
    </row>
    <row r="11" spans="1:13" x14ac:dyDescent="0.25">
      <c r="A11" t="s">
        <v>5</v>
      </c>
      <c r="B11" s="3" t="e">
        <f>B3/B4</f>
        <v>#VALUE!</v>
      </c>
      <c r="C11" t="s">
        <v>6</v>
      </c>
    </row>
    <row r="12" spans="1:13" x14ac:dyDescent="0.25">
      <c r="A12" t="s">
        <v>115</v>
      </c>
    </row>
    <row r="13" spans="1:13" x14ac:dyDescent="0.25">
      <c r="A13" t="s">
        <v>116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7" t="s">
        <v>71</v>
      </c>
      <c r="K14" s="3" t="s">
        <v>72</v>
      </c>
      <c r="L14" t="s">
        <v>74</v>
      </c>
      <c r="M14" t="s">
        <v>75</v>
      </c>
    </row>
    <row r="15" spans="1:13" x14ac:dyDescent="0.25">
      <c r="A15" t="s">
        <v>108</v>
      </c>
      <c r="B15" s="2">
        <v>43817.077916666669</v>
      </c>
      <c r="C15" s="2">
        <v>43817.088333333333</v>
      </c>
      <c r="D15" s="3">
        <v>0</v>
      </c>
      <c r="F15" s="26" t="s">
        <v>148</v>
      </c>
      <c r="G15" s="34" t="s">
        <v>149</v>
      </c>
      <c r="J15" s="17"/>
      <c r="K15" s="3"/>
      <c r="L15" s="3">
        <f>$B$4</f>
        <v>0.74999999982537702</v>
      </c>
      <c r="M15" s="18">
        <f>Tabelle7367587175[[#This Row],[EBS self time]]/Tabelle7367587175[[#This Row],[Total time]]</f>
        <v>0</v>
      </c>
    </row>
    <row r="16" spans="1:13" x14ac:dyDescent="0.25">
      <c r="A16" t="s">
        <v>112</v>
      </c>
      <c r="B16" s="2">
        <v>43817.078113425923</v>
      </c>
      <c r="C16" s="2">
        <v>43817.088530092595</v>
      </c>
      <c r="D16" s="3">
        <v>0</v>
      </c>
      <c r="F16" s="26" t="s">
        <v>148</v>
      </c>
      <c r="G16" s="34" t="s">
        <v>149</v>
      </c>
    </row>
    <row r="17" spans="1:7" x14ac:dyDescent="0.25">
      <c r="A17" t="s">
        <v>113</v>
      </c>
      <c r="B17" s="2">
        <v>43817.08216435185</v>
      </c>
      <c r="C17" s="2">
        <v>43817.092581018522</v>
      </c>
      <c r="D17" s="3">
        <v>0</v>
      </c>
      <c r="F17" s="26" t="s">
        <v>148</v>
      </c>
      <c r="G17" s="34" t="s">
        <v>149</v>
      </c>
    </row>
    <row r="18" spans="1:7" x14ac:dyDescent="0.25">
      <c r="A18" t="s">
        <v>117</v>
      </c>
      <c r="B18" s="2">
        <v>43817.082361111112</v>
      </c>
      <c r="C18" s="2">
        <v>43817.092777777776</v>
      </c>
      <c r="D18" s="3">
        <f>MAX((TimeEntries577074[[#This Row],[End time]]-TimeEntries577074[[#This Row],[Start time]])*24,0)</f>
        <v>0.24999999994179234</v>
      </c>
      <c r="F18" s="34" t="s">
        <v>148</v>
      </c>
      <c r="G18" s="26" t="s">
        <v>149</v>
      </c>
    </row>
    <row r="19" spans="1:7" x14ac:dyDescent="0.25">
      <c r="A19" t="s">
        <v>118</v>
      </c>
      <c r="B19" s="2">
        <v>43817.082361111112</v>
      </c>
      <c r="C19" s="2">
        <v>43817.092777777776</v>
      </c>
      <c r="D19" s="3">
        <f>MAX((TimeEntries577074[[#This Row],[End time]]-TimeEntries577074[[#This Row],[Start time]])*24,0)</f>
        <v>0.24999999994179234</v>
      </c>
      <c r="F19" s="34" t="s">
        <v>148</v>
      </c>
      <c r="G19" s="26" t="s">
        <v>149</v>
      </c>
    </row>
    <row r="20" spans="1:7" x14ac:dyDescent="0.25">
      <c r="A20" t="s">
        <v>143</v>
      </c>
      <c r="B20" s="2">
        <v>43817.082465277781</v>
      </c>
      <c r="C20" s="2">
        <v>43817.092881944445</v>
      </c>
      <c r="D20" s="3">
        <f>MAX((TimeEntries577074[[#This Row],[End time]]-TimeEntries577074[[#This Row],[Start time]])*24,0)</f>
        <v>0.24999999994179234</v>
      </c>
      <c r="F20" s="34" t="s">
        <v>148</v>
      </c>
      <c r="G20" s="26" t="s">
        <v>149</v>
      </c>
    </row>
  </sheetData>
  <dataConsolidate/>
  <hyperlinks>
    <hyperlink ref="A1" location="Planning!A1" display="Go back to 'Planning' sheet" xr:uid="{F16AC026-0B75-462C-B689-0AC44546DEC9}"/>
    <hyperlink ref="F15" location="$F$15" display="$F$15" xr:uid="{C6716D1D-C8A3-4DF9-88F0-4D7331C34FA4}"/>
    <hyperlink ref="G15" location="$G$15" display="$G$15" xr:uid="{9761DE7A-9156-4FEE-A26E-B3E73B318968}"/>
    <hyperlink ref="F16" location="$F$16" display="$F$16" xr:uid="{D354488B-1D36-442E-A9AC-246BB5E9E4BF}"/>
    <hyperlink ref="G16" location="$G$16" display="$G$16" xr:uid="{791DBE71-1485-45BB-820F-B14D04FCD1D2}"/>
    <hyperlink ref="F17" location="$F$17" display="$F$17" xr:uid="{C6B1940B-175A-4FCA-BCAF-681F89D7209B}"/>
    <hyperlink ref="G17" location="$G$17" display="$G$17" xr:uid="{32527104-7B3F-48A3-8B53-7A452901A85B}"/>
    <hyperlink ref="F18" location="$F$18" display="$F$18" xr:uid="{96AA584C-3125-4DCB-B17C-DC1FC0E1EBF5}"/>
    <hyperlink ref="G18" location="$G$18" display="$G$18" xr:uid="{E68D9004-7253-4772-B5F7-DCD92E2B9557}"/>
    <hyperlink ref="F19" location="$F$19" display="$F$19" xr:uid="{F968E50A-10B2-4B4F-BB80-1049C0F436F9}"/>
    <hyperlink ref="G19" location="$G$19" display="$G$19" xr:uid="{36A03E3C-16BD-45B1-B8BE-6BC8D4775295}"/>
    <hyperlink ref="F20" location="$F$20" display="$F$20" xr:uid="{BBB710E6-C94F-405C-AFB5-DE2FAF315261}"/>
    <hyperlink ref="G20" location="$G$20" display="$G$20" xr:uid="{0306B10A-9CF5-470C-8B24-23333CB307B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AA196-224F-4A29-887B-24E4181908DD}">
  <sheetPr codeName="TaskSheetTemplate2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26</v>
      </c>
    </row>
    <row r="2" spans="1:13" x14ac:dyDescent="0.25">
      <c r="A2" t="s">
        <v>3</v>
      </c>
      <c r="B2" t="s">
        <v>125</v>
      </c>
    </row>
    <row r="3" spans="1:13" x14ac:dyDescent="0.25">
      <c r="A3" t="s">
        <v>81</v>
      </c>
      <c r="B3" s="3">
        <v>1</v>
      </c>
      <c r="C3" t="s">
        <v>4</v>
      </c>
    </row>
    <row r="4" spans="1:13" x14ac:dyDescent="0.25">
      <c r="A4" t="s">
        <v>0</v>
      </c>
      <c r="B4" s="3">
        <f>SUM(D:D)</f>
        <v>0.24999999994179234</v>
      </c>
      <c r="C4" t="s">
        <v>4</v>
      </c>
    </row>
    <row r="5" spans="1:13" x14ac:dyDescent="0.25">
      <c r="A5" t="s">
        <v>14</v>
      </c>
      <c r="B5" s="6" t="s">
        <v>111</v>
      </c>
    </row>
    <row r="6" spans="1:13" x14ac:dyDescent="0.25">
      <c r="A6" t="s">
        <v>15</v>
      </c>
      <c r="B6" s="6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6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123</v>
      </c>
    </row>
    <row r="11" spans="1:13" x14ac:dyDescent="0.25">
      <c r="A11" t="s">
        <v>5</v>
      </c>
      <c r="B11" s="3">
        <f>B3/B4</f>
        <v>4.0000000009313226</v>
      </c>
      <c r="C11" t="s">
        <v>6</v>
      </c>
    </row>
    <row r="12" spans="1:13" x14ac:dyDescent="0.25">
      <c r="A12" t="s">
        <v>115</v>
      </c>
      <c r="B12" t="s">
        <v>134</v>
      </c>
    </row>
    <row r="13" spans="1:13" x14ac:dyDescent="0.25">
      <c r="A13" t="s">
        <v>116</v>
      </c>
      <c r="B13" t="s">
        <v>138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7" t="s">
        <v>71</v>
      </c>
      <c r="K14" s="3" t="s">
        <v>72</v>
      </c>
      <c r="L14" t="s">
        <v>74</v>
      </c>
      <c r="M14" t="s">
        <v>75</v>
      </c>
    </row>
    <row r="15" spans="1:13" x14ac:dyDescent="0.25">
      <c r="A15" t="s">
        <v>108</v>
      </c>
      <c r="B15" s="2">
        <v>43817.077002314814</v>
      </c>
      <c r="C15" s="2">
        <v>43817.087418981479</v>
      </c>
      <c r="D15" s="3">
        <f>MAX((C15-B15)*24,0)</f>
        <v>0.24999999994179234</v>
      </c>
      <c r="F15" s="35" t="s">
        <v>148</v>
      </c>
      <c r="G15" s="35" t="s">
        <v>149</v>
      </c>
      <c r="J15" s="17"/>
      <c r="K15" s="3"/>
      <c r="L15" s="3"/>
      <c r="M15" s="18"/>
    </row>
  </sheetData>
  <dataConsolidate/>
  <hyperlinks>
    <hyperlink ref="A1" location="Planning!A1" display="Go back to 'Planning' sheet" xr:uid="{E8B19F3A-7BC0-4EB1-80C5-F3B8255F2AAA}"/>
    <hyperlink ref="F15" location="$F$15" display="$F$15" xr:uid="{8AEB2CC1-1005-4579-9A16-86A04393B523}"/>
    <hyperlink ref="G15" location="$G$15" display="$G$15" xr:uid="{0E567B9D-7021-4445-815C-8066068D9E3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9880-FEF9-49E7-BBD8-4ACABDA44FD6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6" t="s">
        <v>77</v>
      </c>
      <c r="F15" s="1" t="s">
        <v>78</v>
      </c>
      <c r="G15" s="33"/>
      <c r="H15" s="33"/>
    </row>
    <row r="16" spans="5:8" x14ac:dyDescent="0.25">
      <c r="E16" s="16" t="s">
        <v>76</v>
      </c>
      <c r="F16" s="1" t="s">
        <v>39</v>
      </c>
      <c r="G16" s="33"/>
      <c r="H16" s="33"/>
    </row>
    <row r="17" spans="1:20" x14ac:dyDescent="0.25">
      <c r="J17" s="12" t="s">
        <v>46</v>
      </c>
      <c r="K17" s="12"/>
    </row>
    <row r="18" spans="1:20" x14ac:dyDescent="0.25">
      <c r="A18" t="s">
        <v>17</v>
      </c>
      <c r="B18" t="s">
        <v>52</v>
      </c>
      <c r="C18" t="s">
        <v>37</v>
      </c>
      <c r="D18" t="s">
        <v>28</v>
      </c>
      <c r="E18" t="s">
        <v>42</v>
      </c>
      <c r="F18" t="s">
        <v>38</v>
      </c>
      <c r="G18" t="s">
        <v>40</v>
      </c>
      <c r="H18" t="s">
        <v>50</v>
      </c>
      <c r="J18" t="s">
        <v>51</v>
      </c>
      <c r="K18" t="s">
        <v>49</v>
      </c>
      <c r="L18" t="s">
        <v>19</v>
      </c>
      <c r="M18" s="3" t="s">
        <v>41</v>
      </c>
      <c r="N18" s="3" t="s">
        <v>81</v>
      </c>
      <c r="O18" t="s">
        <v>43</v>
      </c>
      <c r="P18" t="s">
        <v>45</v>
      </c>
      <c r="Q18" t="s">
        <v>44</v>
      </c>
      <c r="R18" t="s">
        <v>42</v>
      </c>
      <c r="S18" t="s">
        <v>62</v>
      </c>
      <c r="T18" t="s">
        <v>61</v>
      </c>
    </row>
    <row r="19" spans="1:20" x14ac:dyDescent="0.25">
      <c r="A19" t="s">
        <v>108</v>
      </c>
      <c r="B19" s="19">
        <v>43817.078981481478</v>
      </c>
      <c r="C19" t="s">
        <v>163</v>
      </c>
      <c r="D19" t="s">
        <v>29</v>
      </c>
      <c r="E19" t="s">
        <v>110</v>
      </c>
      <c r="F19" t="s">
        <v>160</v>
      </c>
      <c r="G19" t="s">
        <v>161</v>
      </c>
      <c r="H19" t="s">
        <v>162</v>
      </c>
      <c r="J19" t="s">
        <v>108</v>
      </c>
      <c r="K19" t="s">
        <v>128</v>
      </c>
      <c r="L19">
        <v>3</v>
      </c>
      <c r="M19" s="3">
        <v>0</v>
      </c>
      <c r="N19" s="3">
        <v>0.25</v>
      </c>
      <c r="O19" t="s">
        <v>151</v>
      </c>
      <c r="P19" t="s">
        <v>151</v>
      </c>
      <c r="Q19" t="s">
        <v>151</v>
      </c>
      <c r="R19" t="s">
        <v>110</v>
      </c>
      <c r="S19" t="s">
        <v>152</v>
      </c>
      <c r="T19" t="s">
        <v>153</v>
      </c>
    </row>
    <row r="20" spans="1:20" x14ac:dyDescent="0.25">
      <c r="B20" s="19"/>
      <c r="J20" t="s">
        <v>112</v>
      </c>
      <c r="K20" t="s">
        <v>123</v>
      </c>
      <c r="L20">
        <v>2</v>
      </c>
      <c r="M20" s="3">
        <v>0</v>
      </c>
      <c r="N20" s="3">
        <v>1</v>
      </c>
      <c r="O20" t="s">
        <v>154</v>
      </c>
      <c r="P20" t="s">
        <v>154</v>
      </c>
      <c r="Q20" t="s">
        <v>155</v>
      </c>
      <c r="R20" t="s">
        <v>110</v>
      </c>
      <c r="S20" t="s">
        <v>156</v>
      </c>
      <c r="T20" t="s">
        <v>157</v>
      </c>
    </row>
    <row r="21" spans="1:20" x14ac:dyDescent="0.25">
      <c r="B21" s="19"/>
      <c r="J21" t="s">
        <v>113</v>
      </c>
      <c r="K21" t="s">
        <v>129</v>
      </c>
      <c r="L21">
        <v>1</v>
      </c>
      <c r="M21" s="3">
        <v>0</v>
      </c>
      <c r="N21" s="3">
        <v>2</v>
      </c>
      <c r="O21" t="s">
        <v>158</v>
      </c>
      <c r="P21" t="s">
        <v>158</v>
      </c>
      <c r="Q21" t="s">
        <v>159</v>
      </c>
      <c r="R21" t="s">
        <v>110</v>
      </c>
      <c r="S21" t="s">
        <v>160</v>
      </c>
      <c r="T21" t="s">
        <v>161</v>
      </c>
    </row>
    <row r="22" spans="1:20" x14ac:dyDescent="0.25">
      <c r="B22" s="19"/>
      <c r="M22" s="3"/>
      <c r="N22" s="3"/>
    </row>
    <row r="23" spans="1:20" x14ac:dyDescent="0.25">
      <c r="B23" s="19"/>
      <c r="M23" s="3"/>
      <c r="N23" s="3"/>
    </row>
    <row r="24" spans="1:20" x14ac:dyDescent="0.25">
      <c r="B24" s="19"/>
      <c r="M24" s="3"/>
      <c r="N24" s="3"/>
    </row>
    <row r="25" spans="1:20" x14ac:dyDescent="0.25">
      <c r="B25" s="19"/>
      <c r="M25" s="3"/>
      <c r="N25" s="3"/>
    </row>
    <row r="26" spans="1:20" x14ac:dyDescent="0.25">
      <c r="B26" s="19"/>
    </row>
    <row r="27" spans="1:20" x14ac:dyDescent="0.25">
      <c r="B27" s="19"/>
    </row>
    <row r="28" spans="1:20" x14ac:dyDescent="0.25">
      <c r="B28" s="19"/>
    </row>
    <row r="29" spans="1:20" x14ac:dyDescent="0.25">
      <c r="B29" s="19"/>
    </row>
    <row r="30" spans="1:20" x14ac:dyDescent="0.25">
      <c r="B30" s="19"/>
    </row>
    <row r="31" spans="1:20" x14ac:dyDescent="0.25">
      <c r="B31" s="19"/>
    </row>
    <row r="32" spans="1:20" x14ac:dyDescent="0.25">
      <c r="B32" s="19"/>
    </row>
    <row r="33" spans="2:2" x14ac:dyDescent="0.25">
      <c r="B33" s="19"/>
    </row>
    <row r="34" spans="2:2" x14ac:dyDescent="0.25">
      <c r="B34" s="19"/>
    </row>
    <row r="35" spans="2:2" x14ac:dyDescent="0.25">
      <c r="B35" s="19"/>
    </row>
    <row r="36" spans="2:2" x14ac:dyDescent="0.25">
      <c r="B36" s="19"/>
    </row>
    <row r="37" spans="2:2" x14ac:dyDescent="0.25">
      <c r="B37" s="19"/>
    </row>
    <row r="38" spans="2:2" x14ac:dyDescent="0.25">
      <c r="B38" s="19"/>
    </row>
    <row r="39" spans="2:2" x14ac:dyDescent="0.25">
      <c r="B39" s="19"/>
    </row>
    <row r="40" spans="2:2" x14ac:dyDescent="0.25">
      <c r="B40" s="19"/>
    </row>
    <row r="41" spans="2:2" x14ac:dyDescent="0.25">
      <c r="B41" s="19"/>
    </row>
    <row r="42" spans="2:2" x14ac:dyDescent="0.25">
      <c r="B42" s="19"/>
    </row>
    <row r="43" spans="2:2" x14ac:dyDescent="0.25">
      <c r="B43" s="19"/>
    </row>
    <row r="46" spans="2:2" x14ac:dyDescent="0.25">
      <c r="B46" s="19"/>
    </row>
    <row r="47" spans="2:2" x14ac:dyDescent="0.25">
      <c r="B47" s="19"/>
    </row>
    <row r="48" spans="2:2" x14ac:dyDescent="0.25">
      <c r="B48" s="19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CC114084-1C82-4FF9-8F0F-70BF6BA64AD0}">
      <formula1>"Yes,No"</formula1>
    </dataValidation>
    <dataValidation type="list" allowBlank="1" showInputMessage="1" showErrorMessage="1" sqref="F16" xr:uid="{DF276DEA-550E-4FB5-9537-1C5012D891AE}">
      <formula1>"Time,Date"</formula1>
    </dataValidation>
    <dataValidation type="list" allowBlank="1" showInputMessage="1" showErrorMessage="1" sqref="F15:H15" xr:uid="{BBC9F402-9C49-40D0-A347-6B610D81C62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3"/>
  <sheetViews>
    <sheetView workbookViewId="0">
      <selection activeCell="B24" sqref="B24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26</v>
      </c>
    </row>
    <row r="3" spans="1:10" x14ac:dyDescent="0.25">
      <c r="A3" t="s">
        <v>15</v>
      </c>
      <c r="B3" s="3" t="s">
        <v>63</v>
      </c>
      <c r="C3" s="3" t="s">
        <v>102</v>
      </c>
      <c r="D3" s="3" t="s">
        <v>103</v>
      </c>
      <c r="E3" s="3" t="s">
        <v>68</v>
      </c>
      <c r="F3" t="s">
        <v>65</v>
      </c>
      <c r="G3" t="s">
        <v>66</v>
      </c>
      <c r="H3" t="s">
        <v>64</v>
      </c>
      <c r="I3" t="s">
        <v>70</v>
      </c>
      <c r="J3" t="s">
        <v>69</v>
      </c>
    </row>
    <row r="4" spans="1:10" x14ac:dyDescent="0.25">
      <c r="A4" t="s">
        <v>20</v>
      </c>
      <c r="B4" s="14" t="s">
        <v>119</v>
      </c>
      <c r="C4" t="s">
        <v>120</v>
      </c>
      <c r="D4" t="s">
        <v>104</v>
      </c>
      <c r="E4" s="15" t="s">
        <v>86</v>
      </c>
      <c r="F4" s="15">
        <v>0.33333333333333331</v>
      </c>
      <c r="G4" s="15">
        <v>0.77083333333333337</v>
      </c>
      <c r="H4" t="s">
        <v>67</v>
      </c>
      <c r="I4" s="3">
        <v>0.25</v>
      </c>
      <c r="J4" s="3">
        <f>5/60</f>
        <v>8.3333333333333329E-2</v>
      </c>
    </row>
    <row r="5" spans="1:10" x14ac:dyDescent="0.25">
      <c r="B5" s="6"/>
      <c r="C5" s="6"/>
      <c r="D5" s="6"/>
      <c r="E5" s="6"/>
    </row>
    <row r="6" spans="1:10" x14ac:dyDescent="0.25">
      <c r="A6" t="s">
        <v>82</v>
      </c>
      <c r="B6" s="23"/>
      <c r="C6" s="23"/>
      <c r="D6" s="23"/>
      <c r="E6" s="6"/>
    </row>
    <row r="7" spans="1:10" x14ac:dyDescent="0.25">
      <c r="A7" t="s">
        <v>83</v>
      </c>
      <c r="B7" s="25"/>
      <c r="C7" s="25"/>
      <c r="D7" s="25"/>
    </row>
    <row r="8" spans="1:10" x14ac:dyDescent="0.25">
      <c r="A8" t="s">
        <v>84</v>
      </c>
      <c r="B8" s="24"/>
      <c r="C8" s="24"/>
      <c r="D8" s="24"/>
      <c r="E8" s="6"/>
    </row>
    <row r="10" spans="1:10" x14ac:dyDescent="0.25">
      <c r="B10" t="s">
        <v>106</v>
      </c>
      <c r="C10" t="s">
        <v>120</v>
      </c>
    </row>
    <row r="11" spans="1:10" x14ac:dyDescent="0.25">
      <c r="B11" t="s">
        <v>105</v>
      </c>
      <c r="C11" t="s">
        <v>121</v>
      </c>
      <c r="D11" s="3"/>
      <c r="E11" s="3"/>
    </row>
    <row r="12" spans="1:10" x14ac:dyDescent="0.25">
      <c r="B12" s="3" t="s">
        <v>107</v>
      </c>
      <c r="C12" s="14" t="s">
        <v>122</v>
      </c>
    </row>
    <row r="15" spans="1:10" x14ac:dyDescent="0.25">
      <c r="A15" t="s">
        <v>87</v>
      </c>
    </row>
    <row r="23" spans="1:2" x14ac:dyDescent="0.25">
      <c r="A23" t="s">
        <v>114</v>
      </c>
      <c r="B23" s="23" t="s">
        <v>147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2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26</v>
      </c>
    </row>
    <row r="2" spans="1:13" x14ac:dyDescent="0.25">
      <c r="A2" t="s">
        <v>3</v>
      </c>
      <c r="B2" t="s">
        <v>111</v>
      </c>
    </row>
    <row r="3" spans="1:13" x14ac:dyDescent="0.25">
      <c r="A3" t="s">
        <v>81</v>
      </c>
      <c r="B3" s="3" t="s">
        <v>111</v>
      </c>
      <c r="C3" t="s">
        <v>4</v>
      </c>
    </row>
    <row r="4" spans="1:13" x14ac:dyDescent="0.25">
      <c r="A4" t="s">
        <v>0</v>
      </c>
      <c r="B4" s="3">
        <f>SUM(D:D)</f>
        <v>0</v>
      </c>
      <c r="C4" t="s">
        <v>4</v>
      </c>
    </row>
    <row r="5" spans="1:13" x14ac:dyDescent="0.25">
      <c r="A5" t="s">
        <v>14</v>
      </c>
      <c r="B5" s="6" t="s">
        <v>111</v>
      </c>
    </row>
    <row r="6" spans="1:13" x14ac:dyDescent="0.25">
      <c r="A6" t="s">
        <v>15</v>
      </c>
      <c r="B6" s="6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6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111</v>
      </c>
    </row>
    <row r="11" spans="1:13" x14ac:dyDescent="0.25">
      <c r="A11" t="s">
        <v>5</v>
      </c>
      <c r="B11" s="3" t="e">
        <f>B3/B4</f>
        <v>#VALUE!</v>
      </c>
      <c r="C11" t="s">
        <v>6</v>
      </c>
    </row>
    <row r="12" spans="1:13" x14ac:dyDescent="0.25">
      <c r="A12" t="s">
        <v>115</v>
      </c>
    </row>
    <row r="13" spans="1:13" x14ac:dyDescent="0.25">
      <c r="A13" t="s">
        <v>116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7" t="s">
        <v>71</v>
      </c>
      <c r="K14" s="3" t="s">
        <v>72</v>
      </c>
      <c r="L14" t="s">
        <v>74</v>
      </c>
      <c r="M14" t="s">
        <v>75</v>
      </c>
    </row>
    <row r="15" spans="1:13" x14ac:dyDescent="0.25">
      <c r="B15" s="2"/>
      <c r="C15" s="2"/>
      <c r="D15" s="3">
        <f>MAX((C15-B15)*24,0)</f>
        <v>0</v>
      </c>
      <c r="J15" s="17"/>
      <c r="K15" s="3"/>
      <c r="L15" s="3">
        <f>$B$4</f>
        <v>0</v>
      </c>
      <c r="M15" s="18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4"/>
  <sheetViews>
    <sheetView topLeftCell="A6" workbookViewId="0">
      <selection activeCell="B26" sqref="B26"/>
    </sheetView>
  </sheetViews>
  <sheetFormatPr baseColWidth="10" defaultColWidth="11.42578125" defaultRowHeight="15" x14ac:dyDescent="0.25"/>
  <sheetData>
    <row r="1" spans="1:3" x14ac:dyDescent="0.25">
      <c r="A1" s="12" t="s">
        <v>36</v>
      </c>
    </row>
    <row r="2" spans="1:3" x14ac:dyDescent="0.25">
      <c r="A2" t="s">
        <v>21</v>
      </c>
    </row>
    <row r="3" spans="1:3" x14ac:dyDescent="0.25">
      <c r="A3" t="s">
        <v>22</v>
      </c>
    </row>
    <row r="5" spans="1:3" x14ac:dyDescent="0.25">
      <c r="A5" s="12" t="s">
        <v>30</v>
      </c>
    </row>
    <row r="6" spans="1:3" x14ac:dyDescent="0.25">
      <c r="A6" t="s">
        <v>31</v>
      </c>
    </row>
    <row r="7" spans="1:3" x14ac:dyDescent="0.25">
      <c r="B7" t="s">
        <v>32</v>
      </c>
    </row>
    <row r="8" spans="1:3" x14ac:dyDescent="0.25">
      <c r="B8" t="s">
        <v>33</v>
      </c>
    </row>
    <row r="9" spans="1:3" x14ac:dyDescent="0.25">
      <c r="A9" t="s">
        <v>34</v>
      </c>
    </row>
    <row r="10" spans="1:3" x14ac:dyDescent="0.25">
      <c r="B10" t="s">
        <v>35</v>
      </c>
    </row>
    <row r="11" spans="1:3" x14ac:dyDescent="0.25">
      <c r="A11" s="12" t="s">
        <v>48</v>
      </c>
    </row>
    <row r="12" spans="1:3" x14ac:dyDescent="0.25">
      <c r="A12" t="s">
        <v>31</v>
      </c>
    </row>
    <row r="13" spans="1:3" x14ac:dyDescent="0.25">
      <c r="B13" t="s">
        <v>47</v>
      </c>
    </row>
    <row r="14" spans="1:3" x14ac:dyDescent="0.25">
      <c r="A14" s="12" t="s">
        <v>53</v>
      </c>
    </row>
    <row r="15" spans="1:3" x14ac:dyDescent="0.25">
      <c r="B15" t="s">
        <v>54</v>
      </c>
    </row>
    <row r="16" spans="1:3" x14ac:dyDescent="0.25">
      <c r="C16" t="s">
        <v>55</v>
      </c>
    </row>
    <row r="17" spans="1:3" x14ac:dyDescent="0.25">
      <c r="C17" t="s">
        <v>57</v>
      </c>
    </row>
    <row r="18" spans="1:3" x14ac:dyDescent="0.25">
      <c r="B18" t="s">
        <v>58</v>
      </c>
    </row>
    <row r="19" spans="1:3" x14ac:dyDescent="0.25">
      <c r="B19" t="s">
        <v>56</v>
      </c>
    </row>
    <row r="20" spans="1:3" x14ac:dyDescent="0.25">
      <c r="A20" s="12" t="s">
        <v>59</v>
      </c>
    </row>
    <row r="21" spans="1:3" x14ac:dyDescent="0.25">
      <c r="B21" t="s">
        <v>60</v>
      </c>
    </row>
    <row r="23" spans="1:3" x14ac:dyDescent="0.25">
      <c r="A23" s="12" t="s">
        <v>100</v>
      </c>
      <c r="B23" s="12" t="s">
        <v>98</v>
      </c>
    </row>
    <row r="24" spans="1:3" x14ac:dyDescent="0.25">
      <c r="A24" t="s">
        <v>90</v>
      </c>
      <c r="B24">
        <v>883</v>
      </c>
    </row>
    <row r="25" spans="1:3" x14ac:dyDescent="0.25">
      <c r="A25" t="s">
        <v>91</v>
      </c>
      <c r="B25">
        <v>673</v>
      </c>
    </row>
    <row r="26" spans="1:3" x14ac:dyDescent="0.25">
      <c r="A26" t="s">
        <v>92</v>
      </c>
      <c r="B26">
        <v>380</v>
      </c>
    </row>
    <row r="27" spans="1:3" x14ac:dyDescent="0.25">
      <c r="A27" t="s">
        <v>93</v>
      </c>
      <c r="B27">
        <v>27</v>
      </c>
    </row>
    <row r="28" spans="1:3" x14ac:dyDescent="0.25">
      <c r="A28" t="s">
        <v>94</v>
      </c>
      <c r="B28">
        <v>1130</v>
      </c>
    </row>
    <row r="29" spans="1:3" x14ac:dyDescent="0.25">
      <c r="A29" t="s">
        <v>27</v>
      </c>
      <c r="B29">
        <v>1687</v>
      </c>
    </row>
    <row r="30" spans="1:3" x14ac:dyDescent="0.25">
      <c r="A30" t="s">
        <v>95</v>
      </c>
      <c r="B30">
        <v>193</v>
      </c>
    </row>
    <row r="31" spans="1:3" x14ac:dyDescent="0.25">
      <c r="A31" t="s">
        <v>97</v>
      </c>
      <c r="B31">
        <v>952</v>
      </c>
    </row>
    <row r="32" spans="1:3" x14ac:dyDescent="0.25">
      <c r="A32" t="s">
        <v>96</v>
      </c>
      <c r="B32">
        <v>607</v>
      </c>
    </row>
    <row r="33" spans="1:2" x14ac:dyDescent="0.25">
      <c r="A33" t="s">
        <v>99</v>
      </c>
      <c r="B33">
        <v>484</v>
      </c>
    </row>
    <row r="34" spans="1:2" x14ac:dyDescent="0.25">
      <c r="B34">
        <f>SUM(B24:B33)</f>
        <v>7016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6" t="s">
        <v>77</v>
      </c>
      <c r="F15" s="1" t="s">
        <v>78</v>
      </c>
      <c r="G15" s="33"/>
      <c r="H15" s="33"/>
    </row>
    <row r="16" spans="5:8" x14ac:dyDescent="0.25">
      <c r="E16" s="16" t="s">
        <v>76</v>
      </c>
      <c r="F16" s="1" t="s">
        <v>39</v>
      </c>
      <c r="G16" s="33"/>
      <c r="H16" s="33"/>
    </row>
    <row r="17" spans="1:20" x14ac:dyDescent="0.25">
      <c r="J17" s="12" t="s">
        <v>46</v>
      </c>
      <c r="K17" s="12"/>
    </row>
    <row r="18" spans="1:20" x14ac:dyDescent="0.25">
      <c r="A18" t="s">
        <v>17</v>
      </c>
      <c r="B18" t="s">
        <v>52</v>
      </c>
      <c r="C18" t="s">
        <v>37</v>
      </c>
      <c r="D18" t="s">
        <v>28</v>
      </c>
      <c r="E18" t="s">
        <v>42</v>
      </c>
      <c r="F18" t="s">
        <v>38</v>
      </c>
      <c r="G18" t="s">
        <v>40</v>
      </c>
      <c r="H18" t="s">
        <v>50</v>
      </c>
      <c r="J18" t="s">
        <v>51</v>
      </c>
      <c r="K18" t="s">
        <v>49</v>
      </c>
      <c r="L18" t="s">
        <v>19</v>
      </c>
      <c r="M18" s="3" t="s">
        <v>41</v>
      </c>
      <c r="N18" s="3" t="s">
        <v>81</v>
      </c>
      <c r="O18" t="s">
        <v>43</v>
      </c>
      <c r="P18" t="s">
        <v>45</v>
      </c>
      <c r="Q18" t="s">
        <v>44</v>
      </c>
      <c r="R18" t="s">
        <v>42</v>
      </c>
      <c r="S18" t="s">
        <v>62</v>
      </c>
      <c r="T18" t="s">
        <v>61</v>
      </c>
    </row>
    <row r="19" spans="1:20" x14ac:dyDescent="0.25">
      <c r="B19" s="19"/>
      <c r="D19" t="s">
        <v>29</v>
      </c>
      <c r="M19" s="3"/>
      <c r="N19" s="3"/>
    </row>
    <row r="20" spans="1:20" x14ac:dyDescent="0.25">
      <c r="B20" s="19"/>
      <c r="M20" s="3"/>
      <c r="N20" s="3"/>
    </row>
    <row r="21" spans="1:20" x14ac:dyDescent="0.25">
      <c r="B21" s="19"/>
      <c r="M21" s="3"/>
      <c r="N21" s="3"/>
    </row>
    <row r="22" spans="1:20" x14ac:dyDescent="0.25">
      <c r="B22" s="19"/>
      <c r="M22" s="3"/>
      <c r="N22" s="3"/>
    </row>
    <row r="23" spans="1:20" x14ac:dyDescent="0.25">
      <c r="B23" s="19"/>
      <c r="M23" s="3"/>
      <c r="N23" s="3"/>
    </row>
    <row r="24" spans="1:20" x14ac:dyDescent="0.25">
      <c r="B24" s="19"/>
    </row>
    <row r="25" spans="1:20" x14ac:dyDescent="0.25">
      <c r="B25" s="19"/>
    </row>
    <row r="26" spans="1:20" x14ac:dyDescent="0.25">
      <c r="B26" s="19"/>
    </row>
    <row r="27" spans="1:20" x14ac:dyDescent="0.25">
      <c r="B27" s="19"/>
    </row>
    <row r="28" spans="1:20" x14ac:dyDescent="0.25">
      <c r="B28" s="19"/>
    </row>
    <row r="29" spans="1:20" x14ac:dyDescent="0.25">
      <c r="B29" s="19"/>
    </row>
    <row r="30" spans="1:20" x14ac:dyDescent="0.25">
      <c r="B30" s="19"/>
    </row>
    <row r="31" spans="1:20" x14ac:dyDescent="0.25">
      <c r="B31" s="19"/>
    </row>
    <row r="32" spans="1:20" x14ac:dyDescent="0.25">
      <c r="B32" s="19"/>
    </row>
    <row r="33" spans="2:2" x14ac:dyDescent="0.25">
      <c r="B33" s="19"/>
    </row>
    <row r="34" spans="2:2" x14ac:dyDescent="0.25">
      <c r="B34" s="19"/>
    </row>
    <row r="35" spans="2:2" x14ac:dyDescent="0.25">
      <c r="B35" s="19"/>
    </row>
    <row r="36" spans="2:2" x14ac:dyDescent="0.25">
      <c r="B36" s="19"/>
    </row>
    <row r="37" spans="2:2" x14ac:dyDescent="0.25">
      <c r="B37" s="19"/>
    </row>
    <row r="38" spans="2:2" x14ac:dyDescent="0.25">
      <c r="B38" s="19"/>
    </row>
    <row r="39" spans="2:2" x14ac:dyDescent="0.25">
      <c r="B39" s="19"/>
    </row>
    <row r="40" spans="2:2" x14ac:dyDescent="0.25">
      <c r="B40" s="19"/>
    </row>
    <row r="41" spans="2:2" x14ac:dyDescent="0.25">
      <c r="B41" s="19"/>
    </row>
    <row r="42" spans="2:2" x14ac:dyDescent="0.25">
      <c r="B42" s="19"/>
    </row>
    <row r="43" spans="2:2" x14ac:dyDescent="0.25">
      <c r="B43" s="19"/>
    </row>
    <row r="46" spans="2:2" x14ac:dyDescent="0.25">
      <c r="B46" s="19"/>
    </row>
    <row r="47" spans="2:2" x14ac:dyDescent="0.25">
      <c r="B47" s="19"/>
    </row>
    <row r="48" spans="2:2" x14ac:dyDescent="0.25">
      <c r="B48" s="19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VSHEET_STOR_181E50</vt:lpstr>
      <vt:lpstr>Planning</vt:lpstr>
      <vt:lpstr>tFC8484721CD68E2E0</vt:lpstr>
      <vt:lpstr>t5C33AE2C601539DCA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2019-12-18T01:14:25Z</dcterms:modified>
  <cp:category/>
  <cp:contentStatus/>
</cp:coreProperties>
</file>