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1.xml" ContentType="application/vnd.openxmlformats-officedocument.spreadsheetml.table+xml"/>
  <Override PartName="/xl/drawings/drawing2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drawings/drawing5.xml" ContentType="application/vnd.openxmlformats-officedocument.drawing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GitHub\EbsSpread\bin\"/>
    </mc:Choice>
  </mc:AlternateContent>
  <xr:revisionPtr revIDLastSave="0" documentId="13_ncr:1_{AABE2FD3-45AD-4992-BEC1-67998496786D}" xr6:coauthVersionLast="45" xr6:coauthVersionMax="45" xr10:uidLastSave="{00000000-0000-0000-0000-000000000000}"/>
  <bookViews>
    <workbookView xWindow="-120" yWindow="-120" windowWidth="24240" windowHeight="13140" tabRatio="813" firstSheet="1" activeTab="3" xr2:uid="{DAA936AD-5BF0-425A-A8EF-49858B3BE9B8}"/>
  </bookViews>
  <sheets>
    <sheet name="VSHEET_STOR_0291C6" sheetId="971" state="hidden" r:id="rId1"/>
    <sheet name="Planning" sheetId="1" r:id="rId2"/>
    <sheet name="EbsSheet (Me)" sheetId="953" r:id="rId3"/>
    <sheet name="Settings" sheetId="418" r:id="rId4"/>
    <sheet name="Task sheet template" sheetId="5" state="hidden" r:id="rId5"/>
    <sheet name="Version info" sheetId="3" r:id="rId6"/>
    <sheet name="EbsSheet template" sheetId="440" state="hidden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2" i="3" l="1"/>
  <c r="D89" i="971" l="1"/>
  <c r="D88" i="971"/>
  <c r="D87" i="971"/>
  <c r="D86" i="971"/>
  <c r="D69" i="971"/>
  <c r="D68" i="971"/>
  <c r="D67" i="971"/>
  <c r="D50" i="971"/>
  <c r="D33" i="971"/>
  <c r="D16" i="971"/>
  <c r="B75" i="971" s="1"/>
  <c r="B82" i="971" s="1"/>
  <c r="B39" i="971" l="1"/>
  <c r="B46" i="971" s="1"/>
  <c r="B56" i="971"/>
  <c r="B63" i="971" s="1"/>
  <c r="B22" i="971"/>
  <c r="B29" i="971" s="1"/>
  <c r="B5" i="971"/>
  <c r="B12" i="971" s="1"/>
  <c r="L15" i="5" l="1"/>
  <c r="J4" i="418" l="1"/>
  <c r="D15" i="5" l="1"/>
  <c r="B4" i="5" s="1"/>
  <c r="B11" i="5" l="1"/>
  <c r="M1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tc={DFB19EB3-E1D4-45B4-AA19-19FB58DE5775}</author>
  </authors>
  <commentList>
    <comment ref="P18" authorId="0" shapeId="0" xr:uid="{DFB19EB3-E1D4-45B4-AA19-19FB58DE577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<sst xmlns="http://schemas.openxmlformats.org/spreadsheetml/2006/main" count="468" uniqueCount="176">
  <si>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</si>
  <si>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</si>
  <si>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</si>
  <si>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</si>
  <si>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</si>
  <si>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</si>
  <si>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</si>
  <si>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</si>
  <si>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</si>
  <si>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</si>
  <si>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Indicator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</si>
  <si>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</si>
  <si>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</si>
  <si>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</si>
  <si>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</si>
  <si>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</si>
  <si>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</si>
  <si>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</si>
  <si>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</si>
  <si>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</si>
  <si>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</si>
  <si>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</si>
  <si>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</si>
  <si>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</si>
  <si>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</si>
  <si>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</si>
  <si>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</si>
  <si>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</si>
  <si>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</si>
  <si>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</si>
  <si>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</si>
  <si>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</si>
  <si>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</si>
  <si>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</si>
  <si>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</si>
  <si>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</si>
  <si>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</si>
  <si>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</si>
  <si>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</si>
  <si>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</si>
  <si>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</si>
  <si>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</si>
  <si>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</si>
  <si>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</si>
  <si>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</si>
  <si>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</si>
  <si>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</si>
  <si>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</si>
  <si>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</si>
  <si>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</si>
  <si>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</si>
  <si>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</si>
  <si>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</si>
  <si>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</si>
  <si>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</si>
  <si>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</si>
  <si>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</si>
  <si>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</si>
  <si>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</si>
  <si>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</si>
  <si>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</si>
  <si>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</si>
  <si>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</si>
  <si>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</si>
  <si>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</si>
  <si>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</si>
  <si>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</si>
  <si>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</si>
  <si>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</si>
  <si>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</si>
  <si>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</si>
  <si>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</si>
  <si>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</si>
  <si>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</si>
  <si>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</si>
  <si>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</si>
  <si>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</si>
  <si>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EBS 50% date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</si>
  <si>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</si>
  <si>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</si>
  <si>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</si>
  <si>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</si>
  <si>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</si>
  <si>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</si>
  <si>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</si>
  <si>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</si>
  <si>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</si>
  <si>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</si>
  <si>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Lines of code</t>
  </si>
  <si>
    <t>hh</t>
  </si>
  <si>
    <t>Calendar ID</t>
  </si>
  <si>
    <t>Store ID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</si>
  <si>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</si>
  <si>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Store ID temp</t>
  </si>
  <si>
    <t>Calendar ID temp</t>
  </si>
  <si>
    <t>Calendar path temp</t>
  </si>
  <si>
    <t>#000001</t>
  </si>
  <si>
    <t>To do</t>
  </si>
  <si>
    <t>{0,050;0,200;0,350;0,500;0,650;0,800;0,950}</t>
  </si>
  <si>
    <t>N/A</t>
  </si>
  <si>
    <t>#000002</t>
  </si>
  <si>
    <t>#000003</t>
  </si>
  <si>
    <t>ImportSheetName</t>
  </si>
  <si>
    <t>%Tag * HEADERS</t>
  </si>
  <si>
    <t>%Tag * VALUES</t>
  </si>
  <si>
    <t>#000004</t>
  </si>
  <si>
    <t>#000005</t>
  </si>
  <si>
    <t>your.address@provider.com</t>
  </si>
  <si>
    <t>00000000F593AB5CD8A4614C8B1EC1E4C84EFB870D00D67807C5E37E4B47A653892DF42F73BD00000000010D0000</t>
  </si>
  <si>
    <t>0000000038A1BB1005E5101AA1BB08002B2A56C20000454D534D44422E443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</si>
  <si>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\\your.addresss@provider.com\Calendar</t>
  </si>
  <si>
    <t>t5C33AE2C601539DCA</t>
  </si>
  <si>
    <t>Buy soy sauce</t>
  </si>
  <si>
    <t>tA4B130DB37AD50E73</t>
  </si>
  <si>
    <t>Buy strawberries</t>
  </si>
  <si>
    <t>t50344759B92C4C0A3</t>
  </si>
  <si>
    <t>t35EBA085FF3A95514</t>
  </si>
  <si>
    <t>Have a chat with the store owner</t>
  </si>
  <si>
    <t>tD63F7F4494CABA67B</t>
  </si>
  <si>
    <t>Take bags</t>
  </si>
  <si>
    <t>Preparation</t>
  </si>
  <si>
    <t>{%Tag 3}</t>
  </si>
  <si>
    <t>Non food</t>
  </si>
  <si>
    <t>{Non food}</t>
  </si>
  <si>
    <t>Food</t>
  </si>
  <si>
    <t>{Food}</t>
  </si>
  <si>
    <t>Important</t>
  </si>
  <si>
    <t>{%Tag 1;%Tag 3}</t>
  </si>
  <si>
    <t>{Important;Preparation}</t>
  </si>
  <si>
    <t>Buy chia seeds</t>
  </si>
  <si>
    <t>sheet.xlsm</t>
  </si>
  <si>
    <t>SetPlainDelta()</t>
  </si>
  <si>
    <t>SetCalendarDelta()</t>
  </si>
  <si>
    <t>Done</t>
  </si>
  <si>
    <t>e76B2037731D14B42C</t>
  </si>
  <si>
    <t>{0,750;0,667}</t>
  </si>
  <si>
    <t>Last</t>
  </si>
  <si>
    <t>{0,375;0,375;0,375;0,375;0,375;0,333;0,375;0,375;0,333;0,333;0,375;0,333;0,333;0,375;0,333;0,375;0,333;0,333;0,375;0,375;0,375;0,375;0,375;0,375;0,333;0,375;0,333;0,333;0,333;0,333;0,333;0,375;0,333;0,333;0,333;0,375;0,333;0,333;0,333;0,375;0,333;0,333;0,333;0,333;0,375;0,375;0,375;0,375;0,375;0,375}</t>
  </si>
  <si>
    <t>{0,333;0,333;0,333;0,375;0,375;0,375;0,375}</t>
  </si>
  <si>
    <t>{19/12/2019 08:20:00;19/12/2019 08:20:00;19/12/2019 08:20:00;19/12/2019 08:22:29;19/12/2019 08:22:29;19/12/2019 08:22:29;19/12/2019 08:22:29}</t>
  </si>
  <si>
    <t>{1,499;1,499;1,333;1,499;1,499;1,333;1,333;1,333;1,499;1,333;1,499;1,499;1,333;1,499;1,499;1,333;1,499;1,333;1,333;1,333;1,499;1,333;1,499;1,499;1,333;1,499;1,499;1,333;1,499;1,333;1,499;1,499;1,333;1,499;1,333;1,333;1,333;1,333;1,499;1,333;1,499;1,333;1,333;1,499;1,499;1,333;1,499;1,333;1,499;1,333}</t>
  </si>
  <si>
    <t>{1,249;1,249;1,083;1,249;1,249;1,083;1,083;1,083;1,249;1,083;1,249;1,249;1,083;1,249;1,249;1,083;1,249;1,083;1,083;1,083;1,249;1,083;1,249;1,249;1,083;1,249;1,249;1,083;1,249;1,083;1,249;1,249;1,083;1,249;1,083;1,083;1,083;1,083;1,249;1,083;1,249;1,083;1,083;1,249;1,249;1,083;1,249;1,083;1,249;1,083}</t>
  </si>
  <si>
    <t>{1,624;1,624;1,458;1,624;1,624;1,417;1,458;1,458;1,583;1,417;1,624;1,583;1,417;1,624;1,583;1,458;1,583;1,417;1,458;1,458;1,624;1,458;1,624;1,624;1,417;1,624;1,583;1,417;1,583;1,417;1,583;1,624;1,417;1,583;1,417;1,458;1,417;1,417;1,583;1,458;1,583;1,417;1,417;1,583;1,624;1,458;1,624;1,458;1,624;1,458}</t>
  </si>
  <si>
    <t>{1,417;1,417;1,458;1,520;1,583;1,624;1,624}</t>
  </si>
  <si>
    <t>{19/12/2019 09:25:00;19/12/2019 09:25:00;19/12/2019 09:27:29;19/12/2019 09:31:13;19/12/2019 09:34:57;19/12/2019 09:37:27;19/12/2019 09:37:27}</t>
  </si>
  <si>
    <t>{2,999;2,667;2,667;2,999;2,667;2,667;2,667;2,667;2,999;2,999;2,999;2,999;2,667;2,667;2,999;2,999;2,667;2,999;2,999;2,999;2,999;2,667;2,999;2,667;2,999;2,667;2,667;2,999;2,999;2,667;2,999;2,999;2,667;2,667;2,999;2,667;2,999;2,999;2,667;2,667;2,667;2,999;2,667;2,999;2,667;2,999;2,667;2,999;2,999;2,999}</t>
  </si>
  <si>
    <t>{4,623;4,291;4,125;4,623;4,291;4,083;4,125;4,125;4,581;4,415;4,623;4,581;4,083;4,291;4,581;4,457;4,249;4,415;4,457;4,457;4,623;4,125;4,623;4,291;4,415;4,291;4,249;4,415;4,581;4,083;4,581;4,623;4,083;4,249;4,415;4,125;4,415;4,415;4,249;4,125;4,249;4,415;4,083;4,581;4,291;4,457;4,291;4,457;4,623;4,457}</t>
  </si>
  <si>
    <t>{4,083;4,125;4,291;4,415;4,457;4,581;4,623}</t>
  </si>
  <si>
    <t>{19/12/2019 12:05:00;19/12/2019 12:07:29;19/12/2019 12:17:27;19/12/2019 12:24:55;19/12/2019 12:27:24;19/12/2019 12:34:52;19/12/2019 12:37:21}</t>
  </si>
  <si>
    <t>VIRTUAL_SHEET_NAME</t>
  </si>
  <si>
    <t>VIRTUAL_SHEET_RANGE_ROWS</t>
  </si>
  <si>
    <t>VIRTUAL_SHEET_RANGE_COLS</t>
  </si>
  <si>
    <t>v1.093</t>
  </si>
  <si>
    <t>Base.bas</t>
  </si>
  <si>
    <t>EbsUtils.bas</t>
  </si>
  <si>
    <t>SettingUtils.bas</t>
  </si>
  <si>
    <t>CalendarUtils.bas</t>
  </si>
  <si>
    <t>ExportImportUtils.bas</t>
  </si>
  <si>
    <t>TaskSheetTemplate.cls</t>
  </si>
  <si>
    <t>clsSHA256.cls</t>
  </si>
  <si>
    <t>Planning.cls</t>
  </si>
  <si>
    <t>TaskUtils.bas</t>
  </si>
  <si>
    <t>CodeUtils.bas</t>
  </si>
  <si>
    <t>PlanningUtils.bas</t>
  </si>
  <si>
    <t>ThisWorkbook.cls</t>
  </si>
  <si>
    <t>Constants.bas</t>
  </si>
  <si>
    <t>SanityChecks.bas</t>
  </si>
  <si>
    <t>Utils.bas</t>
  </si>
  <si>
    <t>EbsSheetTemplate.cls</t>
  </si>
  <si>
    <t>Settings.cls</t>
  </si>
  <si>
    <t>VirtualSheetUtils.bas</t>
  </si>
  <si>
    <t>Add virtual sheet management</t>
  </si>
  <si>
    <t>Add task import export utils</t>
  </si>
  <si>
    <t>Minor bug fixes</t>
  </si>
  <si>
    <t>Add all prototype features</t>
  </si>
  <si>
    <t>Feature currently disabled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</si>
</sst>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36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1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0" fontId="6" fillId="4" borderId="0" xfId="1" applyFont="1" applyFill="1" applyAlignment="1">
      <alignment horizontal="center"/>
    </xf>
    <xf numFmtId="2" fontId="0" fillId="0" borderId="0" xfId="0" applyNumberFormat="1" applyFont="1" applyFill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22" fontId="7" fillId="0" borderId="0" xfId="0" applyNumberFormat="1" applyFont="1" applyFill="1"/>
    <xf numFmtId="2" fontId="7" fillId="0" borderId="0" xfId="1" applyNumberFormat="1" applyFont="1" applyFill="1"/>
    <xf numFmtId="22" fontId="7" fillId="0" borderId="0" xfId="1" applyNumberFormat="1" applyFont="1" applyFill="1"/>
    <xf numFmtId="0" fontId="7" fillId="0" borderId="0" xfId="1" applyFont="1" applyFill="1"/>
    <xf numFmtId="0" fontId="7" fillId="0" borderId="0" xfId="2" applyFont="1"/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  <xf numFmtId="0" fontId="11" fillId="7" borderId="0" xfId="4"/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79">
    <dxf>
      <numFmt numFmtId="2" formatCode="0.00"/>
    </dxf>
    <dxf>
      <numFmt numFmtId="2" formatCode="0.00"/>
    </dxf>
    <dxf>
      <numFmt numFmtId="19" formatCode="dd/mm/yyyy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4" tint="0.39994506668294322"/>
      </font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</dxf>
    <dxf>
      <numFmt numFmtId="2" formatCode="0.00"/>
    </dxf>
    <dxf>
      <numFmt numFmtId="27" formatCode="dd/mm/yyyy\ hh:mm"/>
    </dxf>
    <dxf>
      <numFmt numFmtId="27" formatCode="dd/mm/yyyy\ hh:mm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</dxfs>
  <tableStyles count="0" defaultTableStyle="TableStyleMedium2" defaultPivotStyle="PivotStyleLight16"/>
  <colors>
    <mruColors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18/12/2019 01:53:44</c:v>
          </c:tx>
          <c:spPr>
            <a:ln w="2222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5A4-470F-A770-2113D7D19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4.0830000000000002</c:v>
              </c:pt>
              <c:pt idx="1">
                <c:v>4.0830000000000002</c:v>
              </c:pt>
              <c:pt idx="2">
                <c:v>4.0830000000000002</c:v>
              </c:pt>
              <c:pt idx="3">
                <c:v>4.0830000000000002</c:v>
              </c:pt>
              <c:pt idx="4">
                <c:v>4.0830000000000002</c:v>
              </c:pt>
              <c:pt idx="5">
                <c:v>4.125</c:v>
              </c:pt>
              <c:pt idx="6">
                <c:v>4.125</c:v>
              </c:pt>
              <c:pt idx="7">
                <c:v>4.125</c:v>
              </c:pt>
              <c:pt idx="8">
                <c:v>4.125</c:v>
              </c:pt>
              <c:pt idx="9">
                <c:v>4.125</c:v>
              </c:pt>
              <c:pt idx="10">
                <c:v>4.125</c:v>
              </c:pt>
              <c:pt idx="11">
                <c:v>4.2489999999999997</c:v>
              </c:pt>
              <c:pt idx="12">
                <c:v>4.2489999999999997</c:v>
              </c:pt>
              <c:pt idx="13">
                <c:v>4.2489999999999997</c:v>
              </c:pt>
              <c:pt idx="14">
                <c:v>4.2489999999999997</c:v>
              </c:pt>
              <c:pt idx="15">
                <c:v>4.2489999999999997</c:v>
              </c:pt>
              <c:pt idx="16">
                <c:v>4.2910000000000004</c:v>
              </c:pt>
              <c:pt idx="17">
                <c:v>4.2910000000000004</c:v>
              </c:pt>
              <c:pt idx="18">
                <c:v>4.2910000000000004</c:v>
              </c:pt>
              <c:pt idx="19">
                <c:v>4.2910000000000004</c:v>
              </c:pt>
              <c:pt idx="20">
                <c:v>4.2910000000000004</c:v>
              </c:pt>
              <c:pt idx="21">
                <c:v>4.2910000000000004</c:v>
              </c:pt>
              <c:pt idx="22">
                <c:v>4.2910000000000004</c:v>
              </c:pt>
              <c:pt idx="23">
                <c:v>4.415</c:v>
              </c:pt>
              <c:pt idx="24">
                <c:v>4.415</c:v>
              </c:pt>
              <c:pt idx="25">
                <c:v>4.415</c:v>
              </c:pt>
              <c:pt idx="26">
                <c:v>4.415</c:v>
              </c:pt>
              <c:pt idx="27">
                <c:v>4.415</c:v>
              </c:pt>
              <c:pt idx="28">
                <c:v>4.415</c:v>
              </c:pt>
              <c:pt idx="29">
                <c:v>4.415</c:v>
              </c:pt>
              <c:pt idx="30">
                <c:v>4.415</c:v>
              </c:pt>
              <c:pt idx="31">
                <c:v>4.4569999999999999</c:v>
              </c:pt>
              <c:pt idx="32">
                <c:v>4.4569999999999999</c:v>
              </c:pt>
              <c:pt idx="33">
                <c:v>4.4569999999999999</c:v>
              </c:pt>
              <c:pt idx="34">
                <c:v>4.4569999999999999</c:v>
              </c:pt>
              <c:pt idx="35">
                <c:v>4.4569999999999999</c:v>
              </c:pt>
              <c:pt idx="36">
                <c:v>4.4569999999999999</c:v>
              </c:pt>
              <c:pt idx="37">
                <c:v>4.5810000000000004</c:v>
              </c:pt>
              <c:pt idx="38">
                <c:v>4.5810000000000004</c:v>
              </c:pt>
              <c:pt idx="39">
                <c:v>4.5810000000000004</c:v>
              </c:pt>
              <c:pt idx="40">
                <c:v>4.5810000000000004</c:v>
              </c:pt>
              <c:pt idx="41">
                <c:v>4.5810000000000004</c:v>
              </c:pt>
              <c:pt idx="42">
                <c:v>4.5810000000000004</c:v>
              </c:pt>
              <c:pt idx="43">
                <c:v>4.6230000000000002</c:v>
              </c:pt>
              <c:pt idx="44">
                <c:v>4.6230000000000002</c:v>
              </c:pt>
              <c:pt idx="45">
                <c:v>4.6230000000000002</c:v>
              </c:pt>
              <c:pt idx="46">
                <c:v>4.6230000000000002</c:v>
              </c:pt>
              <c:pt idx="47">
                <c:v>4.6230000000000002</c:v>
              </c:pt>
              <c:pt idx="48">
                <c:v>4.6230000000000002</c:v>
              </c:pt>
              <c:pt idx="49">
                <c:v>4.6230000000000002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31B2-4F32-92F9-8F8F9746858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4.0830000000000002</c:v>
              </c:pt>
              <c:pt idx="1">
                <c:v>4.125</c:v>
              </c:pt>
              <c:pt idx="2">
                <c:v>4.2910000000000004</c:v>
              </c:pt>
              <c:pt idx="3">
                <c:v>4.415</c:v>
              </c:pt>
              <c:pt idx="4">
                <c:v>4.4569999999999999</c:v>
              </c:pt>
              <c:pt idx="5">
                <c:v>4.5810000000000004</c:v>
              </c:pt>
              <c:pt idx="6">
                <c:v>4.6230000000000002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31B2-4F32-92F9-8F8F974685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247649</xdr:colOff>
      <xdr:row>2</xdr:row>
      <xdr:rowOff>0</xdr:rowOff>
    </xdr:from>
    <xdr:to>
      <xdr:col>1</xdr:col>
      <xdr:colOff>1438274</xdr:colOff>
      <xdr:row>4</xdr:row>
      <xdr:rowOff>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381000</xdr:colOff>
      <xdr:row>4</xdr:row>
      <xdr:rowOff>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3</xdr:col>
      <xdr:colOff>0</xdr:colOff>
      <xdr:row>2</xdr:row>
      <xdr:rowOff>0</xdr:rowOff>
    </xdr:from>
    <xdr:to>
      <xdr:col>5</xdr:col>
      <xdr:colOff>95250</xdr:colOff>
      <xdr:row>4</xdr:row>
      <xdr:rowOff>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628650</xdr:colOff>
      <xdr:row>4</xdr:row>
      <xdr:rowOff>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15</xdr:col>
      <xdr:colOff>0</xdr:colOff>
      <xdr:row>2</xdr:row>
      <xdr:rowOff>0</xdr:rowOff>
    </xdr:from>
    <xdr:to>
      <xdr:col>16</xdr:col>
      <xdr:colOff>962025</xdr:colOff>
      <xdr:row>4</xdr:row>
      <xdr:rowOff>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1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85725</xdr:rowOff>
        </xdr:from>
        <xdr:to>
          <xdr:col>1</xdr:col>
          <xdr:colOff>819150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314325</xdr:colOff>
          <xdr:row>0</xdr:row>
          <xdr:rowOff>85725</xdr:rowOff>
        </xdr:from>
        <xdr:to>
          <xdr:col>5</xdr:col>
          <xdr:colOff>228600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542925</xdr:colOff>
          <xdr:row>0</xdr:row>
          <xdr:rowOff>352425</xdr:rowOff>
        </xdr:from>
        <xdr:to>
          <xdr:col>3</xdr:col>
          <xdr:colOff>266700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542925</xdr:colOff>
          <xdr:row>0</xdr:row>
          <xdr:rowOff>85725</xdr:rowOff>
        </xdr:from>
        <xdr:to>
          <xdr:col>3</xdr:col>
          <xdr:colOff>266700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904875</xdr:colOff>
          <xdr:row>0</xdr:row>
          <xdr:rowOff>561975</xdr:rowOff>
        </xdr:from>
        <xdr:to>
          <xdr:col>2</xdr:col>
          <xdr:colOff>200025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914400</xdr:colOff>
          <xdr:row>0</xdr:row>
          <xdr:rowOff>85725</xdr:rowOff>
        </xdr:from>
        <xdr:to>
          <xdr:col>2</xdr:col>
          <xdr:colOff>209550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266700</xdr:colOff>
          <xdr:row>0</xdr:row>
          <xdr:rowOff>76200</xdr:rowOff>
        </xdr:from>
        <xdr:to>
          <xdr:col>7</xdr:col>
          <xdr:colOff>257175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266700</xdr:colOff>
          <xdr:row>0</xdr:row>
          <xdr:rowOff>333375</xdr:rowOff>
        </xdr:from>
        <xdr:to>
          <xdr:col>7</xdr:col>
          <xdr:colOff>257175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314325</xdr:colOff>
          <xdr:row>0</xdr:row>
          <xdr:rowOff>66675</xdr:rowOff>
        </xdr:from>
        <xdr:to>
          <xdr:col>9</xdr:col>
          <xdr:colOff>38100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314325</xdr:colOff>
          <xdr:row>0</xdr:row>
          <xdr:rowOff>333375</xdr:rowOff>
        </xdr:from>
        <xdr:to>
          <xdr:col>9</xdr:col>
          <xdr:colOff>38100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8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314325</xdr:colOff>
          <xdr:row>0</xdr:row>
          <xdr:rowOff>352425</xdr:rowOff>
        </xdr:from>
        <xdr:to>
          <xdr:col>5</xdr:col>
          <xdr:colOff>228600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266700</xdr:colOff>
          <xdr:row>0</xdr:row>
          <xdr:rowOff>590550</xdr:rowOff>
        </xdr:from>
        <xdr:to>
          <xdr:col>7</xdr:col>
          <xdr:colOff>257175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99" name="Diagramm 98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0" name="Diagramm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3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8</xdr:row>
          <xdr:rowOff>180975</xdr:rowOff>
        </xdr:from>
        <xdr:to>
          <xdr:col>1</xdr:col>
          <xdr:colOff>0</xdr:colOff>
          <xdr:row>10</xdr:row>
          <xdr:rowOff>9525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3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18</xdr:row>
          <xdr:rowOff>171450</xdr:rowOff>
        </xdr:from>
        <xdr:to>
          <xdr:col>0</xdr:col>
          <xdr:colOff>1638300</xdr:colOff>
          <xdr:row>20</xdr:row>
          <xdr:rowOff>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3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180975</xdr:rowOff>
        </xdr:from>
        <xdr:to>
          <xdr:col>0</xdr:col>
          <xdr:colOff>1638300</xdr:colOff>
          <xdr:row>22</xdr:row>
          <xdr:rowOff>9525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3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 of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13</xdr:row>
      <xdr:rowOff>0</xdr:rowOff>
    </xdr:from>
    <xdr:to>
      <xdr:col>9</xdr:col>
      <xdr:colOff>1304925</xdr:colOff>
      <xdr:row>15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13</xdr:row>
      <xdr:rowOff>0</xdr:rowOff>
    </xdr:from>
    <xdr:to>
      <xdr:col>12</xdr:col>
      <xdr:colOff>514350</xdr:colOff>
      <xdr:row>15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A2C89FE-B440-40D6-A231-1468236340DF}" name="TimeEntries82248651630406" displayName="TimeEntries82248651630406" ref="A15:G16" totalsRowShown="0">
  <autoFilter ref="A15:G16" xr:uid="{6A3EC537-F58F-417D-B24E-7DA71C7F1708}"/>
  <tableColumns count="7">
    <tableColumn id="1" xr3:uid="{54B78FCF-5DE8-42CE-9D3D-BB18FD914D57}" name="Time entry no."/>
    <tableColumn id="2" xr3:uid="{B5C2DEF3-4A28-421F-B29F-51295B5082E9}" name="Start time" dataDxfId="78"/>
    <tableColumn id="3" xr3:uid="{07C2F188-EE1E-4387-AEB0-73A9298454FE}" name="End time" dataDxfId="77"/>
    <tableColumn id="4" xr3:uid="{AB725242-F983-4A90-ACD7-5237D8F95FB7}" name="Time delta in h" dataDxfId="76">
      <calculatedColumnFormula>MAX((C16-B16)*24,0)</calculatedColumnFormula>
    </tableColumn>
    <tableColumn id="5" xr3:uid="{C573F6AA-0EAA-4E73-B052-4097C8D6076A}" name="Indicator"/>
    <tableColumn id="6" xr3:uid="{DE8486BD-4865-4A9D-ACFC-71E599CC5650}" name="Action1"/>
    <tableColumn id="7" xr3:uid="{B7ED8B04-E8B7-4EAF-83C5-8CA2475053A2}" name="Action2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274C62C-E163-4B3D-962D-4EE07691DDA3}" name="Tabelle736792349661731417" displayName="Tabelle736792349661731417" ref="I15:M16" insertRow="1" totalsRowShown="0">
  <autoFilter ref="I15:M16" xr:uid="{3AF5E8A1-9916-4C9D-B28B-3588E6F72F92}"/>
  <tableColumns count="5">
    <tableColumn id="1" xr3:uid="{071ECB23-8295-43EF-8019-9127DF70F7C5}" name="Comparison entry no."/>
    <tableColumn id="2" xr3:uid="{01AD1440-93DE-4A5B-87BD-823DCAFC4118}" name="Propability Support point" dataDxfId="75"/>
    <tableColumn id="3" xr3:uid="{C153E202-1B18-4B06-BBD2-A21BC8866E89}" name="EBS self time" dataDxfId="74"/>
    <tableColumn id="4" xr3:uid="{01526C31-5D9C-4BF6-8A66-749DAEA96695}" name="Total time">
      <calculatedColumnFormula>#REF!</calculatedColumnFormula>
    </tableColumn>
    <tableColumn id="5" xr3:uid="{7C6C808E-631E-43B2-8E0D-881EF56C3157}" name="Total time / Your estimate" dataDxfId="73">
      <calculatedColumnFormula>Tabelle736792349661731417[[#This Row],[EBS self time]]/Tabelle736792349661731417[[#This Row],[Total time]]</calculatedColumnFormula>
    </tableColumn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B19CEE-AC71-4B49-B9A9-4666302C2957}" name="TimeEntries21852688024448" displayName="TimeEntries21852688024448" ref="A32:G33" totalsRowShown="0">
  <autoFilter ref="A32:G33" xr:uid="{324F8764-E4A2-4B05-84B2-1E1578A2FA09}"/>
  <tableColumns count="7">
    <tableColumn id="1" xr3:uid="{A7B4DCE0-455A-4FA2-B7AB-876D8E619709}" name="Time entry no."/>
    <tableColumn id="2" xr3:uid="{1836EBBC-461E-4947-8E4F-154C7DA5216D}" name="Start time" dataDxfId="72"/>
    <tableColumn id="3" xr3:uid="{BDED5E85-475C-4CCC-9FD8-FE5639451158}" name="End time" dataDxfId="71"/>
    <tableColumn id="4" xr3:uid="{0A77018C-43FC-47F2-893A-D6900F4C0F1F}" name="Time delta in h" dataDxfId="70">
      <calculatedColumnFormula>MAX((C33-B33)*24,0)</calculatedColumnFormula>
    </tableColumn>
    <tableColumn id="5" xr3:uid="{B1ED447C-23E3-485D-8441-340D529B4177}" name="Indicator"/>
    <tableColumn id="6" xr3:uid="{C1334099-987D-42D2-8EC3-874E10FC262F}" name="Action1" dataDxfId="69" dataCellStyle="Link"/>
    <tableColumn id="7" xr3:uid="{4BC9B0EF-B616-40E2-87DD-81BB3FB0110A}" name="Action2" dataDxfId="68" dataCellStyle="Link"/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E99C7A0-8398-4409-AEBC-794BD33130EC}" name="Tabelle736751953698125459" displayName="Tabelle736751953698125459" ref="I32:M33" insertRow="1" totalsRowShown="0">
  <autoFilter ref="I32:M33" xr:uid="{DFF7DEFF-0C16-4A15-AA8F-50CB69B8DA7B}"/>
  <tableColumns count="5">
    <tableColumn id="1" xr3:uid="{54C8C368-5D44-423E-B907-75ABC7C30FAF}" name="Comparison entry no."/>
    <tableColumn id="2" xr3:uid="{D361D7BF-FAEC-46E6-9D67-E2F8D8231327}" name="Propability Support point" dataDxfId="67"/>
    <tableColumn id="3" xr3:uid="{1519DAC7-A62E-484D-B406-9136196E2991}" name="EBS self time" dataDxfId="66"/>
    <tableColumn id="4" xr3:uid="{B7C759DE-8BF9-43FB-BB3C-3636AB72BE47}" name="Total time">
      <calculatedColumnFormula>#REF!</calculatedColumnFormula>
    </tableColumn>
    <tableColumn id="5" xr3:uid="{3B220E90-7C30-42D4-ABB4-84829D20F565}" name="Total time / Your estimate" dataDxfId="65">
      <calculatedColumnFormula>Tabelle736751953698125459[[#This Row],[EBS self time]]/Tabelle736751953698125459[[#This Row],[Total time]]</calculatedColumnFormula>
    </tableColumn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EF938DD-EC8C-4B27-93DD-CAF80261FFA0}" name="TimeEntries1124406120324811" displayName="TimeEntries1124406120324811" ref="A49:G50" totalsRowShown="0">
  <autoFilter ref="A49:G50" xr:uid="{2767C81C-130A-48F8-8547-437325F34D3C}"/>
  <tableColumns count="7">
    <tableColumn id="1" xr3:uid="{9B0F6350-8358-4FA6-935D-81AC7A14DCEC}" name="Time entry no."/>
    <tableColumn id="2" xr3:uid="{45794FF3-0E59-4351-9264-C6611AE961D2}" name="Start time" dataDxfId="64"/>
    <tableColumn id="3" xr3:uid="{4D4A707A-6FA7-44E0-92F5-23DA51675C90}" name="End time" dataDxfId="63"/>
    <tableColumn id="4" xr3:uid="{2122D95A-781E-4273-9DF2-CCD3C9737689}" name="Time delta in h" dataDxfId="62">
      <calculatedColumnFormula>MAX((C50-B50)*24,0)</calculatedColumnFormula>
    </tableColumn>
    <tableColumn id="5" xr3:uid="{CCE2B67F-894A-4E86-B832-2B7122B5926F}" name="Indicator"/>
    <tableColumn id="6" xr3:uid="{0B8BE144-5238-4D8C-B1F0-972B31A28424}" name="Action1"/>
    <tableColumn id="7" xr3:uid="{1F6332CF-0E51-42D3-96E4-2DFC1780D6A6}" name="Action2"/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EDFB12D-DBA1-4249-A1FD-EA59711F664F}" name="Tabelle73671325416221334913" displayName="Tabelle73671325416221334913" ref="I49:M50" insertRow="1" totalsRowShown="0">
  <autoFilter ref="I49:M50" xr:uid="{D9BB8EB2-4F6F-4DBE-B2AA-9FB6A06F4A7C}"/>
  <tableColumns count="5">
    <tableColumn id="1" xr3:uid="{8B339400-0C14-4131-A328-AFE9A87FC98C}" name="Comparison entry no."/>
    <tableColumn id="2" xr3:uid="{0A3732FA-DC25-4E06-8EDC-593531CBB6E5}" name="Propability Support point" dataDxfId="61"/>
    <tableColumn id="3" xr3:uid="{9AC95ED7-E083-480D-B58D-A019B7339136}" name="EBS self time" dataDxfId="60"/>
    <tableColumn id="4" xr3:uid="{910C38A9-9FC9-47AA-9211-5943EE99B995}" name="Total time">
      <calculatedColumnFormula>#REF!</calculatedColumnFormula>
    </tableColumn>
    <tableColumn id="5" xr3:uid="{1690EEA9-69B8-40C1-94C3-41EA9B9A225F}" name="Total time / Your estimate" dataDxfId="59">
      <calculatedColumnFormula>Tabelle73671325416221334913[[#This Row],[EBS self time]]/Tabelle73671325416221334913[[#This Row],[Total time]]</calculatedColumnFormula>
    </tableColumn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150FE03-BFD4-4A88-A9F0-868E9A45B0A6}" name="TimeEntries142636596265214" displayName="TimeEntries142636596265214" ref="A66:G69" totalsRowShown="0">
  <autoFilter ref="A66:G69" xr:uid="{53971BD3-8AB8-4A38-B0CF-172B93D36B16}"/>
  <tableColumns count="7">
    <tableColumn id="1" xr3:uid="{3445C4F1-D620-498A-B6AB-508A7A990369}" name="Time entry no."/>
    <tableColumn id="2" xr3:uid="{846DD8D5-E635-431C-8855-6CE324B3726A}" name="Start time" dataDxfId="58"/>
    <tableColumn id="3" xr3:uid="{C7541536-97D9-4B4C-AAF8-B4A54C016BBE}" name="End time" dataDxfId="57"/>
    <tableColumn id="4" xr3:uid="{59091EE6-F852-487C-A70A-3D204CA83A56}" name="Time delta in h" dataDxfId="56">
      <calculatedColumnFormula>MAX((C67-B67)*24,0)</calculatedColumnFormula>
    </tableColumn>
    <tableColumn id="5" xr3:uid="{35E79947-63F5-499A-AAA0-6AC8FF5767E9}" name="Indicator"/>
    <tableColumn id="6" xr3:uid="{8429C56A-AC1E-437F-AEBD-447929BBD173}" name="Action1" dataDxfId="55" dataCellStyle="Link"/>
    <tableColumn id="7" xr3:uid="{CC05E9EA-D515-4341-B911-8715D4C58AA0}" name="Action2" dataDxfId="54" dataCellStyle="Link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35137CD-BF75-4F75-8F49-BD000CDE2F3E}" name="Tabelle7367152737607275315" displayName="Tabelle7367152737607275315" ref="I66:M67" insertRow="1" totalsRowShown="0">
  <autoFilter ref="I66:M67" xr:uid="{CB882E1B-576F-4763-8700-96EF1B50E6FE}"/>
  <tableColumns count="5">
    <tableColumn id="1" xr3:uid="{C3FC6815-6C5E-4B0B-8EEF-3E885E40512D}" name="Comparison entry no."/>
    <tableColumn id="2" xr3:uid="{CE59862C-3DCA-4541-82BB-E6B2FEA3C8B8}" name="Propability Support point" dataDxfId="53"/>
    <tableColumn id="3" xr3:uid="{A1484657-BD43-4E9C-A155-B279D3B2FE34}" name="EBS self time" dataDxfId="52"/>
    <tableColumn id="4" xr3:uid="{3776EC8E-6E6C-4E57-9FB8-704D9C1B22BA}" name="Total time">
      <calculatedColumnFormula>#REF!</calculatedColumnFormula>
    </tableColumn>
    <tableColumn id="5" xr3:uid="{1044EEE1-0B77-41D9-8DBA-F75FEA752EDC}" name="Total time / Your estimate" dataDxfId="51">
      <calculatedColumnFormula>Tabelle7367152737607275315[[#This Row],[EBS self time]]/Tabelle7367152737607275315[[#This Row],[Total time]]</calculatedColumnFormula>
    </tableColumn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5A6F959-9A00-4954-8BB4-9C33D3C5ECF0}" name="TimeEntries620446311285916" displayName="TimeEntries620446311285916" ref="A85:G89" totalsRowShown="0">
  <autoFilter ref="A85:G89" xr:uid="{782C6512-51B4-45BA-B00C-1346549D6006}"/>
  <tableColumns count="7">
    <tableColumn id="1" xr3:uid="{F28D70DF-9FB2-4EFF-A4EE-6556BF227568}" name="Time entry no."/>
    <tableColumn id="2" xr3:uid="{3080B111-9AB8-4A3D-94A8-9EC5F13D4BEA}" name="Start time" dataDxfId="50"/>
    <tableColumn id="3" xr3:uid="{54390794-0D48-4DE6-B280-7F0E4F8BCBA1}" name="End time" dataDxfId="49"/>
    <tableColumn id="4" xr3:uid="{D5BC8A70-AB3E-4356-B51D-5F84087C6684}" name="Time delta in h" dataDxfId="48">
      <calculatedColumnFormula>MAX((C86-B86)*24,0)</calculatedColumnFormula>
    </tableColumn>
    <tableColumn id="5" xr3:uid="{9F47A14A-6579-46D0-A66B-EA567D72C283}" name="Indicator"/>
    <tableColumn id="6" xr3:uid="{6D8C882E-7A93-402A-B9EC-32988327BD47}" name="Action1" dataDxfId="47" dataCellStyle="Link"/>
    <tableColumn id="7" xr3:uid="{B4B4CE4A-B078-471E-B8BD-2342E6CF58B3}" name="Action2" dataDxfId="46" dataCellStyle="Link"/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D72E8D2-7F94-4AAD-B10B-276DA8C9279F}" name="Tabelle7367721456413296017" displayName="Tabelle7367721456413296017" ref="I85:M86" insertRow="1" totalsRowShown="0">
  <autoFilter ref="I85:M86" xr:uid="{C130CC24-B6C6-436D-8A8B-0509EE21B07C}"/>
  <tableColumns count="5">
    <tableColumn id="1" xr3:uid="{622A205A-60E9-4A7B-B170-B130DD15A46E}" name="Comparison entry no."/>
    <tableColumn id="2" xr3:uid="{EB5C2F26-CC16-48FC-92D7-5E3294140D25}" name="Propability Support point" dataDxfId="45"/>
    <tableColumn id="3" xr3:uid="{B4DBE770-3F42-4094-BFDE-1AD7A301EBCF}" name="EBS self time" dataDxfId="44"/>
    <tableColumn id="4" xr3:uid="{8F239C9A-3623-481D-BB12-9031F3C20659}" name="Total time">
      <calculatedColumnFormula>#REF!</calculatedColumnFormula>
    </tableColumn>
    <tableColumn id="5" xr3:uid="{B31C08D3-649A-4CBA-AFB9-53A5695536C2}" name="Total time / Your estimate" dataDxfId="43">
      <calculatedColumnFormula>Tabelle7367721456413296017[[#This Row],[EBS self time]]/Tabelle7367721456413296017[[#This Row],[Total time]]</calculatedColumnFormula>
    </tableColumn>
  </tableColumns>
  <tableStyleInfo name="TableStyleDark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Q8" totalsRowShown="0" dataDxfId="38">
  <autoFilter ref="A3:Q8" xr:uid="{520F3973-795E-47E6-97CD-1C1265CA838A}"/>
  <sortState xmlns:xlrd2="http://schemas.microsoft.com/office/spreadsheetml/2017/richdata2" ref="A4:Q8">
    <sortCondition descending="1" ref="P3:P8"/>
  </sortState>
  <tableColumns count="17">
    <tableColumn id="1" xr3:uid="{78BB2EF9-C626-4B0D-94B3-1781BE57C67F}" name="Task no." dataDxfId="37"/>
    <tableColumn id="2" xr3:uid="{C139B307-7150-4838-B1FD-482AAB7B1208}" name="Task name" dataDxfId="36" dataCellStyle="Link"/>
    <tableColumn id="18" xr3:uid="{3B298737-E571-4F23-9C71-2BC3C2385355}" name="Comment" dataDxfId="35" dataCellStyle="Link"/>
    <tableColumn id="3" xr3:uid="{3AD21368-826B-4507-A159-BE8BE5B02C1F}" name="Indicator" dataDxfId="34"/>
    <tableColumn id="4" xr3:uid="{E2EAEAF6-33EC-4D8C-B42E-C249C36E3D3C}" name="%Tag 1" dataDxfId="33" dataCellStyle="Standard"/>
    <tableColumn id="5" xr3:uid="{1E4EAD98-8B30-4F09-AA64-D7613D00651F}" name="%Tag 2" dataDxfId="32" dataCellStyle="Standard"/>
    <tableColumn id="6" xr3:uid="{9E1E50BB-6DA2-47A1-BB20-8C9FAC4B0DB5}" name="%Tag 3" dataDxfId="31" dataCellStyle="Standard"/>
    <tableColumn id="10" xr3:uid="{85CEF83B-6217-49AE-8974-E4D5953E2637}" name="Kanban list" dataDxfId="30" dataCellStyle="Spaltenebene_1"/>
    <tableColumn id="11" xr3:uid="{E542542F-D34F-488A-95AF-76A724785E5A}" name="User time estimate" dataDxfId="29" dataCellStyle="Spaltenebene_1"/>
    <tableColumn id="8" xr3:uid="{727785B7-29B9-493D-A20B-C319B38E1DF3}" name="EBS 50% time" dataDxfId="28" dataCellStyle="Spaltenebene_1"/>
    <tableColumn id="9" xr3:uid="{B12BA9B8-3C81-408C-AFE4-25993FD8491D}" name="EBS 50% date" dataDxfId="27" dataCellStyle="Spaltenebene_1"/>
    <tableColumn id="12" xr3:uid="{7DA005F8-D924-4031-B65E-6C6F60E3212D}" name="Total time" dataDxfId="26"/>
    <tableColumn id="20" xr3:uid="{DAE27A09-2EB0-4A47-A9F0-48ED802D8570}" name="Due date" dataDxfId="25" dataCellStyle="Standard"/>
    <tableColumn id="19" xr3:uid="{7A8CB495-6AE9-4A1E-AC5B-8B6487C84135}" name="Contributor" dataDxfId="24"/>
    <tableColumn id="16" xr3:uid="{209AEE68-BDAE-4E8C-BCF6-6EEA4F9A7FDE}" name="Finished on" dataDxfId="23"/>
    <tableColumn id="17" xr3:uid="{EF767A93-0B38-4A66-A27B-92321C0E655C}" name="Priority" dataDxfId="22"/>
    <tableColumn id="15" xr3:uid="{2ADBC76B-EB88-4BCD-8956-7B4B22C5A3D4}" name="tHASH" dataDxfId="21"/>
  </tableColumns>
  <tableStyleInfo name="TableStyleDark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3C5FCC96-2576-4BC4-A2F4-7C9479131E70}" name="EbsBaseData4326270454" displayName="EbsBaseData4326270454" ref="A18:H19" totalsRowShown="0">
  <autoFilter ref="A18:H19" xr:uid="{1948C160-1F52-48A7-8061-8AFF06D47134}"/>
  <tableColumns count="8">
    <tableColumn id="1" xr3:uid="{BCBB6181-FD8C-441C-AF4C-7322F7722CDD}" name="EBS entry no."/>
    <tableColumn id="4" xr3:uid="{14759953-6E2E-43F2-B9E2-32D6133725E6}" name="EBS run date" dataDxfId="18"/>
    <tableColumn id="8" xr3:uid="{95733588-7622-423D-A09B-A2801A568336}" name="[Velocity pool]"/>
    <tableColumn id="2" xr3:uid="{31DAD1B6-AA6F-4318-B1BA-B05E8921B68D}" name="Show pool?"/>
    <tableColumn id="3" xr3:uid="{341CBBC0-C7A6-47CE-B7A1-8B79C4904052}" name="[Propability support points]"/>
    <tableColumn id="5" xr3:uid="{EE4C7F14-BA0D-45A7-B2F5-7D49405BD03C}" name="[Project time estimates]"/>
    <tableColumn id="6" xr3:uid="{3A72AABA-697D-4DA3-AAC6-89869FAF36B2}" name="[Project date estimates]"/>
    <tableColumn id="7" xr3:uid="{94CA8F5A-2D11-4907-9939-A6028D2A01A0}" name="eHASH"/>
  </tableColumns>
  <tableStyleInfo name="TableStyleDark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A8EEA822-D7B5-4C8E-BE32-DE5561B4E7E1}" name="EbsTaskData9592711256" displayName="EbsTaskData9592711256" ref="J18:T21" totalsRowShown="0">
  <autoFilter ref="J18:T21" xr:uid="{2297DC20-55A3-4C75-B785-3C4ABEF5CB9C}"/>
  <tableColumns count="11">
    <tableColumn id="1" xr3:uid="{BA135D7C-B382-42D2-ACD6-206E452BF799}" name="Data entry no."/>
    <tableColumn id="10" xr3:uid="{DF7A5F69-6B5F-421C-A2EE-BFC1A27DA840}" name="tHASH"/>
    <tableColumn id="5" xr3:uid="{C1BE5CF4-35BA-4A29-A617-29A2C85B81C9}" name="Logged Priority"/>
    <tableColumn id="7" xr3:uid="{9F1A6F62-9058-4BFB-84F6-E1FF929B23EE}" name="Time spent so far" dataDxfId="17"/>
    <tableColumn id="4" xr3:uid="{EF4FC152-3842-4EC0-BFAE-6BEF3BA57CB7}" name="User time estimate" dataDxfId="16"/>
    <tableColumn id="3" xr3:uid="{8DDCCF73-F989-416A-A482-83FE93A89E66}" name="[Monte Carlo estimate pool]"/>
    <tableColumn id="2" xr3:uid="{38D2B213-D401-4C2F-9407-5CE3DA736C0A}" name="[Remaining time pool]"/>
    <tableColumn id="6" xr3:uid="{C90689EC-A5D9-46CB-A209-EB588AC1B11F}" name="[Accumulated time pool]"/>
    <tableColumn id="8" xr3:uid="{314EFBAB-B286-4360-B3B2-2FF130DAFEA2}" name="[Propability support points]"/>
    <tableColumn id="9" xr3:uid="{EB86D1B8-A8FB-43A6-B8C6-73CFA9263ECD}" name="[Interpolated time estimates]"/>
    <tableColumn id="11" xr3:uid="{864C77CE-11F5-4DEE-B584-F82EC12A555E}" name="[Interpolated date estimates]"/>
  </tableColumns>
  <tableStyleInfo name="TableStyleDark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15" dataCellStyle="Link"/>
    <tableColumn id="9" xr3:uid="{0037D127-E2BA-445A-BC63-1395BA3AC441}" name="Calendar ID" dataDxfId="14" dataCellStyle="Link"/>
    <tableColumn id="10" xr3:uid="{37CA3B7B-8FF0-4042-97C6-E23A79A74325}" name="Store ID"/>
    <tableColumn id="6" xr3:uid="{044D8005-25C5-4D31-940A-B6DE4C6B0EA5}" name="WorkingDays" dataDxfId="13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12"/>
    <tableColumn id="8" xr3:uid="{1177B0FB-46B2-406D-B988-C64E0ABA6972}" name="AppointmentOffsetHours" dataDxfId="11">
      <calculatedColumnFormula>5/60</calculatedColumnFormula>
    </tableColumn>
  </tableColumns>
  <tableStyleInfo name="TableStyleDark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4:G15" totalsRowShown="0">
  <autoFilter ref="A14:G15" xr:uid="{40D13D02-1E69-496D-8B92-B7ECCFB4FAB3}"/>
  <sortState xmlns:xlrd2="http://schemas.microsoft.com/office/spreadsheetml/2017/richdata2" ref="A15:E15">
    <sortCondition ref="A14:A15"/>
  </sortState>
  <tableColumns count="7">
    <tableColumn id="1" xr3:uid="{79398A77-C401-45B7-A5F3-FD95241DA46D}" name="Time entry no."/>
    <tableColumn id="2" xr3:uid="{B05CE561-2857-4C79-94B9-B743D40A6B9B}" name="Start time" dataDxfId="10"/>
    <tableColumn id="3" xr3:uid="{78DABF02-3853-48FF-81AD-5801C74BED1B}" name="End time" dataDxfId="9"/>
    <tableColumn id="4" xr3:uid="{76C994F9-216A-4848-9FB6-16BAF8B0EEEA}" name="Time delta in h" dataDxfId="8">
      <calculatedColumnFormula>MAX((C15-B15)*24,0)</calculatedColumnFormula>
    </tableColumn>
    <tableColumn id="5" xr3:uid="{7A34D70F-82B8-48DB-B5DE-37BA200663BE}" name="Indicator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4:M15" totalsRowShown="0">
  <autoFilter ref="I14:M15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7"/>
    <tableColumn id="3" xr3:uid="{A62B365F-400F-45A4-B789-FE7B5FDBD312}" name="EBS self time" dataDxfId="6"/>
    <tableColumn id="4" xr3:uid="{37AD97D9-9420-42BC-9EA3-73C14A0A1F72}" name="Total time">
      <calculatedColumnFormula>$B$4</calculatedColumnFormula>
    </tableColumn>
    <tableColumn id="5" xr3:uid="{919307D5-98B8-47B0-ABAC-374A91F6BBB0}" name="Total time / Your estimate" dataDxfId="5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2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1"/>
    <tableColumn id="4" xr3:uid="{F9EDA55E-5206-49A7-A846-6A0B14C04CAF}" name="User time estimate" dataDxfId="0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DFB19EB3-E1D4-45B4-AA19-19FB58DE5775}">
    <text>The time estimate of the remaining time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table" Target="../tables/table1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1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14.xml"/><Relationship Id="rId2" Type="http://schemas.openxmlformats.org/officeDocument/2006/relationships/hyperlink" Target="file:///\\your.addresss@provider.com\Calendar" TargetMode="External"/><Relationship Id="rId1" Type="http://schemas.openxmlformats.org/officeDocument/2006/relationships/hyperlink" Target="mailto:your.address@provider.com" TargetMode="External"/><Relationship Id="rId6" Type="http://schemas.openxmlformats.org/officeDocument/2006/relationships/ctrlProp" Target="../ctrlProps/ctrlProp13.xml"/><Relationship Id="rId5" Type="http://schemas.openxmlformats.org/officeDocument/2006/relationships/vmlDrawing" Target="../drawings/vmlDrawing3.vml"/><Relationship Id="rId10" Type="http://schemas.openxmlformats.org/officeDocument/2006/relationships/table" Target="../tables/table14.xml"/><Relationship Id="rId4" Type="http://schemas.openxmlformats.org/officeDocument/2006/relationships/drawing" Target="../drawings/drawing3.xml"/><Relationship Id="rId9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B7DC6-87E2-4196-9853-B30FB454FFDF}">
  <sheetPr codeName="Tabelle1"/>
  <dimension ref="A1:M89"/>
  <sheetViews>
    <sheetView topLeftCell="A35" workbookViewId="0">
      <selection activeCell="B60" sqref="B60"/>
    </sheetView>
  </sheetViews>
  <sheetFormatPr baseColWidth="10" defaultRowHeight="15" x14ac:dyDescent="0.25"/>
  <sheetData>
    <row r="1" spans="1:13" x14ac:dyDescent="0.25">
      <c r="A1" t="s">
        <v>149</v>
      </c>
      <c r="B1" t="s">
        <v>115</v>
      </c>
      <c r="C1" t="s">
        <v>150</v>
      </c>
      <c r="D1">
        <v>15</v>
      </c>
      <c r="E1" t="s">
        <v>151</v>
      </c>
      <c r="F1">
        <v>13</v>
      </c>
    </row>
    <row r="2" spans="1:13" x14ac:dyDescent="0.25">
      <c r="A2" s="4" t="s">
        <v>25</v>
      </c>
    </row>
    <row r="3" spans="1:13" x14ac:dyDescent="0.25">
      <c r="A3" t="s">
        <v>3</v>
      </c>
      <c r="B3" t="s">
        <v>114</v>
      </c>
    </row>
    <row r="4" spans="1:13" x14ac:dyDescent="0.25">
      <c r="A4" t="s">
        <v>79</v>
      </c>
      <c r="B4" s="2">
        <v>0.25</v>
      </c>
      <c r="C4" t="s">
        <v>4</v>
      </c>
    </row>
    <row r="5" spans="1:13" x14ac:dyDescent="0.25">
      <c r="A5" t="s">
        <v>0</v>
      </c>
      <c r="B5" s="2">
        <f>SUM(D:D)</f>
        <v>81.999999999708962</v>
      </c>
      <c r="C5" t="s">
        <v>4</v>
      </c>
    </row>
    <row r="6" spans="1:13" x14ac:dyDescent="0.25">
      <c r="A6" t="s">
        <v>14</v>
      </c>
      <c r="B6" s="5" t="s">
        <v>99</v>
      </c>
    </row>
    <row r="7" spans="1:13" x14ac:dyDescent="0.25">
      <c r="A7" t="s">
        <v>15</v>
      </c>
      <c r="B7" s="5" t="s">
        <v>19</v>
      </c>
    </row>
    <row r="8" spans="1:13" x14ac:dyDescent="0.25">
      <c r="A8" t="s">
        <v>1</v>
      </c>
      <c r="B8" t="s">
        <v>97</v>
      </c>
    </row>
    <row r="9" spans="1:13" x14ac:dyDescent="0.25">
      <c r="A9" t="s">
        <v>16</v>
      </c>
      <c r="B9" s="5" t="s">
        <v>99</v>
      </c>
    </row>
    <row r="10" spans="1:13" x14ac:dyDescent="0.25">
      <c r="A10" t="s">
        <v>2</v>
      </c>
    </row>
    <row r="11" spans="1:13" x14ac:dyDescent="0.25">
      <c r="A11" t="s">
        <v>47</v>
      </c>
      <c r="B11" t="s">
        <v>115</v>
      </c>
    </row>
    <row r="12" spans="1:13" x14ac:dyDescent="0.25">
      <c r="A12" t="s">
        <v>5</v>
      </c>
      <c r="B12" s="2">
        <f>B4/B5</f>
        <v>3.0487804878156989E-3</v>
      </c>
      <c r="C12" t="s">
        <v>6</v>
      </c>
    </row>
    <row r="13" spans="1:13" x14ac:dyDescent="0.25">
      <c r="A13" t="s">
        <v>103</v>
      </c>
      <c r="B13" t="s">
        <v>121</v>
      </c>
    </row>
    <row r="14" spans="1:13" x14ac:dyDescent="0.25">
      <c r="A14" t="s">
        <v>104</v>
      </c>
      <c r="B14" t="s">
        <v>125</v>
      </c>
    </row>
    <row r="15" spans="1:13" x14ac:dyDescent="0.25">
      <c r="A15" t="s">
        <v>11</v>
      </c>
      <c r="B15" t="s">
        <v>7</v>
      </c>
      <c r="C15" t="s">
        <v>8</v>
      </c>
      <c r="D15" t="s">
        <v>9</v>
      </c>
      <c r="E15" t="s">
        <v>10</v>
      </c>
      <c r="F15" t="s">
        <v>86</v>
      </c>
      <c r="G15" t="s">
        <v>87</v>
      </c>
      <c r="I15" t="s">
        <v>71</v>
      </c>
      <c r="J15" s="16" t="s">
        <v>69</v>
      </c>
      <c r="K15" s="2" t="s">
        <v>70</v>
      </c>
      <c r="L15" t="s">
        <v>72</v>
      </c>
      <c r="M15" t="s">
        <v>73</v>
      </c>
    </row>
    <row r="16" spans="1:13" x14ac:dyDescent="0.25">
      <c r="B16" s="1"/>
      <c r="C16" s="1"/>
      <c r="D16" s="2">
        <f>MAX((C16-B16)*24,0)</f>
        <v>0</v>
      </c>
      <c r="J16" s="16"/>
      <c r="K16" s="2"/>
      <c r="L16" s="2"/>
      <c r="M16" s="17"/>
    </row>
    <row r="18" spans="1:13" x14ac:dyDescent="0.25">
      <c r="A18" t="s">
        <v>149</v>
      </c>
      <c r="B18" t="s">
        <v>111</v>
      </c>
      <c r="C18" t="s">
        <v>150</v>
      </c>
      <c r="D18">
        <v>15</v>
      </c>
      <c r="E18" t="s">
        <v>151</v>
      </c>
      <c r="F18">
        <v>13</v>
      </c>
    </row>
    <row r="19" spans="1:13" x14ac:dyDescent="0.25">
      <c r="A19" s="4" t="s">
        <v>25</v>
      </c>
    </row>
    <row r="20" spans="1:13" x14ac:dyDescent="0.25">
      <c r="A20" t="s">
        <v>3</v>
      </c>
      <c r="B20" t="s">
        <v>112</v>
      </c>
    </row>
    <row r="21" spans="1:13" x14ac:dyDescent="0.25">
      <c r="A21" t="s">
        <v>79</v>
      </c>
      <c r="B21" s="2">
        <v>1</v>
      </c>
      <c r="C21" t="s">
        <v>4</v>
      </c>
    </row>
    <row r="22" spans="1:13" x14ac:dyDescent="0.25">
      <c r="A22" t="s">
        <v>0</v>
      </c>
      <c r="B22" s="2">
        <f>SUM(D:D)</f>
        <v>81.999999999708962</v>
      </c>
      <c r="C22" t="s">
        <v>4</v>
      </c>
    </row>
    <row r="23" spans="1:13" x14ac:dyDescent="0.25">
      <c r="A23" t="s">
        <v>14</v>
      </c>
      <c r="B23" s="5" t="s">
        <v>99</v>
      </c>
    </row>
    <row r="24" spans="1:13" x14ac:dyDescent="0.25">
      <c r="A24" t="s">
        <v>15</v>
      </c>
      <c r="B24" s="5" t="s">
        <v>19</v>
      </c>
    </row>
    <row r="25" spans="1:13" x14ac:dyDescent="0.25">
      <c r="A25" t="s">
        <v>1</v>
      </c>
      <c r="B25" t="s">
        <v>97</v>
      </c>
    </row>
    <row r="26" spans="1:13" x14ac:dyDescent="0.25">
      <c r="A26" t="s">
        <v>16</v>
      </c>
      <c r="B26" s="5" t="s">
        <v>99</v>
      </c>
    </row>
    <row r="27" spans="1:13" x14ac:dyDescent="0.25">
      <c r="A27" t="s">
        <v>2</v>
      </c>
    </row>
    <row r="28" spans="1:13" x14ac:dyDescent="0.25">
      <c r="A28" t="s">
        <v>47</v>
      </c>
      <c r="B28" t="s">
        <v>111</v>
      </c>
    </row>
    <row r="29" spans="1:13" x14ac:dyDescent="0.25">
      <c r="A29" t="s">
        <v>5</v>
      </c>
      <c r="B29" s="2">
        <f>B21/B22</f>
        <v>1.2195121951262796E-2</v>
      </c>
      <c r="C29" t="s">
        <v>6</v>
      </c>
    </row>
    <row r="30" spans="1:13" x14ac:dyDescent="0.25">
      <c r="A30" t="s">
        <v>103</v>
      </c>
      <c r="B30" t="s">
        <v>121</v>
      </c>
    </row>
    <row r="31" spans="1:13" x14ac:dyDescent="0.25">
      <c r="A31" t="s">
        <v>104</v>
      </c>
      <c r="B31" t="s">
        <v>125</v>
      </c>
    </row>
    <row r="32" spans="1:13" x14ac:dyDescent="0.25">
      <c r="A32" t="s">
        <v>11</v>
      </c>
      <c r="B32" t="s">
        <v>7</v>
      </c>
      <c r="C32" t="s">
        <v>8</v>
      </c>
      <c r="D32" t="s">
        <v>9</v>
      </c>
      <c r="E32" t="s">
        <v>10</v>
      </c>
      <c r="F32" t="s">
        <v>86</v>
      </c>
      <c r="G32" t="s">
        <v>87</v>
      </c>
      <c r="I32" t="s">
        <v>71</v>
      </c>
      <c r="J32" s="16" t="s">
        <v>69</v>
      </c>
      <c r="K32" s="2" t="s">
        <v>70</v>
      </c>
      <c r="L32" t="s">
        <v>72</v>
      </c>
      <c r="M32" t="s">
        <v>73</v>
      </c>
    </row>
    <row r="33" spans="1:13" x14ac:dyDescent="0.25">
      <c r="A33" t="s">
        <v>96</v>
      </c>
      <c r="B33" s="1">
        <v>43817.077002314814</v>
      </c>
      <c r="C33" s="1">
        <v>43817.087418981479</v>
      </c>
      <c r="D33" s="2">
        <f>MAX((C33-B33)*24,0)</f>
        <v>0.24999999994179234</v>
      </c>
      <c r="F33" s="32" t="s">
        <v>131</v>
      </c>
      <c r="G33" s="32" t="s">
        <v>132</v>
      </c>
      <c r="J33" s="16"/>
      <c r="K33" s="2"/>
      <c r="L33" s="2"/>
      <c r="M33" s="17"/>
    </row>
    <row r="35" spans="1:13" x14ac:dyDescent="0.25">
      <c r="A35" t="s">
        <v>149</v>
      </c>
      <c r="B35" t="s">
        <v>116</v>
      </c>
      <c r="C35" t="s">
        <v>150</v>
      </c>
      <c r="D35">
        <v>15</v>
      </c>
      <c r="E35" t="s">
        <v>151</v>
      </c>
      <c r="F35">
        <v>13</v>
      </c>
    </row>
    <row r="36" spans="1:13" x14ac:dyDescent="0.25">
      <c r="A36" s="4" t="s">
        <v>25</v>
      </c>
    </row>
    <row r="37" spans="1:13" x14ac:dyDescent="0.25">
      <c r="A37" t="s">
        <v>3</v>
      </c>
      <c r="B37" t="s">
        <v>117</v>
      </c>
    </row>
    <row r="38" spans="1:13" x14ac:dyDescent="0.25">
      <c r="A38" t="s">
        <v>79</v>
      </c>
      <c r="B38" s="2">
        <v>2</v>
      </c>
      <c r="C38" t="s">
        <v>4</v>
      </c>
    </row>
    <row r="39" spans="1:13" x14ac:dyDescent="0.25">
      <c r="A39" t="s">
        <v>0</v>
      </c>
      <c r="B39" s="2">
        <f>SUM(D:D)</f>
        <v>81.999999999708962</v>
      </c>
      <c r="C39" t="s">
        <v>4</v>
      </c>
    </row>
    <row r="40" spans="1:13" x14ac:dyDescent="0.25">
      <c r="A40" t="s">
        <v>14</v>
      </c>
      <c r="B40" s="5" t="s">
        <v>99</v>
      </c>
    </row>
    <row r="41" spans="1:13" x14ac:dyDescent="0.25">
      <c r="A41" t="s">
        <v>15</v>
      </c>
      <c r="B41" s="5" t="s">
        <v>19</v>
      </c>
    </row>
    <row r="42" spans="1:13" x14ac:dyDescent="0.25">
      <c r="A42" t="s">
        <v>1</v>
      </c>
      <c r="B42" t="s">
        <v>97</v>
      </c>
    </row>
    <row r="43" spans="1:13" x14ac:dyDescent="0.25">
      <c r="A43" t="s">
        <v>16</v>
      </c>
      <c r="B43" s="5" t="s">
        <v>99</v>
      </c>
    </row>
    <row r="44" spans="1:13" x14ac:dyDescent="0.25">
      <c r="A44" t="s">
        <v>2</v>
      </c>
    </row>
    <row r="45" spans="1:13" x14ac:dyDescent="0.25">
      <c r="A45" t="s">
        <v>47</v>
      </c>
      <c r="B45" t="s">
        <v>116</v>
      </c>
    </row>
    <row r="46" spans="1:13" x14ac:dyDescent="0.25">
      <c r="A46" t="s">
        <v>5</v>
      </c>
      <c r="B46" s="2">
        <f>B38/B39</f>
        <v>2.4390243902525591E-2</v>
      </c>
      <c r="C46" t="s">
        <v>6</v>
      </c>
    </row>
    <row r="47" spans="1:13" x14ac:dyDescent="0.25">
      <c r="A47" t="s">
        <v>103</v>
      </c>
      <c r="B47" t="s">
        <v>121</v>
      </c>
    </row>
    <row r="48" spans="1:13" x14ac:dyDescent="0.25">
      <c r="A48" t="s">
        <v>104</v>
      </c>
      <c r="B48" t="s">
        <v>123</v>
      </c>
    </row>
    <row r="49" spans="1:13" x14ac:dyDescent="0.25">
      <c r="A49" t="s">
        <v>11</v>
      </c>
      <c r="B49" t="s">
        <v>7</v>
      </c>
      <c r="C49" t="s">
        <v>8</v>
      </c>
      <c r="D49" t="s">
        <v>9</v>
      </c>
      <c r="E49" t="s">
        <v>10</v>
      </c>
      <c r="F49" t="s">
        <v>86</v>
      </c>
      <c r="G49" t="s">
        <v>87</v>
      </c>
      <c r="I49" t="s">
        <v>71</v>
      </c>
      <c r="J49" s="16" t="s">
        <v>69</v>
      </c>
      <c r="K49" s="2" t="s">
        <v>70</v>
      </c>
      <c r="L49" t="s">
        <v>72</v>
      </c>
      <c r="M49" t="s">
        <v>73</v>
      </c>
    </row>
    <row r="50" spans="1:13" x14ac:dyDescent="0.25">
      <c r="B50" s="1"/>
      <c r="C50" s="1"/>
      <c r="D50" s="2">
        <f>MAX((C50-B50)*24,0)</f>
        <v>0</v>
      </c>
      <c r="J50" s="16"/>
      <c r="K50" s="2"/>
      <c r="L50" s="2"/>
      <c r="M50" s="17"/>
    </row>
    <row r="52" spans="1:13" x14ac:dyDescent="0.25">
      <c r="A52" t="s">
        <v>149</v>
      </c>
      <c r="B52" t="s">
        <v>118</v>
      </c>
      <c r="C52" t="s">
        <v>150</v>
      </c>
      <c r="D52">
        <v>17</v>
      </c>
      <c r="E52" t="s">
        <v>151</v>
      </c>
      <c r="F52">
        <v>13</v>
      </c>
    </row>
    <row r="53" spans="1:13" x14ac:dyDescent="0.25">
      <c r="A53" s="4" t="s">
        <v>25</v>
      </c>
    </row>
    <row r="54" spans="1:13" x14ac:dyDescent="0.25">
      <c r="A54" t="s">
        <v>3</v>
      </c>
      <c r="B54" t="s">
        <v>119</v>
      </c>
    </row>
    <row r="55" spans="1:13" x14ac:dyDescent="0.25">
      <c r="A55" t="s">
        <v>79</v>
      </c>
      <c r="B55" s="2">
        <v>0.5</v>
      </c>
      <c r="C55" t="s">
        <v>4</v>
      </c>
    </row>
    <row r="56" spans="1:13" x14ac:dyDescent="0.25">
      <c r="A56" t="s">
        <v>0</v>
      </c>
      <c r="B56" s="2">
        <f>SUM(D:D)</f>
        <v>81.999999999708962</v>
      </c>
      <c r="C56" t="s">
        <v>4</v>
      </c>
    </row>
    <row r="57" spans="1:13" x14ac:dyDescent="0.25">
      <c r="A57" t="s">
        <v>14</v>
      </c>
      <c r="B57" s="5" t="s">
        <v>99</v>
      </c>
    </row>
    <row r="58" spans="1:13" x14ac:dyDescent="0.25">
      <c r="A58" t="s">
        <v>15</v>
      </c>
      <c r="B58" s="5" t="s">
        <v>19</v>
      </c>
    </row>
    <row r="59" spans="1:13" x14ac:dyDescent="0.25">
      <c r="A59" t="s">
        <v>1</v>
      </c>
      <c r="B59" t="s">
        <v>133</v>
      </c>
    </row>
    <row r="60" spans="1:13" x14ac:dyDescent="0.25">
      <c r="A60" t="s">
        <v>16</v>
      </c>
      <c r="B60" s="5">
        <v>43817.078483796293</v>
      </c>
    </row>
    <row r="61" spans="1:13" x14ac:dyDescent="0.25">
      <c r="A61" t="s">
        <v>2</v>
      </c>
    </row>
    <row r="62" spans="1:13" x14ac:dyDescent="0.25">
      <c r="A62" t="s">
        <v>47</v>
      </c>
      <c r="B62" t="s">
        <v>118</v>
      </c>
    </row>
    <row r="63" spans="1:13" x14ac:dyDescent="0.25">
      <c r="A63" t="s">
        <v>5</v>
      </c>
      <c r="B63" s="2">
        <f>B55/B56</f>
        <v>6.0975609756313979E-3</v>
      </c>
      <c r="C63" t="s">
        <v>6</v>
      </c>
    </row>
    <row r="64" spans="1:13" x14ac:dyDescent="0.25">
      <c r="A64" t="s">
        <v>103</v>
      </c>
      <c r="B64" t="s">
        <v>127</v>
      </c>
    </row>
    <row r="65" spans="1:13" x14ac:dyDescent="0.25">
      <c r="A65" t="s">
        <v>104</v>
      </c>
      <c r="B65" t="s">
        <v>128</v>
      </c>
    </row>
    <row r="66" spans="1:13" x14ac:dyDescent="0.25">
      <c r="A66" t="s">
        <v>11</v>
      </c>
      <c r="B66" t="s">
        <v>7</v>
      </c>
      <c r="C66" t="s">
        <v>8</v>
      </c>
      <c r="D66" t="s">
        <v>9</v>
      </c>
      <c r="E66" t="s">
        <v>10</v>
      </c>
      <c r="F66" t="s">
        <v>86</v>
      </c>
      <c r="G66" t="s">
        <v>87</v>
      </c>
      <c r="I66" t="s">
        <v>71</v>
      </c>
      <c r="J66" s="16" t="s">
        <v>69</v>
      </c>
      <c r="K66" s="2" t="s">
        <v>70</v>
      </c>
      <c r="L66" t="s">
        <v>72</v>
      </c>
      <c r="M66" t="s">
        <v>73</v>
      </c>
    </row>
    <row r="67" spans="1:13" x14ac:dyDescent="0.25">
      <c r="A67" t="s">
        <v>96</v>
      </c>
      <c r="B67" s="1">
        <v>43817.068055555559</v>
      </c>
      <c r="C67" s="1">
        <v>43817.078472222223</v>
      </c>
      <c r="D67" s="2">
        <f>MAX((C67-B67)*24,0)</f>
        <v>0.24999999994179234</v>
      </c>
      <c r="F67" s="32" t="s">
        <v>131</v>
      </c>
      <c r="G67" s="32" t="s">
        <v>132</v>
      </c>
      <c r="J67" s="16"/>
      <c r="K67" s="2"/>
      <c r="L67" s="2"/>
      <c r="M67" s="17"/>
    </row>
    <row r="68" spans="1:13" x14ac:dyDescent="0.25">
      <c r="A68" t="s">
        <v>100</v>
      </c>
      <c r="B68" s="1">
        <v>43817.068067129629</v>
      </c>
      <c r="C68" s="1">
        <v>43817.078483796293</v>
      </c>
      <c r="D68" s="2">
        <f>MAX((C68-B68)*24,0)</f>
        <v>0.24999999994179234</v>
      </c>
      <c r="F68" s="32" t="s">
        <v>131</v>
      </c>
      <c r="G68" s="32" t="s">
        <v>132</v>
      </c>
    </row>
    <row r="69" spans="1:13" x14ac:dyDescent="0.25">
      <c r="A69" t="s">
        <v>101</v>
      </c>
      <c r="B69" s="1">
        <v>43817.068067129629</v>
      </c>
      <c r="C69" s="1">
        <v>43817.078483796293</v>
      </c>
      <c r="D69" s="2">
        <f>MAX((C69-B69)*24,0)</f>
        <v>0.24999999994179234</v>
      </c>
      <c r="F69" s="32" t="s">
        <v>131</v>
      </c>
      <c r="G69" s="32" t="s">
        <v>132</v>
      </c>
    </row>
    <row r="71" spans="1:13" x14ac:dyDescent="0.25">
      <c r="A71" t="s">
        <v>149</v>
      </c>
      <c r="B71" t="s">
        <v>113</v>
      </c>
      <c r="C71" t="s">
        <v>150</v>
      </c>
      <c r="D71">
        <v>18</v>
      </c>
      <c r="E71" t="s">
        <v>151</v>
      </c>
      <c r="F71">
        <v>13</v>
      </c>
    </row>
    <row r="72" spans="1:13" x14ac:dyDescent="0.25">
      <c r="A72" s="4" t="s">
        <v>25</v>
      </c>
    </row>
    <row r="73" spans="1:13" x14ac:dyDescent="0.25">
      <c r="A73" t="s">
        <v>3</v>
      </c>
      <c r="B73" t="s">
        <v>129</v>
      </c>
    </row>
    <row r="74" spans="1:13" x14ac:dyDescent="0.25">
      <c r="A74" t="s">
        <v>79</v>
      </c>
      <c r="B74" s="2">
        <v>0.75</v>
      </c>
      <c r="C74" t="s">
        <v>4</v>
      </c>
    </row>
    <row r="75" spans="1:13" x14ac:dyDescent="0.25">
      <c r="A75" t="s">
        <v>0</v>
      </c>
      <c r="B75" s="2">
        <f>SUM(D:D)</f>
        <v>81.999999999708962</v>
      </c>
      <c r="C75" t="s">
        <v>4</v>
      </c>
    </row>
    <row r="76" spans="1:13" x14ac:dyDescent="0.25">
      <c r="A76" t="s">
        <v>14</v>
      </c>
      <c r="B76" s="5" t="s">
        <v>99</v>
      </c>
    </row>
    <row r="77" spans="1:13" x14ac:dyDescent="0.25">
      <c r="A77" t="s">
        <v>15</v>
      </c>
      <c r="B77" s="5" t="s">
        <v>19</v>
      </c>
    </row>
    <row r="78" spans="1:13" x14ac:dyDescent="0.25">
      <c r="A78" t="s">
        <v>1</v>
      </c>
      <c r="B78" t="s">
        <v>133</v>
      </c>
    </row>
    <row r="79" spans="1:13" x14ac:dyDescent="0.25">
      <c r="A79" t="s">
        <v>16</v>
      </c>
      <c r="B79" s="5">
        <v>43817.07885416667</v>
      </c>
    </row>
    <row r="80" spans="1:13" x14ac:dyDescent="0.25">
      <c r="A80" t="s">
        <v>2</v>
      </c>
    </row>
    <row r="81" spans="1:13" x14ac:dyDescent="0.25">
      <c r="A81" t="s">
        <v>47</v>
      </c>
      <c r="B81" t="s">
        <v>113</v>
      </c>
    </row>
    <row r="82" spans="1:13" x14ac:dyDescent="0.25">
      <c r="A82" t="s">
        <v>5</v>
      </c>
      <c r="B82" s="2">
        <f>B74/B75</f>
        <v>9.1463414634470972E-3</v>
      </c>
      <c r="C82" t="s">
        <v>6</v>
      </c>
    </row>
    <row r="83" spans="1:13" x14ac:dyDescent="0.25">
      <c r="A83" t="s">
        <v>103</v>
      </c>
      <c r="B83" t="s">
        <v>121</v>
      </c>
    </row>
    <row r="84" spans="1:13" x14ac:dyDescent="0.25">
      <c r="A84" t="s">
        <v>104</v>
      </c>
      <c r="B84" t="s">
        <v>125</v>
      </c>
    </row>
    <row r="85" spans="1:13" x14ac:dyDescent="0.25">
      <c r="A85" t="s">
        <v>11</v>
      </c>
      <c r="B85" t="s">
        <v>7</v>
      </c>
      <c r="C85" t="s">
        <v>8</v>
      </c>
      <c r="D85" t="s">
        <v>9</v>
      </c>
      <c r="E85" t="s">
        <v>10</v>
      </c>
      <c r="F85" t="s">
        <v>86</v>
      </c>
      <c r="G85" t="s">
        <v>87</v>
      </c>
      <c r="I85" t="s">
        <v>71</v>
      </c>
      <c r="J85" s="16" t="s">
        <v>69</v>
      </c>
      <c r="K85" s="2" t="s">
        <v>70</v>
      </c>
      <c r="L85" t="s">
        <v>72</v>
      </c>
      <c r="M85" t="s">
        <v>73</v>
      </c>
    </row>
    <row r="86" spans="1:13" x14ac:dyDescent="0.25">
      <c r="A86" t="s">
        <v>96</v>
      </c>
      <c r="B86" s="1">
        <v>43817.068194444444</v>
      </c>
      <c r="C86" s="1">
        <v>43817.078611111108</v>
      </c>
      <c r="D86" s="2">
        <f>MAX((C86-B86)*24,0)</f>
        <v>0.24999999994179234</v>
      </c>
      <c r="F86" s="32" t="s">
        <v>131</v>
      </c>
      <c r="G86" s="32" t="s">
        <v>132</v>
      </c>
      <c r="J86" s="16"/>
      <c r="K86" s="2"/>
      <c r="L86" s="2"/>
      <c r="M86" s="17"/>
    </row>
    <row r="87" spans="1:13" x14ac:dyDescent="0.25">
      <c r="A87" t="s">
        <v>100</v>
      </c>
      <c r="B87" s="1">
        <v>43817.068229166667</v>
      </c>
      <c r="C87" s="1">
        <v>43817.078645833331</v>
      </c>
      <c r="D87" s="2">
        <f>MAX((C87-B87)*24,0)</f>
        <v>0.24999999994179234</v>
      </c>
      <c r="F87" s="32" t="s">
        <v>131</v>
      </c>
      <c r="G87" s="32" t="s">
        <v>132</v>
      </c>
    </row>
    <row r="88" spans="1:13" x14ac:dyDescent="0.25">
      <c r="A88" t="s">
        <v>101</v>
      </c>
      <c r="B88" s="1">
        <v>43817.06826388889</v>
      </c>
      <c r="C88" s="1">
        <v>43817.078680555554</v>
      </c>
      <c r="D88" s="2">
        <f>MAX((C88-B88)*24,0)</f>
        <v>0.24999999994179234</v>
      </c>
      <c r="F88" s="32" t="s">
        <v>131</v>
      </c>
      <c r="G88" s="32" t="s">
        <v>132</v>
      </c>
    </row>
    <row r="89" spans="1:13" x14ac:dyDescent="0.25">
      <c r="A89" t="s">
        <v>105</v>
      </c>
      <c r="B89" s="1">
        <v>43817.068437499998</v>
      </c>
      <c r="C89" s="1">
        <v>43817.07885416667</v>
      </c>
      <c r="D89" s="2">
        <f>MAX((C89-B89)*24,0)</f>
        <v>0.25000000011641532</v>
      </c>
      <c r="F89" s="32" t="s">
        <v>131</v>
      </c>
      <c r="G89" s="32" t="s">
        <v>132</v>
      </c>
    </row>
  </sheetData>
  <hyperlinks>
    <hyperlink ref="A2" location="Planning!A1" display="Go back to 'Planning' sheet" xr:uid="{3692A96B-36CB-4A5B-8AFD-E4D1D6A4FC29}"/>
    <hyperlink ref="A19" location="Planning!A1" display="Go back to 'Planning' sheet" xr:uid="{947C6AD8-F00D-4DA0-A4CF-9FAAB375DA13}"/>
    <hyperlink ref="F33" location="$F$15" display="$F$15" xr:uid="{64FFF705-2431-4BD9-8E60-E99583421CE2}"/>
    <hyperlink ref="G33" location="$G$15" display="$G$15" xr:uid="{F027F2CC-099B-4AB6-B475-76473C36D89B}"/>
    <hyperlink ref="A36" location="Planning!A1" display="Go back to 'Planning' sheet" xr:uid="{146665F2-E27D-4F52-A0EB-6F9E670B90E1}"/>
    <hyperlink ref="A53" location="Planning!A1" display="Go back to 'Planning' sheet" xr:uid="{EE68C11A-3961-40B0-B11D-3A597B1F0E4D}"/>
    <hyperlink ref="F67" location="$F$15" display="$F$15" xr:uid="{900B067A-3EBE-4A34-9EB3-B2ECD1DA7B33}"/>
    <hyperlink ref="G67" location="$G$15" display="$G$15" xr:uid="{2C54D0B0-D4B6-4747-B172-FADCFC1AC0A6}"/>
    <hyperlink ref="F68" location="$F$16" display="$F$16" xr:uid="{5D98D998-ECD5-4F10-ABD3-84CACADDFFD7}"/>
    <hyperlink ref="G68" location="$G$16" display="$G$16" xr:uid="{3C6A0168-F8A5-48D0-8327-73B61CBC2EBD}"/>
    <hyperlink ref="F69" location="$F$17" display="$F$17" xr:uid="{F5844D3D-87D2-49DA-83FE-5A39DEA3D5C0}"/>
    <hyperlink ref="G69" location="$G$17" display="$G$17" xr:uid="{F04DAC20-03A5-4227-8B9D-B9A579D25EF2}"/>
    <hyperlink ref="A72" location="Planning!A1" display="Go back to 'Planning' sheet" xr:uid="{F290DD6D-5BE8-47F4-974F-5CC7D2AEFAF3}"/>
    <hyperlink ref="F86" location="$F$15" display="$F$15" xr:uid="{698BBB4E-0C4B-47A0-9699-566EC9988D44}"/>
    <hyperlink ref="G86" location="$G$15" display="$G$15" xr:uid="{9AD3071D-69D4-4BBB-BC7C-56C6B251A564}"/>
    <hyperlink ref="F87" location="$F$16" display="$F$16" xr:uid="{87DCB63C-8D06-45B1-92A0-1722A6066119}"/>
    <hyperlink ref="G87" location="$G$16" display="$G$16" xr:uid="{6DBB5DB9-98DB-4887-BA14-96B03EBE2774}"/>
    <hyperlink ref="F88" location="$F$17" display="$F$17" xr:uid="{C63ACF2B-449F-4A2A-9190-5EBECF53A86D}"/>
    <hyperlink ref="G88" location="$G$17" display="$G$17" xr:uid="{A67B767F-6755-4497-8E45-0BCFD2962097}"/>
    <hyperlink ref="F89" location="$F$18" display="$F$18" xr:uid="{37F53BF1-BD84-4454-92E5-09036980A50E}"/>
    <hyperlink ref="G89" location="$G$18" display="$G$18" xr:uid="{B62BC55C-DCAA-4A94-A1AD-E0188C66F766}"/>
  </hyperlinks>
  <pageMargins left="0.7" right="0.7" top="0.78740157499999996" bottom="0.78740157499999996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S39"/>
  <sheetViews>
    <sheetView topLeftCell="B1" zoomScaleNormal="100" workbookViewId="0">
      <selection activeCell="B18" sqref="B18"/>
    </sheetView>
  </sheetViews>
  <sheetFormatPr baseColWidth="10" defaultColWidth="11.42578125" defaultRowHeight="15" outlineLevelCol="1" x14ac:dyDescent="0.25"/>
  <cols>
    <col min="1" max="1" width="10.42578125" style="6" bestFit="1" customWidth="1"/>
    <col min="2" max="2" width="32.140625" style="9" customWidth="1"/>
    <col min="3" max="3" width="25.7109375" style="9" customWidth="1"/>
    <col min="4" max="4" width="13.5703125" style="6" bestFit="1" customWidth="1"/>
    <col min="5" max="6" width="9.28515625" style="7" customWidth="1" outlineLevel="1"/>
    <col min="7" max="7" width="12.42578125" style="7" bestFit="1" customWidth="1" outlineLevel="1"/>
    <col min="8" max="8" width="14.85546875" style="10" customWidth="1"/>
    <col min="9" max="9" width="20.42578125" style="10" bestFit="1" customWidth="1"/>
    <col min="10" max="11" width="15.7109375" style="10" bestFit="1" customWidth="1"/>
    <col min="12" max="12" width="12.28515625" style="10" bestFit="1" customWidth="1"/>
    <col min="13" max="13" width="11.28515625" style="6" bestFit="1" customWidth="1"/>
    <col min="14" max="14" width="13.5703125" style="6" bestFit="1" customWidth="1" outlineLevel="1"/>
    <col min="15" max="15" width="15.7109375" customWidth="1" outlineLevel="1"/>
    <col min="16" max="16" width="9.85546875" customWidth="1" outlineLevel="1"/>
    <col min="17" max="17" width="15.85546875" customWidth="1" outlineLevel="1"/>
    <col min="18" max="18" width="3.7109375" style="3" customWidth="1"/>
  </cols>
  <sheetData>
    <row r="1" spans="1:19" ht="65.25" customHeight="1" x14ac:dyDescent="0.25">
      <c r="A1" s="3"/>
      <c r="B1" s="8"/>
      <c r="C1" s="8"/>
      <c r="D1" s="3"/>
      <c r="E1" s="21"/>
      <c r="F1" s="21"/>
      <c r="G1" s="21"/>
      <c r="N1" s="3"/>
      <c r="O1" s="3"/>
      <c r="P1" s="3"/>
      <c r="R1"/>
    </row>
    <row r="2" spans="1:19" x14ac:dyDescent="0.25">
      <c r="A2" s="8"/>
      <c r="B2" s="8"/>
      <c r="C2" s="8"/>
      <c r="D2" s="8"/>
      <c r="E2" s="8"/>
      <c r="F2" s="8"/>
      <c r="G2" s="8"/>
      <c r="H2" s="8"/>
      <c r="I2" s="8"/>
      <c r="J2" s="19" t="s">
        <v>78</v>
      </c>
      <c r="K2" s="19" t="s">
        <v>78</v>
      </c>
      <c r="L2" s="8"/>
      <c r="M2" s="8"/>
      <c r="N2" s="8"/>
      <c r="O2" s="8"/>
      <c r="P2" s="8"/>
      <c r="Q2" s="8"/>
      <c r="R2"/>
    </row>
    <row r="3" spans="1:19" x14ac:dyDescent="0.25">
      <c r="A3" s="6" t="s">
        <v>12</v>
      </c>
      <c r="B3" s="9" t="s">
        <v>3</v>
      </c>
      <c r="C3" s="9" t="s">
        <v>2</v>
      </c>
      <c r="D3" s="6" t="s">
        <v>10</v>
      </c>
      <c r="E3" s="7" t="s">
        <v>22</v>
      </c>
      <c r="F3" s="7" t="s">
        <v>23</v>
      </c>
      <c r="G3" s="7" t="s">
        <v>24</v>
      </c>
      <c r="H3" s="10" t="s">
        <v>1</v>
      </c>
      <c r="I3" s="10" t="s">
        <v>79</v>
      </c>
      <c r="J3" s="7" t="s">
        <v>83</v>
      </c>
      <c r="K3" s="7" t="s">
        <v>77</v>
      </c>
      <c r="L3" s="20" t="s">
        <v>72</v>
      </c>
      <c r="M3" s="6" t="s">
        <v>14</v>
      </c>
      <c r="N3" s="6" t="s">
        <v>15</v>
      </c>
      <c r="O3" t="s">
        <v>16</v>
      </c>
      <c r="P3" t="s">
        <v>13</v>
      </c>
      <c r="Q3" t="s">
        <v>47</v>
      </c>
      <c r="R3"/>
    </row>
    <row r="4" spans="1:19" x14ac:dyDescent="0.25">
      <c r="A4" s="26" t="s">
        <v>106</v>
      </c>
      <c r="B4" s="25" t="s">
        <v>119</v>
      </c>
      <c r="C4" s="25"/>
      <c r="D4" s="26"/>
      <c r="E4" s="26" t="s">
        <v>126</v>
      </c>
      <c r="F4" s="26"/>
      <c r="G4" s="26" t="s">
        <v>120</v>
      </c>
      <c r="H4" s="31" t="s">
        <v>133</v>
      </c>
      <c r="I4" s="29">
        <v>0.5</v>
      </c>
      <c r="J4" s="29" t="s">
        <v>99</v>
      </c>
      <c r="K4" s="30" t="s">
        <v>99</v>
      </c>
      <c r="L4" s="27">
        <v>0.74999999982537702</v>
      </c>
      <c r="M4" s="26"/>
      <c r="N4" s="26" t="s">
        <v>19</v>
      </c>
      <c r="O4" s="28">
        <v>43817.078483796293</v>
      </c>
      <c r="P4" s="26" t="s">
        <v>99</v>
      </c>
      <c r="Q4" s="26" t="s">
        <v>118</v>
      </c>
    </row>
    <row r="5" spans="1:19" x14ac:dyDescent="0.25">
      <c r="A5" s="26" t="s">
        <v>100</v>
      </c>
      <c r="B5" s="25" t="s">
        <v>129</v>
      </c>
      <c r="C5" s="25"/>
      <c r="D5" s="26"/>
      <c r="E5" s="26"/>
      <c r="F5" s="26"/>
      <c r="G5" s="26" t="s">
        <v>124</v>
      </c>
      <c r="H5" s="31" t="s">
        <v>133</v>
      </c>
      <c r="I5" s="29">
        <v>0.75</v>
      </c>
      <c r="J5" s="29" t="s">
        <v>99</v>
      </c>
      <c r="K5" s="30" t="s">
        <v>99</v>
      </c>
      <c r="L5" s="27">
        <v>0.99999999994179201</v>
      </c>
      <c r="M5" s="26"/>
      <c r="N5" s="26" t="s">
        <v>19</v>
      </c>
      <c r="O5" s="28">
        <v>43817.07885416667</v>
      </c>
      <c r="P5" s="26" t="s">
        <v>99</v>
      </c>
      <c r="Q5" s="26" t="s">
        <v>113</v>
      </c>
    </row>
    <row r="6" spans="1:19" x14ac:dyDescent="0.25">
      <c r="A6" s="26" t="s">
        <v>101</v>
      </c>
      <c r="B6" s="25" t="s">
        <v>114</v>
      </c>
      <c r="C6" s="25"/>
      <c r="D6" s="26"/>
      <c r="E6" s="26"/>
      <c r="F6" s="26"/>
      <c r="G6" s="26" t="s">
        <v>124</v>
      </c>
      <c r="H6" s="31" t="s">
        <v>97</v>
      </c>
      <c r="I6" s="29">
        <v>0.25</v>
      </c>
      <c r="J6" s="29">
        <v>0.375</v>
      </c>
      <c r="K6" s="30">
        <v>43818.348946759259</v>
      </c>
      <c r="L6" s="27">
        <v>0</v>
      </c>
      <c r="M6" s="26"/>
      <c r="N6" s="26" t="s">
        <v>19</v>
      </c>
      <c r="O6" s="28"/>
      <c r="P6" s="26">
        <v>3</v>
      </c>
      <c r="Q6" s="26" t="s">
        <v>115</v>
      </c>
    </row>
    <row r="7" spans="1:19" x14ac:dyDescent="0.25">
      <c r="A7" s="26" t="s">
        <v>96</v>
      </c>
      <c r="B7" s="25" t="s">
        <v>112</v>
      </c>
      <c r="C7" s="25"/>
      <c r="D7" s="26"/>
      <c r="E7" s="26"/>
      <c r="F7" s="26"/>
      <c r="G7" s="26" t="s">
        <v>124</v>
      </c>
      <c r="H7" s="31" t="s">
        <v>97</v>
      </c>
      <c r="I7" s="29">
        <v>1</v>
      </c>
      <c r="J7" s="29">
        <v>1.52</v>
      </c>
      <c r="K7" s="30">
        <v>43818.396678240744</v>
      </c>
      <c r="L7" s="27">
        <v>0.24999999994179201</v>
      </c>
      <c r="M7" s="26"/>
      <c r="N7" s="26" t="s">
        <v>19</v>
      </c>
      <c r="O7" s="28"/>
      <c r="P7" s="26">
        <v>2</v>
      </c>
      <c r="Q7" s="26" t="s">
        <v>111</v>
      </c>
    </row>
    <row r="8" spans="1:19" x14ac:dyDescent="0.25">
      <c r="A8" s="26" t="s">
        <v>105</v>
      </c>
      <c r="B8" s="25" t="s">
        <v>117</v>
      </c>
      <c r="C8" s="25"/>
      <c r="D8" s="26"/>
      <c r="E8" s="26"/>
      <c r="F8" s="26"/>
      <c r="G8" s="26" t="s">
        <v>122</v>
      </c>
      <c r="H8" s="31" t="s">
        <v>97</v>
      </c>
      <c r="I8" s="29">
        <v>2</v>
      </c>
      <c r="J8" s="29">
        <v>4.415</v>
      </c>
      <c r="K8" s="30">
        <v>43818.51730324074</v>
      </c>
      <c r="L8" s="27">
        <v>0</v>
      </c>
      <c r="M8" s="26"/>
      <c r="N8" s="26" t="s">
        <v>19</v>
      </c>
      <c r="O8" s="28"/>
      <c r="P8" s="26">
        <v>1</v>
      </c>
      <c r="Q8" s="26" t="s">
        <v>116</v>
      </c>
    </row>
    <row r="9" spans="1:19" x14ac:dyDescent="0.25">
      <c r="A9" s="26"/>
      <c r="B9" s="25"/>
      <c r="C9" s="25"/>
      <c r="D9" s="26"/>
      <c r="E9" s="26"/>
      <c r="F9" s="26"/>
      <c r="G9" s="26"/>
      <c r="H9" s="31"/>
      <c r="I9" s="29"/>
      <c r="J9" s="29"/>
      <c r="K9" s="30"/>
      <c r="L9" s="27"/>
      <c r="M9" s="26"/>
      <c r="N9" s="26"/>
      <c r="O9" s="28"/>
      <c r="P9" s="26"/>
      <c r="Q9" s="26"/>
    </row>
    <row r="10" spans="1:19" x14ac:dyDescent="0.25">
      <c r="A10" s="26"/>
      <c r="B10" s="25"/>
      <c r="C10" s="25"/>
      <c r="D10" s="26"/>
      <c r="E10" s="26"/>
      <c r="F10" s="26"/>
      <c r="G10" s="26"/>
      <c r="H10" s="31"/>
      <c r="I10" s="29"/>
      <c r="J10" s="29"/>
      <c r="K10" s="30"/>
      <c r="L10" s="27"/>
      <c r="M10" s="26"/>
      <c r="N10" s="26"/>
      <c r="O10" s="28"/>
      <c r="P10" s="26"/>
      <c r="Q10" s="26"/>
    </row>
    <row r="11" spans="1:19" x14ac:dyDescent="0.25">
      <c r="S11" s="8"/>
    </row>
    <row r="15" spans="1:19" x14ac:dyDescent="0.25">
      <c r="B15" s="12"/>
    </row>
    <row r="39" spans="19:19" x14ac:dyDescent="0.25">
      <c r="S39" t="s">
        <v>89</v>
      </c>
    </row>
  </sheetData>
  <dataConsolidate/>
  <conditionalFormatting sqref="D1 D3:D1048576">
    <cfRule type="containsText" dxfId="42" priority="5" operator="containsText" text="&lt;current">
      <formula>NOT(ISERROR(SEARCH("&lt;current",D1)))</formula>
    </cfRule>
  </conditionalFormatting>
  <conditionalFormatting sqref="H1:N1 H3:N3 J2:K2 H11:N1048576 H4:J10 L4:N8">
    <cfRule type="containsText" dxfId="41" priority="6" operator="containsText" text="Done">
      <formula>NOT(ISERROR(SEARCH("Done",H1)))</formula>
    </cfRule>
    <cfRule type="containsText" dxfId="40" priority="7" operator="containsText" text="In progress">
      <formula>NOT(ISERROR(SEARCH("In progress",H1)))</formula>
    </cfRule>
    <cfRule type="containsText" dxfId="39" priority="8" operator="containsText" text="To do">
      <formula>NOT(ISERROR(SEARCH("To do",H1)))</formula>
    </cfRule>
  </conditionalFormatting>
  <conditionalFormatting sqref="P3:P1048576 P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7">
    <dataValidation type="list" allowBlank="1" showInputMessage="1" showErrorMessage="1" sqref="J2" xr:uid="{97887939-3BEB-4208-B392-81AF3EE745BF}">
      <formula1>"cumulative, single"</formula1>
    </dataValidation>
    <dataValidation type="list" allowBlank="1" showInputMessage="1" showErrorMessage="1" sqref="K2" xr:uid="{AE25932B-CEE6-4C5E-83FE-7FE3F6CE570D}">
      <formula1>"cumulative,single"</formula1>
    </dataValidation>
    <dataValidation type="list" allowBlank="1" showInputMessage="1" showErrorMessage="1" sqref="H4:H8" xr:uid="{6C3476F0-112C-4267-BE3C-B2374FE0AF43}">
      <formula1>"To do,In progress,Done"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N4:N8" xr:uid="{3ECC8279-A030-4FE8-A745-B48DD7D83552}">
      <formula1>"Me"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F4:F8" xr:uid="{29D13052-4FB0-43E9-990C-1B364C3CC11B}">
      <formula1>"one"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:G8" xr:uid="{1FE9B0C4-028E-4EC5-99B3-52E5431C790A}">
      <formula1>"Preparation,Non food,Food"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E4:E8" xr:uid="{9F542B9B-6457-4DF0-A686-12CFDB2D0871}">
      <formula1>"Important"</formula1>
    </dataValidation>
  </dataValidations>
  <hyperlinks>
    <hyperlink ref="B7" location="Planning!A1" display="Planning!A1" xr:uid="{E7E9EB20-9A6A-43A4-85F6-0260588D6383}"/>
    <hyperlink ref="B5" location="Planning!A1" display="Planning!A1" xr:uid="{FCF18BA7-767E-42AC-9D94-128940FF679B}"/>
    <hyperlink ref="B6" location="Planning!A1" display="Planning!A1" xr:uid="{F2059489-B87D-48E9-ACF8-FDDAAE5BAA21}"/>
    <hyperlink ref="B8" location="Planning!A1" display="Planning!A1" xr:uid="{8CFA1261-F85D-4859-A4DC-8DA15B465660}"/>
    <hyperlink ref="B4" location="Planning!A1" display="Planning!A1" xr:uid="{FB1E17D5-9329-412C-A215-AF443F84EE83}"/>
  </hyperlink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1</xdr:col>
                    <xdr:colOff>819150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3</xdr:col>
                    <xdr:colOff>314325</xdr:colOff>
                    <xdr:row>0</xdr:row>
                    <xdr:rowOff>85725</xdr:rowOff>
                  </from>
                  <to>
                    <xdr:col>5</xdr:col>
                    <xdr:colOff>228600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2</xdr:col>
                    <xdr:colOff>542925</xdr:colOff>
                    <xdr:row>0</xdr:row>
                    <xdr:rowOff>352425</xdr:rowOff>
                  </from>
                  <to>
                    <xdr:col>3</xdr:col>
                    <xdr:colOff>266700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2</xdr:col>
                    <xdr:colOff>542925</xdr:colOff>
                    <xdr:row>0</xdr:row>
                    <xdr:rowOff>85725</xdr:rowOff>
                  </from>
                  <to>
                    <xdr:col>3</xdr:col>
                    <xdr:colOff>266700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1</xdr:col>
                    <xdr:colOff>904875</xdr:colOff>
                    <xdr:row>0</xdr:row>
                    <xdr:rowOff>561975</xdr:rowOff>
                  </from>
                  <to>
                    <xdr:col>2</xdr:col>
                    <xdr:colOff>200025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1</xdr:col>
                    <xdr:colOff>914400</xdr:colOff>
                    <xdr:row>0</xdr:row>
                    <xdr:rowOff>85725</xdr:rowOff>
                  </from>
                  <to>
                    <xdr:col>2</xdr:col>
                    <xdr:colOff>209550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5</xdr:col>
                    <xdr:colOff>266700</xdr:colOff>
                    <xdr:row>0</xdr:row>
                    <xdr:rowOff>76200</xdr:rowOff>
                  </from>
                  <to>
                    <xdr:col>7</xdr:col>
                    <xdr:colOff>257175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5</xdr:col>
                    <xdr:colOff>266700</xdr:colOff>
                    <xdr:row>0</xdr:row>
                    <xdr:rowOff>333375</xdr:rowOff>
                  </from>
                  <to>
                    <xdr:col>7</xdr:col>
                    <xdr:colOff>257175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7</xdr:col>
                    <xdr:colOff>314325</xdr:colOff>
                    <xdr:row>0</xdr:row>
                    <xdr:rowOff>66675</xdr:rowOff>
                  </from>
                  <to>
                    <xdr:col>9</xdr:col>
                    <xdr:colOff>38100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7</xdr:col>
                    <xdr:colOff>314325</xdr:colOff>
                    <xdr:row>0</xdr:row>
                    <xdr:rowOff>333375</xdr:rowOff>
                  </from>
                  <to>
                    <xdr:col>9</xdr:col>
                    <xdr:colOff>38100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3</xdr:col>
                    <xdr:colOff>314325</xdr:colOff>
                    <xdr:row>0</xdr:row>
                    <xdr:rowOff>352425</xdr:rowOff>
                  </from>
                  <to>
                    <xdr:col>5</xdr:col>
                    <xdr:colOff>228600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5</xdr:col>
                    <xdr:colOff>266700</xdr:colOff>
                    <xdr:row>0</xdr:row>
                    <xdr:rowOff>590550</xdr:rowOff>
                  </from>
                  <to>
                    <xdr:col>7</xdr:col>
                    <xdr:colOff>257175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39880-FEF9-49E7-BBD8-4ACABDA44FD6}">
  <sheetPr codeName="EbsSheetTemplate1"/>
  <dimension ref="A15:T48"/>
  <sheetViews>
    <sheetView workbookViewId="0">
      <selection activeCell="G19" sqref="G19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5" t="s">
        <v>75</v>
      </c>
      <c r="F15" s="33" t="s">
        <v>136</v>
      </c>
      <c r="G15" s="34"/>
      <c r="H15" s="34"/>
    </row>
    <row r="16" spans="5:8" x14ac:dyDescent="0.25">
      <c r="E16" s="15" t="s">
        <v>74</v>
      </c>
      <c r="F16" s="33" t="s">
        <v>37</v>
      </c>
      <c r="G16" s="34"/>
      <c r="H16" s="34"/>
    </row>
    <row r="17" spans="1:20" x14ac:dyDescent="0.25">
      <c r="J17" s="11" t="s">
        <v>44</v>
      </c>
      <c r="K17" s="11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A19" t="s">
        <v>96</v>
      </c>
      <c r="B19" s="18">
        <v>43817.078981481478</v>
      </c>
      <c r="C19" t="s">
        <v>135</v>
      </c>
      <c r="D19" t="s">
        <v>27</v>
      </c>
      <c r="E19" t="s">
        <v>98</v>
      </c>
      <c r="F19" t="s">
        <v>147</v>
      </c>
      <c r="G19" t="s">
        <v>148</v>
      </c>
      <c r="H19" t="s">
        <v>134</v>
      </c>
      <c r="J19" t="s">
        <v>96</v>
      </c>
      <c r="K19" t="s">
        <v>115</v>
      </c>
      <c r="L19">
        <v>3</v>
      </c>
      <c r="M19" s="2">
        <v>0</v>
      </c>
      <c r="N19" s="2">
        <v>0.25</v>
      </c>
      <c r="O19" t="s">
        <v>137</v>
      </c>
      <c r="P19" t="s">
        <v>137</v>
      </c>
      <c r="Q19" t="s">
        <v>137</v>
      </c>
      <c r="R19" t="s">
        <v>98</v>
      </c>
      <c r="S19" t="s">
        <v>138</v>
      </c>
      <c r="T19" t="s">
        <v>139</v>
      </c>
    </row>
    <row r="20" spans="1:20" x14ac:dyDescent="0.25">
      <c r="B20" s="18"/>
      <c r="J20" t="s">
        <v>100</v>
      </c>
      <c r="K20" t="s">
        <v>111</v>
      </c>
      <c r="L20">
        <v>2</v>
      </c>
      <c r="M20" s="2">
        <v>0.24999999994179201</v>
      </c>
      <c r="N20" s="2">
        <v>1</v>
      </c>
      <c r="O20" t="s">
        <v>140</v>
      </c>
      <c r="P20" t="s">
        <v>141</v>
      </c>
      <c r="Q20" t="s">
        <v>142</v>
      </c>
      <c r="R20" t="s">
        <v>98</v>
      </c>
      <c r="S20" t="s">
        <v>143</v>
      </c>
      <c r="T20" t="s">
        <v>144</v>
      </c>
    </row>
    <row r="21" spans="1:20" x14ac:dyDescent="0.25">
      <c r="B21" s="18"/>
      <c r="J21" t="s">
        <v>101</v>
      </c>
      <c r="K21" t="s">
        <v>116</v>
      </c>
      <c r="L21">
        <v>1</v>
      </c>
      <c r="M21" s="2">
        <v>0</v>
      </c>
      <c r="N21" s="2">
        <v>2</v>
      </c>
      <c r="O21" t="s">
        <v>145</v>
      </c>
      <c r="P21" t="s">
        <v>145</v>
      </c>
      <c r="Q21" t="s">
        <v>146</v>
      </c>
      <c r="R21" t="s">
        <v>98</v>
      </c>
      <c r="S21" t="s">
        <v>147</v>
      </c>
      <c r="T21" t="s">
        <v>148</v>
      </c>
    </row>
    <row r="22" spans="1:20" x14ac:dyDescent="0.25">
      <c r="B22" s="18"/>
      <c r="M22" s="2"/>
      <c r="N22" s="2"/>
    </row>
    <row r="23" spans="1:20" x14ac:dyDescent="0.25">
      <c r="B23" s="18"/>
      <c r="M23" s="2"/>
      <c r="N23" s="2"/>
    </row>
    <row r="24" spans="1:20" x14ac:dyDescent="0.25">
      <c r="B24" s="18"/>
      <c r="M24" s="2"/>
      <c r="N24" s="2"/>
    </row>
    <row r="25" spans="1:20" x14ac:dyDescent="0.25">
      <c r="B25" s="18"/>
      <c r="M25" s="2"/>
      <c r="N25" s="2"/>
    </row>
    <row r="26" spans="1:20" x14ac:dyDescent="0.25">
      <c r="B26" s="18"/>
    </row>
    <row r="27" spans="1:20" x14ac:dyDescent="0.25">
      <c r="B27" s="18"/>
    </row>
    <row r="28" spans="1:20" x14ac:dyDescent="0.25">
      <c r="B28" s="18"/>
    </row>
    <row r="29" spans="1:20" x14ac:dyDescent="0.25">
      <c r="B29" s="18"/>
    </row>
    <row r="30" spans="1:20" x14ac:dyDescent="0.25">
      <c r="B30" s="18"/>
    </row>
    <row r="31" spans="1:20" x14ac:dyDescent="0.25">
      <c r="B31" s="18"/>
    </row>
    <row r="32" spans="1:20" x14ac:dyDescent="0.25">
      <c r="B32" s="18"/>
    </row>
    <row r="33" spans="2:2" x14ac:dyDescent="0.25">
      <c r="B33" s="18"/>
    </row>
    <row r="34" spans="2:2" x14ac:dyDescent="0.25">
      <c r="B34" s="18"/>
    </row>
    <row r="35" spans="2:2" x14ac:dyDescent="0.25">
      <c r="B35" s="18"/>
    </row>
    <row r="36" spans="2:2" x14ac:dyDescent="0.25">
      <c r="B36" s="18"/>
    </row>
    <row r="37" spans="2:2" x14ac:dyDescent="0.25">
      <c r="B37" s="18"/>
    </row>
    <row r="38" spans="2:2" x14ac:dyDescent="0.25">
      <c r="B38" s="18"/>
    </row>
    <row r="39" spans="2:2" x14ac:dyDescent="0.25">
      <c r="B39" s="18"/>
    </row>
    <row r="40" spans="2:2" x14ac:dyDescent="0.25">
      <c r="B40" s="18"/>
    </row>
    <row r="41" spans="2:2" x14ac:dyDescent="0.25">
      <c r="B41" s="18"/>
    </row>
    <row r="42" spans="2:2" x14ac:dyDescent="0.25">
      <c r="B42" s="18"/>
    </row>
    <row r="43" spans="2:2" x14ac:dyDescent="0.25">
      <c r="B43" s="18"/>
    </row>
    <row r="46" spans="2:2" x14ac:dyDescent="0.25">
      <c r="B46" s="18"/>
    </row>
    <row r="47" spans="2:2" x14ac:dyDescent="0.25">
      <c r="B47" s="18"/>
    </row>
    <row r="48" spans="2:2" x14ac:dyDescent="0.25">
      <c r="B48" s="18"/>
    </row>
  </sheetData>
  <mergeCells count="2">
    <mergeCell ref="F15:H15"/>
    <mergeCell ref="F16:H16"/>
  </mergeCells>
  <conditionalFormatting sqref="D1:D1048576">
    <cfRule type="containsText" dxfId="20" priority="1" operator="containsText" text="No">
      <formula>NOT(ISERROR(SEARCH("No",D1)))</formula>
    </cfRule>
    <cfRule type="containsText" dxfId="19" priority="2" operator="containsText" text="Yes">
      <formula>NOT(ISERROR(SEARCH("Yes",D1)))</formula>
    </cfRule>
  </conditionalFormatting>
  <dataValidations count="3">
    <dataValidation type="list" allowBlank="1" showInputMessage="1" showErrorMessage="1" sqref="D19" xr:uid="{CC114084-1C82-4FF9-8F0F-70BF6BA64AD0}">
      <formula1>"Yes,No"</formula1>
    </dataValidation>
    <dataValidation type="list" allowBlank="1" showInputMessage="1" showErrorMessage="1" sqref="F16" xr:uid="{DF276DEA-550E-4FB5-9537-1C5012D891AE}">
      <formula1>"Time,Date"</formula1>
    </dataValidation>
    <dataValidation type="list" allowBlank="1" showInputMessage="1" showErrorMessage="1" sqref="F15:H15" xr:uid="{BBC9F402-9C49-40D0-A347-6B610D81C626}">
      <formula1>"Last, Last 100 days, All"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3"/>
  <sheetViews>
    <sheetView tabSelected="1" workbookViewId="0">
      <selection activeCell="F24" sqref="F24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4" t="s">
        <v>25</v>
      </c>
    </row>
    <row r="2" spans="1:10" x14ac:dyDescent="0.25">
      <c r="H2" s="35" t="s">
        <v>175</v>
      </c>
    </row>
    <row r="3" spans="1:10" x14ac:dyDescent="0.25">
      <c r="A3" t="s">
        <v>15</v>
      </c>
      <c r="B3" s="2" t="s">
        <v>61</v>
      </c>
      <c r="C3" s="2" t="s">
        <v>90</v>
      </c>
      <c r="D3" s="2" t="s">
        <v>91</v>
      </c>
      <c r="E3" s="2" t="s">
        <v>66</v>
      </c>
      <c r="F3" t="s">
        <v>63</v>
      </c>
      <c r="G3" t="s">
        <v>64</v>
      </c>
      <c r="H3" t="s">
        <v>62</v>
      </c>
      <c r="I3" t="s">
        <v>68</v>
      </c>
      <c r="J3" t="s">
        <v>67</v>
      </c>
    </row>
    <row r="4" spans="1:10" x14ac:dyDescent="0.25">
      <c r="A4" t="s">
        <v>19</v>
      </c>
      <c r="B4" s="13" t="s">
        <v>107</v>
      </c>
      <c r="C4" t="s">
        <v>108</v>
      </c>
      <c r="D4" t="s">
        <v>92</v>
      </c>
      <c r="E4" s="14" t="s">
        <v>84</v>
      </c>
      <c r="F4" s="14">
        <v>0.33333333333333331</v>
      </c>
      <c r="G4" s="14">
        <v>0.77083333333333337</v>
      </c>
      <c r="H4" t="s">
        <v>65</v>
      </c>
      <c r="I4" s="2">
        <v>0.25</v>
      </c>
      <c r="J4" s="2">
        <f>5/60</f>
        <v>8.3333333333333329E-2</v>
      </c>
    </row>
    <row r="5" spans="1:10" x14ac:dyDescent="0.25">
      <c r="B5" s="5"/>
      <c r="C5" s="5"/>
      <c r="D5" s="5"/>
      <c r="E5" s="5"/>
    </row>
    <row r="6" spans="1:10" x14ac:dyDescent="0.25">
      <c r="A6" t="s">
        <v>80</v>
      </c>
      <c r="B6" s="22"/>
      <c r="C6" s="22"/>
      <c r="D6" s="22"/>
      <c r="E6" s="5"/>
    </row>
    <row r="7" spans="1:10" x14ac:dyDescent="0.25">
      <c r="A7" t="s">
        <v>81</v>
      </c>
      <c r="B7" s="24"/>
      <c r="C7" s="24"/>
      <c r="D7" s="24"/>
    </row>
    <row r="8" spans="1:10" x14ac:dyDescent="0.25">
      <c r="A8" t="s">
        <v>82</v>
      </c>
      <c r="B8" s="23"/>
      <c r="C8" s="23"/>
      <c r="D8" s="23"/>
      <c r="E8" s="5"/>
    </row>
    <row r="10" spans="1:10" x14ac:dyDescent="0.25">
      <c r="B10" t="s">
        <v>94</v>
      </c>
      <c r="C10" t="s">
        <v>108</v>
      </c>
    </row>
    <row r="11" spans="1:10" x14ac:dyDescent="0.25">
      <c r="B11" t="s">
        <v>93</v>
      </c>
      <c r="C11" t="s">
        <v>109</v>
      </c>
      <c r="D11" s="2"/>
      <c r="E11" s="2"/>
    </row>
    <row r="12" spans="1:10" x14ac:dyDescent="0.25">
      <c r="B12" s="2" t="s">
        <v>95</v>
      </c>
      <c r="C12" s="13" t="s">
        <v>110</v>
      </c>
    </row>
    <row r="15" spans="1:10" x14ac:dyDescent="0.25">
      <c r="A15" t="s">
        <v>85</v>
      </c>
    </row>
    <row r="23" spans="1:2" x14ac:dyDescent="0.25">
      <c r="A23" t="s">
        <v>102</v>
      </c>
      <c r="B23" s="22" t="s">
        <v>130</v>
      </c>
    </row>
  </sheetData>
  <hyperlinks>
    <hyperlink ref="A1" location="Planning!A1" display="Go back to 'Planning' sheet" xr:uid="{D2DA156D-5AF1-4194-A684-BD3896B6772A}"/>
    <hyperlink ref="B4" r:id="rId1" xr:uid="{7006A74D-ABE9-4DBF-ACE1-D216F7E80B7E}"/>
    <hyperlink ref="C12" r:id="rId2" xr:uid="{18307CDB-A2D2-4AD5-8301-7C34BF2D1214}"/>
  </hyperlinks>
  <pageMargins left="0.7" right="0.7" top="0.78740157499999996" bottom="0.78740157499999996" header="0.3" footer="0.3"/>
  <pageSetup paperSize="9" orientation="portrait" horizontalDpi="300" verticalDpi="0" copies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6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7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8</xdr:row>
                    <xdr:rowOff>180975</xdr:rowOff>
                  </from>
                  <to>
                    <xdr:col>1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8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18</xdr:row>
                    <xdr:rowOff>171450</xdr:rowOff>
                  </from>
                  <to>
                    <xdr:col>0</xdr:col>
                    <xdr:colOff>1638300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9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20</xdr:row>
                    <xdr:rowOff>180975</xdr:rowOff>
                  </from>
                  <to>
                    <xdr:col>0</xdr:col>
                    <xdr:colOff>1638300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5"/>
  <sheetViews>
    <sheetView workbookViewId="0"/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99</v>
      </c>
    </row>
    <row r="3" spans="1:13" x14ac:dyDescent="0.25">
      <c r="A3" t="s">
        <v>79</v>
      </c>
      <c r="B3" s="2" t="s">
        <v>99</v>
      </c>
      <c r="C3" t="s">
        <v>4</v>
      </c>
    </row>
    <row r="4" spans="1:13" x14ac:dyDescent="0.25">
      <c r="A4" t="s">
        <v>0</v>
      </c>
      <c r="B4" s="2">
        <f>SUM(D:D)</f>
        <v>0</v>
      </c>
      <c r="C4" t="s">
        <v>4</v>
      </c>
    </row>
    <row r="5" spans="1:13" x14ac:dyDescent="0.25">
      <c r="A5" t="s">
        <v>14</v>
      </c>
      <c r="B5" s="5" t="s">
        <v>99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97</v>
      </c>
    </row>
    <row r="8" spans="1:13" x14ac:dyDescent="0.25">
      <c r="A8" t="s">
        <v>16</v>
      </c>
      <c r="B8" s="5" t="s">
        <v>99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99</v>
      </c>
    </row>
    <row r="11" spans="1:13" x14ac:dyDescent="0.25">
      <c r="A11" t="s">
        <v>5</v>
      </c>
      <c r="B11" s="2" t="e">
        <f>B3/B4</f>
        <v>#VALUE!</v>
      </c>
      <c r="C11" t="s">
        <v>6</v>
      </c>
    </row>
    <row r="12" spans="1:13" x14ac:dyDescent="0.25">
      <c r="A12" t="s">
        <v>103</v>
      </c>
    </row>
    <row r="13" spans="1:13" x14ac:dyDescent="0.25">
      <c r="A13" t="s">
        <v>104</v>
      </c>
    </row>
    <row r="14" spans="1:13" x14ac:dyDescent="0.25">
      <c r="A14" t="s">
        <v>11</v>
      </c>
      <c r="B14" t="s">
        <v>7</v>
      </c>
      <c r="C14" t="s">
        <v>8</v>
      </c>
      <c r="D14" t="s">
        <v>9</v>
      </c>
      <c r="E14" t="s">
        <v>10</v>
      </c>
      <c r="F14" t="s">
        <v>86</v>
      </c>
      <c r="G14" t="s">
        <v>87</v>
      </c>
      <c r="I14" t="s">
        <v>71</v>
      </c>
      <c r="J14" s="16" t="s">
        <v>69</v>
      </c>
      <c r="K14" s="2" t="s">
        <v>70</v>
      </c>
      <c r="L14" t="s">
        <v>72</v>
      </c>
      <c r="M14" t="s">
        <v>73</v>
      </c>
    </row>
    <row r="15" spans="1:13" x14ac:dyDescent="0.25">
      <c r="B15" s="1"/>
      <c r="C15" s="1"/>
      <c r="D15" s="2">
        <f>MAX((C15-B15)*24,0)</f>
        <v>0</v>
      </c>
      <c r="J15" s="16"/>
      <c r="K15" s="2"/>
      <c r="L15" s="2">
        <f>$B$4</f>
        <v>0</v>
      </c>
      <c r="M15" s="17" t="e">
        <f>Tabelle7367[[#This Row],[EBS self time]]/Tabelle7367[[#This Row],[Total time]]</f>
        <v>#DIV/0!</v>
      </c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47"/>
  <sheetViews>
    <sheetView topLeftCell="A19" workbookViewId="0">
      <selection activeCell="C24" sqref="C24"/>
    </sheetView>
  </sheetViews>
  <sheetFormatPr baseColWidth="10" defaultColWidth="11.42578125" defaultRowHeight="15" x14ac:dyDescent="0.25"/>
  <sheetData>
    <row r="1" spans="1:3" x14ac:dyDescent="0.25">
      <c r="A1" s="11" t="s">
        <v>34</v>
      </c>
    </row>
    <row r="2" spans="1:3" x14ac:dyDescent="0.25">
      <c r="A2" t="s">
        <v>20</v>
      </c>
    </row>
    <row r="3" spans="1:3" x14ac:dyDescent="0.25">
      <c r="A3" t="s">
        <v>21</v>
      </c>
    </row>
    <row r="5" spans="1:3" x14ac:dyDescent="0.25">
      <c r="A5" s="11" t="s">
        <v>28</v>
      </c>
    </row>
    <row r="6" spans="1:3" x14ac:dyDescent="0.25">
      <c r="A6" t="s">
        <v>29</v>
      </c>
    </row>
    <row r="7" spans="1:3" x14ac:dyDescent="0.25">
      <c r="B7" t="s">
        <v>30</v>
      </c>
    </row>
    <row r="8" spans="1:3" x14ac:dyDescent="0.25">
      <c r="B8" t="s">
        <v>31</v>
      </c>
    </row>
    <row r="9" spans="1:3" x14ac:dyDescent="0.25">
      <c r="A9" t="s">
        <v>32</v>
      </c>
    </row>
    <row r="10" spans="1:3" x14ac:dyDescent="0.25">
      <c r="B10" t="s">
        <v>33</v>
      </c>
    </row>
    <row r="11" spans="1:3" x14ac:dyDescent="0.25">
      <c r="A11" s="11" t="s">
        <v>46</v>
      </c>
    </row>
    <row r="12" spans="1:3" x14ac:dyDescent="0.25">
      <c r="A12" t="s">
        <v>29</v>
      </c>
    </row>
    <row r="13" spans="1:3" x14ac:dyDescent="0.25">
      <c r="B13" t="s">
        <v>45</v>
      </c>
    </row>
    <row r="14" spans="1:3" x14ac:dyDescent="0.25">
      <c r="A14" s="11" t="s">
        <v>51</v>
      </c>
    </row>
    <row r="15" spans="1:3" x14ac:dyDescent="0.25">
      <c r="B15" t="s">
        <v>52</v>
      </c>
    </row>
    <row r="16" spans="1:3" x14ac:dyDescent="0.25">
      <c r="C16" t="s">
        <v>53</v>
      </c>
    </row>
    <row r="17" spans="1:3" x14ac:dyDescent="0.25">
      <c r="C17" t="s">
        <v>55</v>
      </c>
    </row>
    <row r="18" spans="1:3" x14ac:dyDescent="0.25">
      <c r="B18" t="s">
        <v>56</v>
      </c>
    </row>
    <row r="19" spans="1:3" x14ac:dyDescent="0.25">
      <c r="B19" t="s">
        <v>54</v>
      </c>
    </row>
    <row r="20" spans="1:3" x14ac:dyDescent="0.25">
      <c r="A20" s="11" t="s">
        <v>57</v>
      </c>
    </row>
    <row r="21" spans="1:3" x14ac:dyDescent="0.25">
      <c r="B21" t="s">
        <v>58</v>
      </c>
    </row>
    <row r="23" spans="1:3" x14ac:dyDescent="0.25">
      <c r="A23" s="11" t="s">
        <v>152</v>
      </c>
      <c r="B23" s="11" t="s">
        <v>88</v>
      </c>
    </row>
    <row r="24" spans="1:3" x14ac:dyDescent="0.25">
      <c r="A24" t="s">
        <v>153</v>
      </c>
      <c r="C24">
        <v>709</v>
      </c>
    </row>
    <row r="25" spans="1:3" x14ac:dyDescent="0.25">
      <c r="A25" t="s">
        <v>154</v>
      </c>
      <c r="C25">
        <v>1714</v>
      </c>
    </row>
    <row r="26" spans="1:3" x14ac:dyDescent="0.25">
      <c r="A26" t="s">
        <v>155</v>
      </c>
      <c r="C26">
        <v>403</v>
      </c>
    </row>
    <row r="27" spans="1:3" x14ac:dyDescent="0.25">
      <c r="A27" t="s">
        <v>156</v>
      </c>
      <c r="C27">
        <v>1115</v>
      </c>
    </row>
    <row r="28" spans="1:3" x14ac:dyDescent="0.25">
      <c r="A28" t="s">
        <v>157</v>
      </c>
      <c r="C28">
        <v>255</v>
      </c>
    </row>
    <row r="29" spans="1:3" x14ac:dyDescent="0.25">
      <c r="A29" t="s">
        <v>158</v>
      </c>
      <c r="C29">
        <v>12</v>
      </c>
    </row>
    <row r="30" spans="1:3" x14ac:dyDescent="0.25">
      <c r="A30" t="s">
        <v>159</v>
      </c>
      <c r="C30">
        <v>643</v>
      </c>
    </row>
    <row r="31" spans="1:3" x14ac:dyDescent="0.25">
      <c r="A31" t="s">
        <v>160</v>
      </c>
      <c r="C31">
        <v>686</v>
      </c>
    </row>
    <row r="32" spans="1:3" x14ac:dyDescent="0.25">
      <c r="A32" t="s">
        <v>161</v>
      </c>
      <c r="C32">
        <v>788</v>
      </c>
    </row>
    <row r="33" spans="1:3" x14ac:dyDescent="0.25">
      <c r="A33" t="s">
        <v>162</v>
      </c>
      <c r="C33">
        <v>72</v>
      </c>
    </row>
    <row r="34" spans="1:3" x14ac:dyDescent="0.25">
      <c r="A34" t="s">
        <v>163</v>
      </c>
      <c r="C34">
        <v>1290</v>
      </c>
    </row>
    <row r="35" spans="1:3" x14ac:dyDescent="0.25">
      <c r="A35" t="s">
        <v>164</v>
      </c>
      <c r="C35">
        <v>53</v>
      </c>
    </row>
    <row r="36" spans="1:3" x14ac:dyDescent="0.25">
      <c r="A36" t="s">
        <v>165</v>
      </c>
      <c r="C36">
        <v>210</v>
      </c>
    </row>
    <row r="37" spans="1:3" x14ac:dyDescent="0.25">
      <c r="A37" t="s">
        <v>166</v>
      </c>
      <c r="C37">
        <v>28</v>
      </c>
    </row>
    <row r="38" spans="1:3" x14ac:dyDescent="0.25">
      <c r="A38" t="s">
        <v>167</v>
      </c>
      <c r="C38">
        <v>1168</v>
      </c>
    </row>
    <row r="39" spans="1:3" x14ac:dyDescent="0.25">
      <c r="A39" t="s">
        <v>168</v>
      </c>
      <c r="C39">
        <v>17</v>
      </c>
    </row>
    <row r="40" spans="1:3" x14ac:dyDescent="0.25">
      <c r="A40" t="s">
        <v>169</v>
      </c>
      <c r="C40">
        <v>84</v>
      </c>
    </row>
    <row r="41" spans="1:3" x14ac:dyDescent="0.25">
      <c r="A41" t="s">
        <v>170</v>
      </c>
      <c r="C41">
        <v>528</v>
      </c>
    </row>
    <row r="42" spans="1:3" x14ac:dyDescent="0.25">
      <c r="C42">
        <f>SUM(C24:C41)</f>
        <v>9775</v>
      </c>
    </row>
    <row r="44" spans="1:3" x14ac:dyDescent="0.25">
      <c r="B44" t="s">
        <v>174</v>
      </c>
    </row>
    <row r="45" spans="1:3" x14ac:dyDescent="0.25">
      <c r="B45" t="s">
        <v>171</v>
      </c>
    </row>
    <row r="46" spans="1:3" x14ac:dyDescent="0.25">
      <c r="B46" t="s">
        <v>172</v>
      </c>
    </row>
    <row r="47" spans="1:3" x14ac:dyDescent="0.25">
      <c r="B47" t="s">
        <v>173</v>
      </c>
    </row>
  </sheetData>
  <conditionalFormatting sqref="B24:B3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5" t="s">
        <v>75</v>
      </c>
      <c r="F15" s="33" t="s">
        <v>76</v>
      </c>
      <c r="G15" s="34"/>
      <c r="H15" s="34"/>
    </row>
    <row r="16" spans="5:8" x14ac:dyDescent="0.25">
      <c r="E16" s="15" t="s">
        <v>74</v>
      </c>
      <c r="F16" s="33" t="s">
        <v>37</v>
      </c>
      <c r="G16" s="34"/>
      <c r="H16" s="34"/>
    </row>
    <row r="17" spans="1:20" x14ac:dyDescent="0.25">
      <c r="J17" s="11" t="s">
        <v>44</v>
      </c>
      <c r="K17" s="11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B19" s="18"/>
      <c r="D19" t="s">
        <v>27</v>
      </c>
      <c r="M19" s="2"/>
      <c r="N19" s="2"/>
    </row>
    <row r="20" spans="1:20" x14ac:dyDescent="0.25">
      <c r="B20" s="18"/>
      <c r="M20" s="2"/>
      <c r="N20" s="2"/>
    </row>
    <row r="21" spans="1:20" x14ac:dyDescent="0.25">
      <c r="B21" s="18"/>
      <c r="M21" s="2"/>
      <c r="N21" s="2"/>
    </row>
    <row r="22" spans="1:20" x14ac:dyDescent="0.25">
      <c r="B22" s="18"/>
      <c r="M22" s="2"/>
      <c r="N22" s="2"/>
    </row>
    <row r="23" spans="1:20" x14ac:dyDescent="0.25">
      <c r="B23" s="18"/>
      <c r="M23" s="2"/>
      <c r="N23" s="2"/>
    </row>
    <row r="24" spans="1:20" x14ac:dyDescent="0.25">
      <c r="B24" s="18"/>
    </row>
    <row r="25" spans="1:20" x14ac:dyDescent="0.25">
      <c r="B25" s="18"/>
    </row>
    <row r="26" spans="1:20" x14ac:dyDescent="0.25">
      <c r="B26" s="18"/>
    </row>
    <row r="27" spans="1:20" x14ac:dyDescent="0.25">
      <c r="B27" s="18"/>
    </row>
    <row r="28" spans="1:20" x14ac:dyDescent="0.25">
      <c r="B28" s="18"/>
    </row>
    <row r="29" spans="1:20" x14ac:dyDescent="0.25">
      <c r="B29" s="18"/>
    </row>
    <row r="30" spans="1:20" x14ac:dyDescent="0.25">
      <c r="B30" s="18"/>
    </row>
    <row r="31" spans="1:20" x14ac:dyDescent="0.25">
      <c r="B31" s="18"/>
    </row>
    <row r="32" spans="1:20" x14ac:dyDescent="0.25">
      <c r="B32" s="18"/>
    </row>
    <row r="33" spans="2:2" x14ac:dyDescent="0.25">
      <c r="B33" s="18"/>
    </row>
    <row r="34" spans="2:2" x14ac:dyDescent="0.25">
      <c r="B34" s="18"/>
    </row>
    <row r="35" spans="2:2" x14ac:dyDescent="0.25">
      <c r="B35" s="18"/>
    </row>
    <row r="36" spans="2:2" x14ac:dyDescent="0.25">
      <c r="B36" s="18"/>
    </row>
    <row r="37" spans="2:2" x14ac:dyDescent="0.25">
      <c r="B37" s="18"/>
    </row>
    <row r="38" spans="2:2" x14ac:dyDescent="0.25">
      <c r="B38" s="18"/>
    </row>
    <row r="39" spans="2:2" x14ac:dyDescent="0.25">
      <c r="B39" s="18"/>
    </row>
    <row r="40" spans="2:2" x14ac:dyDescent="0.25">
      <c r="B40" s="18"/>
    </row>
    <row r="41" spans="2:2" x14ac:dyDescent="0.25">
      <c r="B41" s="18"/>
    </row>
    <row r="42" spans="2:2" x14ac:dyDescent="0.25">
      <c r="B42" s="18"/>
    </row>
    <row r="43" spans="2:2" x14ac:dyDescent="0.25">
      <c r="B43" s="18"/>
    </row>
    <row r="46" spans="2:2" x14ac:dyDescent="0.25">
      <c r="B46" s="18"/>
    </row>
    <row r="47" spans="2:2" x14ac:dyDescent="0.25">
      <c r="B47" s="18"/>
    </row>
    <row r="48" spans="2:2" x14ac:dyDescent="0.25">
      <c r="B48" s="18"/>
    </row>
  </sheetData>
  <mergeCells count="2">
    <mergeCell ref="F15:H15"/>
    <mergeCell ref="F16:H16"/>
  </mergeCells>
  <conditionalFormatting sqref="D1:D1048576">
    <cfRule type="containsText" dxfId="4" priority="1" operator="containsText" text="No">
      <formula>NOT(ISERROR(SEARCH("No",D1)))</formula>
    </cfRule>
    <cfRule type="containsText" dxfId="3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VSHEET_STOR_0291C6</vt:lpstr>
      <vt:lpstr>Planning</vt:lpstr>
      <vt:lpstr>EbsSheet (Me)</vt:lpstr>
      <vt:lpstr>Settings</vt:lpstr>
      <vt:lpstr>Task sheet template</vt:lpstr>
      <vt:lpstr>Version info</vt:lpstr>
      <vt:lpstr>EbsSheet 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2020-01-14T06:17:02Z</dcterms:modified>
  <cp:category/>
  <cp:contentStatus/>
</cp:coreProperties>
</file>