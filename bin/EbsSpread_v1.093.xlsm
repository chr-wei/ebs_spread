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670F7B09-FF77-4A29-9512-84E6909DDDE8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50344759B92C4C0A3" sheetId="965" state="hidden" r:id="rId2"/>
    <sheet name="t5C33AE2C601539DCA" sheetId="966" state="hidden" r:id="rId3"/>
    <sheet name="t35EBA085FF3A95514" sheetId="967" state="hidden" r:id="rId4"/>
    <sheet name="tD63F7F4494CABA67B" sheetId="968" state="hidden" r:id="rId5"/>
    <sheet name="tA4B130DB37AD50E73" sheetId="969" state="hidden" r:id="rId6"/>
    <sheet name="EbsSheet (Me)" sheetId="953" r:id="rId7"/>
    <sheet name="Settings" sheetId="418" r:id="rId8"/>
    <sheet name="Task sheet template" sheetId="5" state="hidden" r:id="rId9"/>
    <sheet name="Version info" sheetId="3" r:id="rId10"/>
    <sheet name="EbsSheet template" sheetId="44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969" l="1"/>
  <c r="D17" i="969"/>
  <c r="D16" i="969"/>
  <c r="D15" i="969"/>
  <c r="B4" i="969"/>
  <c r="B11" i="969" s="1"/>
  <c r="D17" i="968"/>
  <c r="D16" i="968"/>
  <c r="D15" i="968"/>
  <c r="B4" i="968" s="1"/>
  <c r="B11" i="968" s="1"/>
  <c r="D15" i="967"/>
  <c r="B4" i="967" s="1"/>
  <c r="B11" i="967" s="1"/>
  <c r="D15" i="966"/>
  <c r="B4" i="966" s="1"/>
  <c r="B11" i="966" s="1"/>
  <c r="D15" i="965"/>
  <c r="B4" i="965" s="1"/>
  <c r="B11" i="965" s="1"/>
  <c r="L15" i="5" l="1"/>
  <c r="B34" i="3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tc={DFB19EB3-E1D4-45B4-AA19-19FB58DE5775}</author>
  </authors>
  <commentList>
    <comment ref="P18" authorId="0" shapeId="0" xr:uid="{DFB19EB3-E1D4-45B4-AA19-19FB58DE577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<sst xmlns="http://schemas.openxmlformats.org/spreadsheetml/2006/main" count="436" uniqueCount="161">
  <si>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</si>
  <si>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</si>
  <si>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</si>
  <si>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</si>
  <si>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</si>
  <si>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</si>
  <si>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</si>
  <si>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</si>
  <si>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</si>
  <si>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</si>
  <si>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</si>
  <si>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</si>
  <si>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</si>
  <si>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</si>
  <si>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</si>
  <si>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</si>
  <si>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</si>
  <si>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</si>
  <si>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n/a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</si>
  <si>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</si>
  <si>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</si>
  <si>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</si>
  <si>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</si>
  <si>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</si>
  <si>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</si>
  <si>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</si>
  <si>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</si>
  <si>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EBS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</si>
  <si>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</si>
  <si>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</si>
  <si>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</si>
  <si>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</si>
  <si>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</si>
  <si>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</si>
  <si>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</si>
  <si>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</si>
  <si>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</si>
  <si>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</si>
  <si>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</si>
  <si>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</si>
  <si>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</si>
  <si>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</si>
  <si>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</si>
  <si>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</si>
  <si>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</si>
  <si>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</si>
  <si>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</si>
  <si>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</si>
  <si>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</si>
  <si>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</si>
  <si>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</si>
  <si>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</si>
  <si>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</si>
  <si>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</si>
  <si>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</si>
  <si>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</si>
  <si>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</si>
  <si>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</si>
  <si>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</si>
  <si>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</si>
  <si>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</si>
  <si>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</si>
  <si>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</si>
  <si>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</si>
  <si>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</si>
  <si>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</si>
  <si>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</si>
  <si>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</si>
  <si>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</si>
  <si>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</si>
  <si>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</si>
  <si>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</si>
  <si>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</si>
  <si>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</si>
  <si>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</si>
  <si>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</si>
  <si>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</si>
  <si>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</si>
  <si>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</si>
  <si>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</si>
  <si>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</si>
  <si>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</si>
  <si>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</si>
  <si>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</si>
  <si>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</si>
  <si>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</si>
  <si>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</si>
  <si>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</si>
  <si>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</si>
  <si>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</si>
  <si>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Utils</t>
  </si>
  <si>
    <t>TaskUtils</t>
  </si>
  <si>
    <t>SettingUtils</t>
  </si>
  <si>
    <t>SanityChecks</t>
  </si>
  <si>
    <t>Planning</t>
  </si>
  <si>
    <t>Constants</t>
  </si>
  <si>
    <t>Base</t>
  </si>
  <si>
    <t>Calendar</t>
  </si>
  <si>
    <t>Lines of code</t>
  </si>
  <si>
    <t>PlanningSheet</t>
  </si>
  <si>
    <t>v1.05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</si>
  <si>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</si>
  <si>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</si>
  <si>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</si>
  <si>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</si>
  <si>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</si>
  <si>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</si>
  <si>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</si>
  <si>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</si>
  <si>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</si>
  <si>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</si>
  <si>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</si>
  <si>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</si>
  <si>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</si>
  <si>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</si>
  <si>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</si>
  <si>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</si>
  <si>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</si>
  <si>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</si>
  <si>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</si>
  <si>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</si>
  <si>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</si>
  <si>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</si>
  <si>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</si>
  <si>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</si>
  <si>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tA4B130DB37AD50E73</t>
  </si>
  <si>
    <t>Buy strawberries</t>
  </si>
  <si>
    <t>t50344759B92C4C0A3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</si>
  <si>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</si>
  <si>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</si>
  <si>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</si>
  <si>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</si>
  <si>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</si>
  <si>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</si>
  <si>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</si>
  <si>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</si>
  <si>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</si>
  <si>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</si>
  <si>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</si>
  <si>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</si>
  <si>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</si>
  <si>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Buy chia seeds</t>
  </si>
  <si>
    <t>sheet.xlsm</t>
  </si>
  <si>
    <t>SetPlainDelta()</t>
  </si>
  <si>
    <t>SetCalendarDelta()</t>
  </si>
  <si>
    <t>Done</t>
  </si>
  <si>
    <t>e76B2037731D14B42C</t>
  </si>
  <si>
    <t>{0,750;0,667}</t>
  </si>
  <si>
    <t>Last</t>
  </si>
  <si>
    <t>{0,375;0,375;0,375;0,375;0,375;0,333;0,375;0,375;0,333;0,333;0,375;0,333;0,333;0,375;0,333;0,375;0,333;0,333;0,375;0,375;0,375;0,375;0,375;0,375;0,333;0,375;0,333;0,333;0,333;0,333;0,333;0,375;0,333;0,333;0,333;0,375;0,333;0,333;0,333;0,375;0,333;0,333;0,333;0,333;0,375;0,375;0,375;0,375;0,375;0,375}</t>
  </si>
  <si>
    <t>{0,333;0,333;0,333;0,375;0,375;0,375;0,375}</t>
  </si>
  <si>
    <t>{19/12/2019 08:20:00;19/12/2019 08:20:00;19/12/2019 08:20:00;19/12/2019 08:22:29;19/12/2019 08:22:29;19/12/2019 08:22:29;19/12/2019 08:22:29}</t>
  </si>
  <si>
    <t>{1,499;1,499;1,333;1,499;1,499;1,333;1,333;1,333;1,499;1,333;1,499;1,499;1,333;1,499;1,499;1,333;1,499;1,333;1,333;1,333;1,499;1,333;1,499;1,499;1,333;1,499;1,499;1,333;1,499;1,333;1,499;1,499;1,333;1,499;1,333;1,333;1,333;1,333;1,499;1,333;1,499;1,333;1,333;1,499;1,499;1,333;1,499;1,333;1,499;1,333}</t>
  </si>
  <si>
    <t>{1,249;1,249;1,083;1,249;1,249;1,083;1,083;1,083;1,249;1,083;1,249;1,249;1,083;1,249;1,249;1,083;1,249;1,083;1,083;1,083;1,249;1,083;1,249;1,249;1,083;1,249;1,249;1,083;1,249;1,083;1,249;1,249;1,083;1,249;1,083;1,083;1,083;1,083;1,249;1,083;1,249;1,083;1,083;1,249;1,249;1,083;1,249;1,083;1,249;1,083}</t>
  </si>
  <si>
    <t>{1,624;1,624;1,458;1,624;1,624;1,417;1,458;1,458;1,583;1,417;1,624;1,583;1,417;1,624;1,583;1,458;1,583;1,417;1,458;1,458;1,624;1,458;1,624;1,624;1,417;1,624;1,583;1,417;1,583;1,417;1,583;1,624;1,417;1,583;1,417;1,458;1,417;1,417;1,583;1,458;1,583;1,417;1,417;1,583;1,624;1,458;1,624;1,458;1,624;1,458}</t>
  </si>
  <si>
    <t>{1,417;1,417;1,458;1,520;1,583;1,624;1,624}</t>
  </si>
  <si>
    <t>{19/12/2019 09:25:00;19/12/2019 09:25:00;19/12/2019 09:27:29;19/12/2019 09:31:13;19/12/2019 09:34:57;19/12/2019 09:37:27;19/12/2019 09:37:27}</t>
  </si>
  <si>
    <t>{2,999;2,667;2,667;2,999;2,667;2,667;2,667;2,667;2,999;2,999;2,999;2,999;2,667;2,667;2,999;2,999;2,667;2,999;2,999;2,999;2,999;2,667;2,999;2,667;2,999;2,667;2,667;2,999;2,999;2,667;2,999;2,999;2,667;2,667;2,999;2,667;2,999;2,999;2,667;2,667;2,667;2,999;2,667;2,999;2,667;2,999;2,667;2,999;2,999;2,999}</t>
  </si>
  <si>
    <t>{4,623;4,291;4,125;4,623;4,291;4,083;4,125;4,125;4,581;4,415;4,623;4,581;4,083;4,291;4,581;4,457;4,249;4,415;4,457;4,457;4,623;4,125;4,623;4,291;4,415;4,291;4,249;4,415;4,581;4,083;4,581;4,623;4,083;4,249;4,415;4,125;4,415;4,415;4,249;4,125;4,249;4,415;4,083;4,581;4,291;4,457;4,291;4,457;4,623;4,457}</t>
  </si>
  <si>
    <t>{4,083;4,125;4,291;4,415;4,457;4,581;4,623}</t>
  </si>
  <si>
    <t>{19/12/2019 12:05:00;19/12/2019 12:07:29;19/12/2019 12:17:27;19/12/2019 12:24:55;19/12/2019 12:27:24;19/12/2019 12:34:52;19/12/2019 12:37:21}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</si>
</sst>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</cellStyleXfs>
  <cellXfs count="3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7" fillId="0" borderId="0" xfId="2" applyFo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4">
    <cellStyle name="Eingabe" xfId="3" builtinId="20"/>
    <cellStyle name="Link" xfId="2" builtinId="8"/>
    <cellStyle name="Spaltenebene_1" xfId="1" builtinId="2" iLevel="0"/>
    <cellStyle name="Standard" xfId="0" builtinId="0"/>
  </cellStyles>
  <dxfs count="79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18/12/2019 01:53:44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5A4-470F-A770-2113D7D1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4.0830000000000002</c:v>
              </c:pt>
              <c:pt idx="1">
                <c:v>4.0830000000000002</c:v>
              </c:pt>
              <c:pt idx="2">
                <c:v>4.0830000000000002</c:v>
              </c:pt>
              <c:pt idx="3">
                <c:v>4.0830000000000002</c:v>
              </c:pt>
              <c:pt idx="4">
                <c:v>4.0830000000000002</c:v>
              </c:pt>
              <c:pt idx="5">
                <c:v>4.125</c:v>
              </c:pt>
              <c:pt idx="6">
                <c:v>4.125</c:v>
              </c:pt>
              <c:pt idx="7">
                <c:v>4.125</c:v>
              </c:pt>
              <c:pt idx="8">
                <c:v>4.125</c:v>
              </c:pt>
              <c:pt idx="9">
                <c:v>4.125</c:v>
              </c:pt>
              <c:pt idx="10">
                <c:v>4.125</c:v>
              </c:pt>
              <c:pt idx="11">
                <c:v>4.2489999999999997</c:v>
              </c:pt>
              <c:pt idx="12">
                <c:v>4.2489999999999997</c:v>
              </c:pt>
              <c:pt idx="13">
                <c:v>4.2489999999999997</c:v>
              </c:pt>
              <c:pt idx="14">
                <c:v>4.2489999999999997</c:v>
              </c:pt>
              <c:pt idx="15">
                <c:v>4.2489999999999997</c:v>
              </c:pt>
              <c:pt idx="16">
                <c:v>4.2910000000000004</c:v>
              </c:pt>
              <c:pt idx="17">
                <c:v>4.2910000000000004</c:v>
              </c:pt>
              <c:pt idx="18">
                <c:v>4.2910000000000004</c:v>
              </c:pt>
              <c:pt idx="19">
                <c:v>4.2910000000000004</c:v>
              </c:pt>
              <c:pt idx="20">
                <c:v>4.2910000000000004</c:v>
              </c:pt>
              <c:pt idx="21">
                <c:v>4.2910000000000004</c:v>
              </c:pt>
              <c:pt idx="22">
                <c:v>4.2910000000000004</c:v>
              </c:pt>
              <c:pt idx="23">
                <c:v>4.415</c:v>
              </c:pt>
              <c:pt idx="24">
                <c:v>4.415</c:v>
              </c:pt>
              <c:pt idx="25">
                <c:v>4.415</c:v>
              </c:pt>
              <c:pt idx="26">
                <c:v>4.415</c:v>
              </c:pt>
              <c:pt idx="27">
                <c:v>4.415</c:v>
              </c:pt>
              <c:pt idx="28">
                <c:v>4.415</c:v>
              </c:pt>
              <c:pt idx="29">
                <c:v>4.415</c:v>
              </c:pt>
              <c:pt idx="30">
                <c:v>4.415</c:v>
              </c:pt>
              <c:pt idx="31">
                <c:v>4.4569999999999999</c:v>
              </c:pt>
              <c:pt idx="32">
                <c:v>4.4569999999999999</c:v>
              </c:pt>
              <c:pt idx="33">
                <c:v>4.4569999999999999</c:v>
              </c:pt>
              <c:pt idx="34">
                <c:v>4.4569999999999999</c:v>
              </c:pt>
              <c:pt idx="35">
                <c:v>4.4569999999999999</c:v>
              </c:pt>
              <c:pt idx="36">
                <c:v>4.4569999999999999</c:v>
              </c:pt>
              <c:pt idx="37">
                <c:v>4.5810000000000004</c:v>
              </c:pt>
              <c:pt idx="38">
                <c:v>4.5810000000000004</c:v>
              </c:pt>
              <c:pt idx="39">
                <c:v>4.5810000000000004</c:v>
              </c:pt>
              <c:pt idx="40">
                <c:v>4.5810000000000004</c:v>
              </c:pt>
              <c:pt idx="41">
                <c:v>4.5810000000000004</c:v>
              </c:pt>
              <c:pt idx="42">
                <c:v>4.5810000000000004</c:v>
              </c:pt>
              <c:pt idx="43">
                <c:v>4.6230000000000002</c:v>
              </c:pt>
              <c:pt idx="44">
                <c:v>4.6230000000000002</c:v>
              </c:pt>
              <c:pt idx="45">
                <c:v>4.6230000000000002</c:v>
              </c:pt>
              <c:pt idx="46">
                <c:v>4.6230000000000002</c:v>
              </c:pt>
              <c:pt idx="47">
                <c:v>4.6230000000000002</c:v>
              </c:pt>
              <c:pt idx="48">
                <c:v>4.6230000000000002</c:v>
              </c:pt>
              <c:pt idx="49">
                <c:v>4.6230000000000002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1B2-4F32-92F9-8F8F9746858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4.0830000000000002</c:v>
              </c:pt>
              <c:pt idx="1">
                <c:v>4.125</c:v>
              </c:pt>
              <c:pt idx="2">
                <c:v>4.2910000000000004</c:v>
              </c:pt>
              <c:pt idx="3">
                <c:v>4.415</c:v>
              </c:pt>
              <c:pt idx="4">
                <c:v>4.4569999999999999</c:v>
              </c:pt>
              <c:pt idx="5">
                <c:v>4.5810000000000004</c:v>
              </c:pt>
              <c:pt idx="6">
                <c:v>4.6230000000000002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1B2-4F32-92F9-8F8F9746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70ACA6A-A4F6-40E5-A477-A0AF942878F9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52CB6CB-D588-44DD-ACA9-E41F88C35AF8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D7F4CCB-77FA-427D-AAEA-215F43BE4D58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D0F649-DF9A-42F5-A35E-F478ACF8361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34C7458-808D-4B26-8B1B-7D89B7BB0E8B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B9AA7A5-6E72-45CC-A914-0C4164E36688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9CBF27E-BC12-4640-AE59-ADD1BD1F17F4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C16E342-9529-40D5-BD1B-C445DC6E8A87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777CD70-9517-4F38-9125-9A130FB0FD17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29A67A3-B8F9-4A66-BDB6-432A860FDEF9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5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5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5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5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0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17"/>
    <tableColumn id="2" xr3:uid="{C139B307-7150-4838-B1FD-482AAB7B1208}" name="Task name" dataDxfId="16" dataCellStyle="Link"/>
    <tableColumn id="18" xr3:uid="{3B298737-E571-4F23-9C71-2BC3C2385355}" name="Comment" dataDxfId="15" dataCellStyle="Link"/>
    <tableColumn id="3" xr3:uid="{3AD21368-826B-4507-A159-BE8BE5B02C1F}" name="Indicator" dataDxfId="14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paltenebene_1"/>
    <tableColumn id="11" xr3:uid="{E542542F-D34F-488A-95AF-76A724785E5A}" name="User time estimate" dataDxfId="9" dataCellStyle="Spaltenebene_1"/>
    <tableColumn id="8" xr3:uid="{727785B7-29B9-493D-A20B-C319B38E1DF3}" name="EBS 50% time" dataDxfId="8" dataCellStyle="Spaltenebene_1"/>
    <tableColumn id="9" xr3:uid="{B12BA9B8-3C81-408C-AFE4-25993FD8491D}" name="EBS 50% date" dataDxfId="7" dataCellStyle="Spaltenebene_1"/>
    <tableColumn id="12" xr3:uid="{7DA005F8-D924-4031-B65E-6C6F60E3212D}" name="Total time" dataDxfId="6"/>
    <tableColumn id="20" xr3:uid="{DAE27A09-2EB0-4A47-A9F0-48ED802D8570}" name="Due date" dataDxfId="5" dataCellStyle="Standard"/>
    <tableColumn id="19" xr3:uid="{7A8CB495-6AE9-4A1E-AC5B-8B6487C84135}" name="Contributor" dataDxfId="4"/>
    <tableColumn id="16" xr3:uid="{209AEE68-BDAE-4E8C-BCF6-6EEA4F9A7FDE}" name="Finished on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2420CA-DD4A-469E-9CEA-39196742E78B}" name="TimeEntries8224865163040" displayName="TimeEntries8224865163040" ref="A14:G15" totalsRowShown="0">
  <autoFilter ref="A14:G15" xr:uid="{3F5AC36E-D95C-494D-9291-259158836C3F}"/>
  <tableColumns count="7">
    <tableColumn id="1" xr3:uid="{2424CE46-6829-4DFE-8469-676185D59D53}" name="Time entry no."/>
    <tableColumn id="2" xr3:uid="{9602931E-4DF0-433A-BC3A-D3FB91727D78}" name="Start time" dataDxfId="61"/>
    <tableColumn id="3" xr3:uid="{25FB4E5C-FABC-4D15-A759-271535EEA278}" name="End time" dataDxfId="60"/>
    <tableColumn id="4" xr3:uid="{DF34A2A9-EE3C-4F61-A671-C45923F8B724}" name="Time delta in h" dataDxfId="59">
      <calculatedColumnFormula>MAX((C15-B15)*24,0)</calculatedColumnFormula>
    </tableColumn>
    <tableColumn id="5" xr3:uid="{15F594FE-3430-47A9-B620-6AB6BE7FAC62}" name="Indicator"/>
    <tableColumn id="6" xr3:uid="{C5EE7407-F10E-4ACA-AAE6-11816DC4DD2E}" name="Action1"/>
    <tableColumn id="7" xr3:uid="{383E32FA-0602-4462-99B7-4BC0AA9E87A2}" name="Action2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4986B90-6490-45C4-BCFB-39382A883AFC}" name="Tabelle73679234966173141" displayName="Tabelle73679234966173141" ref="I14:M15" insertRow="1" totalsRowShown="0">
  <autoFilter ref="I14:M15" xr:uid="{A341DCED-5C3A-4613-973B-9AB6C5D461A9}"/>
  <tableColumns count="5">
    <tableColumn id="1" xr3:uid="{27857A50-34D9-4E65-9CF6-8CE520BAD88E}" name="Comparison entry no."/>
    <tableColumn id="2" xr3:uid="{4D58F914-89B2-44E1-B5DC-8030F7DC382F}" name="Propability Support point" dataDxfId="58"/>
    <tableColumn id="3" xr3:uid="{1C7DC1D2-86A6-44D3-B027-A43BFDD256AA}" name="EBS self time" dataDxfId="57"/>
    <tableColumn id="4" xr3:uid="{78A5AA13-50A3-4CDD-A843-41EDF0D1D5CA}" name="Total time">
      <calculatedColumnFormula>#REF!</calculatedColumnFormula>
    </tableColumn>
    <tableColumn id="5" xr3:uid="{06B98950-68E8-4F51-B573-8FD7383446ED}" name="Total time / Your estimate" dataDxfId="56">
      <calculatedColumnFormula>Tabelle73679234966173141[[#This Row],[EBS self time]]/Tabelle73679234966173141[[#This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AEE7C27-53E7-483A-9F69-2BF8B31E62C6}" name="TimeEntries2185268802444" displayName="TimeEntries2185268802444" ref="A14:G15" totalsRowShown="0">
  <autoFilter ref="A14:G15" xr:uid="{64BD9E4A-8297-44B4-8CA4-91ACC385B837}"/>
  <tableColumns count="7">
    <tableColumn id="1" xr3:uid="{18F9EE76-CDB1-4392-A2BD-EB2C4815398F}" name="Time entry no."/>
    <tableColumn id="2" xr3:uid="{8A37B963-8C52-4AC7-B377-279CD14050B3}" name="Start time" dataDxfId="55"/>
    <tableColumn id="3" xr3:uid="{B890562E-D3F6-40EB-9400-4F2DDF4A004D}" name="End time" dataDxfId="54"/>
    <tableColumn id="4" xr3:uid="{B8F36B12-45F9-4419-AE89-F7E56B9F9AD5}" name="Time delta in h" dataDxfId="53">
      <calculatedColumnFormula>MAX((C15-B15)*24,0)</calculatedColumnFormula>
    </tableColumn>
    <tableColumn id="5" xr3:uid="{C8458BD3-CF8D-4605-B3BD-FDF69CB447DC}" name="Indicator"/>
    <tableColumn id="6" xr3:uid="{06B41A79-5ED6-4BD4-AEDD-8E0C519E6F5A}" name="Action1" dataDxfId="52" dataCellStyle="Link"/>
    <tableColumn id="7" xr3:uid="{F2A2148E-AAB3-44C3-BED5-4ECB93BA389D}" name="Action2" dataDxfId="51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850ED23-85C4-4057-9D03-93CA1F75D39A}" name="Tabelle73675195369812545" displayName="Tabelle73675195369812545" ref="I14:M15" insertRow="1" totalsRowShown="0">
  <autoFilter ref="I14:M15" xr:uid="{2047C594-0392-4606-BAE3-38F68DB4B56D}"/>
  <tableColumns count="5">
    <tableColumn id="1" xr3:uid="{8342EC04-8C61-4CF9-A018-7E7853A3651E}" name="Comparison entry no."/>
    <tableColumn id="2" xr3:uid="{4A52B74F-4BF8-427F-B1AF-5CAE2927AF42}" name="Propability Support point" dataDxfId="50"/>
    <tableColumn id="3" xr3:uid="{A95FD3A9-CB35-4848-B068-3073B0583993}" name="EBS self time" dataDxfId="49"/>
    <tableColumn id="4" xr3:uid="{5AED9BF6-128A-4C2C-9F92-DEDB47DCF777}" name="Total time">
      <calculatedColumnFormula>#REF!</calculatedColumnFormula>
    </tableColumn>
    <tableColumn id="5" xr3:uid="{E4746E48-ECA9-48BE-B602-F6A21CACBC35}" name="Total time / Your estimate" dataDxfId="48">
      <calculatedColumnFormula>Tabelle73675195369812545[[#This Row],[EBS self time]]/Tabelle73675195369812545[[#This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83280CB-5418-42AA-AC01-41DA3FBE911E}" name="TimeEntries11244061203248" displayName="TimeEntries11244061203248" ref="A14:G15" totalsRowShown="0">
  <autoFilter ref="A14:G15" xr:uid="{B0C2DAF4-A6C0-40B6-A983-E24C60428DC3}"/>
  <tableColumns count="7">
    <tableColumn id="1" xr3:uid="{C483CFA7-3F14-4CD0-8360-E5ADB253B476}" name="Time entry no."/>
    <tableColumn id="2" xr3:uid="{E4AC4486-D406-455D-A19E-FC0982508111}" name="Start time" dataDxfId="47"/>
    <tableColumn id="3" xr3:uid="{BEC193F0-DB4C-4103-B0FC-9DBE79BA2AA2}" name="End time" dataDxfId="46"/>
    <tableColumn id="4" xr3:uid="{BD15ECD2-8706-4C29-A54D-5FF434AC7DD4}" name="Time delta in h" dataDxfId="45">
      <calculatedColumnFormula>MAX((C15-B15)*24,0)</calculatedColumnFormula>
    </tableColumn>
    <tableColumn id="5" xr3:uid="{5F2C3C80-D031-4EC2-B4C1-72F140057113}" name="Indicator"/>
    <tableColumn id="6" xr3:uid="{F1B440D5-4369-4197-9AE1-DDD5BA7ABECF}" name="Action1"/>
    <tableColumn id="7" xr3:uid="{E680959E-DE63-403F-AB15-00A86BEFDA4D}" name="Action2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80E0496-B63C-4FE2-8FD5-D33F6BC18377}" name="Tabelle736713254162213349" displayName="Tabelle736713254162213349" ref="I14:M15" insertRow="1" totalsRowShown="0">
  <autoFilter ref="I14:M15" xr:uid="{00ED69FB-51A6-4D6D-BC11-0B7F2647E95D}"/>
  <tableColumns count="5">
    <tableColumn id="1" xr3:uid="{1CA1D47B-879B-49AE-9C6D-8D553C35F50E}" name="Comparison entry no."/>
    <tableColumn id="2" xr3:uid="{29028B33-EBC9-4AAA-A171-0AC0BF6C9590}" name="Propability Support point" dataDxfId="44"/>
    <tableColumn id="3" xr3:uid="{2CE89FDA-ED2F-4048-970F-E158729118DF}" name="EBS self time" dataDxfId="43"/>
    <tableColumn id="4" xr3:uid="{3A7A9CAE-84A6-4DC8-A234-5CBA977E9AF4}" name="Total time">
      <calculatedColumnFormula>#REF!</calculatedColumnFormula>
    </tableColumn>
    <tableColumn id="5" xr3:uid="{D0D657DE-850B-465F-BBF3-87EDC746A1E1}" name="Total time / Your estimate" dataDxfId="42">
      <calculatedColumnFormula>Tabelle736713254162213349[[#This Row],[EBS self time]]/Tabelle736713254162213349[[#This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07B87AE-952A-4855-B668-2A00E1393D3D}" name="TimeEntries1426365962652" displayName="TimeEntries1426365962652" ref="A14:G17" totalsRowShown="0">
  <autoFilter ref="A14:G17" xr:uid="{DB494C85-91EA-466A-B63C-C4F5C6F12C3F}"/>
  <tableColumns count="7">
    <tableColumn id="1" xr3:uid="{1EB5CE71-8CDF-44D4-BAFA-E81BA44C57E9}" name="Time entry no."/>
    <tableColumn id="2" xr3:uid="{655DE23A-4BCE-48F0-874A-C0E639CABD63}" name="Start time" dataDxfId="41"/>
    <tableColumn id="3" xr3:uid="{40BEC552-093E-4265-8034-8978BD727BC7}" name="End time" dataDxfId="40"/>
    <tableColumn id="4" xr3:uid="{5AF51332-A01C-4C7B-936D-3AE820756D0A}" name="Time delta in h" dataDxfId="39">
      <calculatedColumnFormula>MAX((C15-B15)*24,0)</calculatedColumnFormula>
    </tableColumn>
    <tableColumn id="5" xr3:uid="{E441BD5C-F04E-4173-825F-8B0F13DAC055}" name="Indicator"/>
    <tableColumn id="6" xr3:uid="{F07340F7-0F3B-4B16-B7AD-59F103000553}" name="Action1" dataDxfId="38" dataCellStyle="Link"/>
    <tableColumn id="7" xr3:uid="{5BAD87F1-0839-4534-9B06-17DD62DF88F7}" name="Action2" dataDxfId="37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2F1D897-0569-48AD-BE53-E4E16B14BE32}" name="Tabelle73671527376072753" displayName="Tabelle73671527376072753" ref="I14:M15" insertRow="1" totalsRowShown="0">
  <autoFilter ref="I14:M15" xr:uid="{D44B2476-38E5-48A8-9F43-AEFB97CC80A0}"/>
  <tableColumns count="5">
    <tableColumn id="1" xr3:uid="{F524B843-B5D0-444E-8D62-A3A27D4654A0}" name="Comparison entry no."/>
    <tableColumn id="2" xr3:uid="{CFC308F0-D9A1-4C9D-862B-C3CB9AD62CA5}" name="Propability Support point" dataDxfId="36"/>
    <tableColumn id="3" xr3:uid="{51D44DFF-26BF-434A-85AC-BF1C131330D5}" name="EBS self time" dataDxfId="35"/>
    <tableColumn id="4" xr3:uid="{1FF644CB-0C1F-4671-B995-F5B08C54182F}" name="Total time">
      <calculatedColumnFormula>#REF!</calculatedColumnFormula>
    </tableColumn>
    <tableColumn id="5" xr3:uid="{B0013DC0-FFBE-4303-BD6C-B2B63FFD5CAE}" name="Total time / Your estimate" dataDxfId="34">
      <calculatedColumnFormula>Tabelle73671527376072753[[#This Row],[EBS self time]]/Tabelle73671527376072753[[#This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53DD927-FC4E-4CF6-8D78-72D8AAD4B4BE}" name="TimeEntries6204463112859" displayName="TimeEntries6204463112859" ref="A14:G18" totalsRowShown="0">
  <autoFilter ref="A14:G18" xr:uid="{59B1EE35-16C3-4CB7-AB3C-912017284B43}"/>
  <tableColumns count="7">
    <tableColumn id="1" xr3:uid="{B7FB3023-8794-4DAE-9647-4AFF77E30FE1}" name="Time entry no."/>
    <tableColumn id="2" xr3:uid="{39381463-3CF5-48A7-8FE6-5F33EA5215DC}" name="Start time" dataDxfId="33"/>
    <tableColumn id="3" xr3:uid="{9427F758-ECFE-4A8D-BB8F-206E56CCBFF5}" name="End time" dataDxfId="32"/>
    <tableColumn id="4" xr3:uid="{8D4B8CEC-76EC-4F78-B638-5889F963BA6A}" name="Time delta in h" dataDxfId="31">
      <calculatedColumnFormula>MAX((C15-B15)*24,0)</calculatedColumnFormula>
    </tableColumn>
    <tableColumn id="5" xr3:uid="{C18EF0A3-7715-406C-867F-B2171207E6B4}" name="Indicator"/>
    <tableColumn id="6" xr3:uid="{47DC1B15-5C9F-49B5-87F9-82FF37F6EE85}" name="Action1" dataDxfId="30" dataCellStyle="Link"/>
    <tableColumn id="7" xr3:uid="{CD4969CA-66D9-4521-9DA1-96AB1DF5C7FA}" name="Action2" dataDxfId="29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454D794-2902-410D-9D5D-A2803F08D466}" name="Tabelle73677214564132960" displayName="Tabelle73677214564132960" ref="I14:M15" insertRow="1" totalsRowShown="0">
  <autoFilter ref="I14:M15" xr:uid="{6ADC5A2B-413D-4D72-8AF6-7A0F1631DD44}"/>
  <tableColumns count="5">
    <tableColumn id="1" xr3:uid="{35237BB1-14FC-4AD5-A74B-775CB926FF26}" name="Comparison entry no."/>
    <tableColumn id="2" xr3:uid="{C7256613-93BF-46F1-A8C0-456FD282433E}" name="Propability Support point" dataDxfId="28"/>
    <tableColumn id="3" xr3:uid="{697A5CA6-EED8-4256-B79D-FCBAA482AAF2}" name="EBS self time" dataDxfId="27"/>
    <tableColumn id="4" xr3:uid="{90513934-8476-49F1-958B-078C2AD577D7}" name="Total time">
      <calculatedColumnFormula>#REF!</calculatedColumnFormula>
    </tableColumn>
    <tableColumn id="5" xr3:uid="{A1E4FA71-FB62-4513-85A7-57FCF52AA509}" name="Total time / Your estimate" dataDxfId="26">
      <calculatedColumnFormula>Tabelle73677214564132960[[#This Row],[EBS self time]]/Tabelle73677214564132960[[#This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C5FCC96-2576-4BC4-A2F4-7C9479131E70}" name="EbsBaseData4326270454" displayName="EbsBaseData4326270454" ref="A18:H19" totalsRowShown="0">
  <autoFilter ref="A18:H19" xr:uid="{1948C160-1F52-48A7-8061-8AFF06D47134}"/>
  <tableColumns count="8">
    <tableColumn id="1" xr3:uid="{BCBB6181-FD8C-441C-AF4C-7322F7722CDD}" name="EBS entry no."/>
    <tableColumn id="4" xr3:uid="{14759953-6E2E-43F2-B9E2-32D6133725E6}" name="EBS run date" dataDxfId="78"/>
    <tableColumn id="8" xr3:uid="{95733588-7622-423D-A09B-A2801A568336}" name="[Velocity pool]"/>
    <tableColumn id="2" xr3:uid="{31DAD1B6-AA6F-4318-B1BA-B05E8921B68D}" name="Show pool?"/>
    <tableColumn id="3" xr3:uid="{341CBBC0-C7A6-47CE-B7A1-8B79C4904052}" name="[Propability support points]"/>
    <tableColumn id="5" xr3:uid="{EE4C7F14-BA0D-45A7-B2F5-7D49405BD03C}" name="[Project time estimates]"/>
    <tableColumn id="6" xr3:uid="{3A72AABA-697D-4DA3-AAC6-89869FAF36B2}" name="[Project date estimates]"/>
    <tableColumn id="7" xr3:uid="{94CA8F5A-2D11-4907-9939-A6028D2A01A0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EEA822-D7B5-4C8E-BE32-DE5561B4E7E1}" name="EbsTaskData9592711256" displayName="EbsTaskData9592711256" ref="J18:T21" totalsRowShown="0">
  <autoFilter ref="J18:T21" xr:uid="{2297DC20-55A3-4C75-B785-3C4ABEF5CB9C}"/>
  <tableColumns count="11">
    <tableColumn id="1" xr3:uid="{BA135D7C-B382-42D2-ACD6-206E452BF799}" name="Data entry no."/>
    <tableColumn id="10" xr3:uid="{DF7A5F69-6B5F-421C-A2EE-BFC1A27DA840}" name="tHASH"/>
    <tableColumn id="5" xr3:uid="{C1BE5CF4-35BA-4A29-A617-29A2C85B81C9}" name="Logged Priority"/>
    <tableColumn id="7" xr3:uid="{9F1A6F62-9058-4BFB-84F6-E1FF929B23EE}" name="Time spent so far" dataDxfId="77"/>
    <tableColumn id="4" xr3:uid="{EF4FC152-3842-4EC0-BFAE-6BEF3BA57CB7}" name="User time estimate" dataDxfId="76"/>
    <tableColumn id="3" xr3:uid="{8DDCCF73-F989-416A-A482-83FE93A89E66}" name="[Monte Carlo estimate pool]"/>
    <tableColumn id="2" xr3:uid="{38D2B213-D401-4C2F-9407-5CE3DA736C0A}" name="[Remaining time pool]"/>
    <tableColumn id="6" xr3:uid="{C90689EC-A5D9-46CB-A209-EB588AC1B11F}" name="[Accumulated time pool]"/>
    <tableColumn id="8" xr3:uid="{314EFBAB-B286-4360-B3B2-2FF130DAFEA2}" name="[Propability support points]"/>
    <tableColumn id="9" xr3:uid="{EB86D1B8-A8FB-43A6-B8C6-73CFA9263ECD}" name="[Interpolated time estimates]"/>
    <tableColumn id="11" xr3:uid="{864C77CE-11F5-4DEE-B584-F82EC12A555E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75" dataCellStyle="Link"/>
    <tableColumn id="9" xr3:uid="{0037D127-E2BA-445A-BC63-1395BA3AC441}" name="Calendar ID" dataDxfId="74" dataCellStyle="Link"/>
    <tableColumn id="10" xr3:uid="{37CA3B7B-8FF0-4042-97C6-E23A79A74325}" name="Store ID"/>
    <tableColumn id="6" xr3:uid="{044D8005-25C5-4D31-940A-B6DE4C6B0EA5}" name="WorkingDays" dataDxfId="7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72"/>
    <tableColumn id="8" xr3:uid="{1177B0FB-46B2-406D-B988-C64E0ABA6972}" name="AppointmentOffsetHours" dataDxfId="71">
      <calculatedColumnFormula>5/60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70"/>
    <tableColumn id="3" xr3:uid="{78DABF02-3853-48FF-81AD-5801C74BED1B}" name="End time" dataDxfId="69"/>
    <tableColumn id="4" xr3:uid="{76C994F9-216A-4848-9FB6-16BAF8B0EEEA}" name="Time delta in h" dataDxfId="68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67"/>
    <tableColumn id="3" xr3:uid="{A62B365F-400F-45A4-B789-FE7B5FDBD312}" name="EBS self time" dataDxfId="66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6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64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63"/>
    <tableColumn id="4" xr3:uid="{F9EDA55E-5206-49A7-A846-6A0B14C04CAF}" name="User time estimate" dataDxfId="62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FB19EB3-E1D4-45B4-AA19-19FB58DE5775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14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zoomScaleNormal="100" workbookViewId="0">
      <selection activeCell="A15" sqref="A15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32.140625" style="9" customWidth="1"/>
    <col min="3" max="3" width="25.7109375" style="9" customWidth="1"/>
    <col min="4" max="4" width="13.5703125" style="6" bestFit="1" customWidth="1"/>
    <col min="5" max="6" width="9.28515625" style="7" customWidth="1" outlineLevel="1"/>
    <col min="7" max="7" width="12.42578125" style="7" bestFit="1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1.28515625" style="6" bestFit="1" customWidth="1"/>
    <col min="14" max="14" width="13.57031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8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8" x14ac:dyDescent="0.25">
      <c r="A2" s="3"/>
      <c r="B2" s="8"/>
      <c r="C2" s="8"/>
      <c r="D2" s="3"/>
      <c r="E2" s="21"/>
      <c r="F2" s="21"/>
      <c r="G2" s="21"/>
      <c r="H2" s="8" t="s">
        <v>18</v>
      </c>
      <c r="I2" s="8"/>
      <c r="J2" s="19" t="s">
        <v>80</v>
      </c>
      <c r="K2" s="19" t="s">
        <v>80</v>
      </c>
      <c r="N2" s="3"/>
      <c r="O2" s="3"/>
      <c r="P2" s="3"/>
      <c r="R2"/>
    </row>
    <row r="3" spans="1:18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23</v>
      </c>
      <c r="F3" s="7" t="s">
        <v>24</v>
      </c>
      <c r="G3" s="7" t="s">
        <v>25</v>
      </c>
      <c r="H3" s="10" t="s">
        <v>1</v>
      </c>
      <c r="I3" s="10" t="s">
        <v>81</v>
      </c>
      <c r="J3" s="7" t="s">
        <v>85</v>
      </c>
      <c r="K3" s="7" t="s">
        <v>79</v>
      </c>
      <c r="L3" s="20" t="s">
        <v>74</v>
      </c>
      <c r="M3" s="6" t="s">
        <v>14</v>
      </c>
      <c r="N3" s="6" t="s">
        <v>15</v>
      </c>
      <c r="O3" t="s">
        <v>16</v>
      </c>
      <c r="P3" t="s">
        <v>13</v>
      </c>
      <c r="Q3" t="s">
        <v>49</v>
      </c>
      <c r="R3"/>
    </row>
    <row r="4" spans="1:18" x14ac:dyDescent="0.25">
      <c r="A4" s="26" t="s">
        <v>118</v>
      </c>
      <c r="B4" s="25" t="s">
        <v>131</v>
      </c>
      <c r="C4" s="25"/>
      <c r="D4" s="26"/>
      <c r="E4" s="26" t="s">
        <v>138</v>
      </c>
      <c r="F4" s="26"/>
      <c r="G4" s="26" t="s">
        <v>132</v>
      </c>
      <c r="H4" s="31" t="s">
        <v>145</v>
      </c>
      <c r="I4" s="29">
        <v>0.5</v>
      </c>
      <c r="J4" s="29" t="s">
        <v>111</v>
      </c>
      <c r="K4" s="30" t="s">
        <v>111</v>
      </c>
      <c r="L4" s="27">
        <v>0.74999999982537702</v>
      </c>
      <c r="M4" s="26"/>
      <c r="N4" s="26" t="s">
        <v>20</v>
      </c>
      <c r="O4" s="28">
        <v>43817.078483796293</v>
      </c>
      <c r="P4" s="26" t="s">
        <v>111</v>
      </c>
      <c r="Q4" s="26" t="s">
        <v>130</v>
      </c>
    </row>
    <row r="5" spans="1:18" x14ac:dyDescent="0.25">
      <c r="A5" s="26" t="s">
        <v>112</v>
      </c>
      <c r="B5" s="25" t="s">
        <v>141</v>
      </c>
      <c r="C5" s="25"/>
      <c r="D5" s="26"/>
      <c r="E5" s="26"/>
      <c r="F5" s="26"/>
      <c r="G5" s="26" t="s">
        <v>136</v>
      </c>
      <c r="H5" s="31" t="s">
        <v>145</v>
      </c>
      <c r="I5" s="29">
        <v>0.75</v>
      </c>
      <c r="J5" s="29" t="s">
        <v>111</v>
      </c>
      <c r="K5" s="30" t="s">
        <v>111</v>
      </c>
      <c r="L5" s="27">
        <v>0.99999999994179201</v>
      </c>
      <c r="M5" s="26"/>
      <c r="N5" s="26" t="s">
        <v>20</v>
      </c>
      <c r="O5" s="28">
        <v>43817.07885416667</v>
      </c>
      <c r="P5" s="26" t="s">
        <v>111</v>
      </c>
      <c r="Q5" s="26" t="s">
        <v>125</v>
      </c>
    </row>
    <row r="6" spans="1:18" x14ac:dyDescent="0.25">
      <c r="A6" s="26" t="s">
        <v>113</v>
      </c>
      <c r="B6" s="25" t="s">
        <v>126</v>
      </c>
      <c r="C6" s="25"/>
      <c r="D6" s="26"/>
      <c r="E6" s="26"/>
      <c r="F6" s="26"/>
      <c r="G6" s="26" t="s">
        <v>136</v>
      </c>
      <c r="H6" s="31" t="s">
        <v>109</v>
      </c>
      <c r="I6" s="29">
        <v>0.25</v>
      </c>
      <c r="J6" s="29">
        <v>0.375</v>
      </c>
      <c r="K6" s="30">
        <v>43818.348946759259</v>
      </c>
      <c r="L6" s="27">
        <v>0</v>
      </c>
      <c r="M6" s="26"/>
      <c r="N6" s="26" t="s">
        <v>20</v>
      </c>
      <c r="O6" s="28"/>
      <c r="P6" s="26">
        <v>3</v>
      </c>
      <c r="Q6" s="26" t="s">
        <v>127</v>
      </c>
    </row>
    <row r="7" spans="1:18" x14ac:dyDescent="0.25">
      <c r="A7" s="26" t="s">
        <v>108</v>
      </c>
      <c r="B7" s="25" t="s">
        <v>124</v>
      </c>
      <c r="C7" s="25"/>
      <c r="D7" s="26"/>
      <c r="E7" s="26"/>
      <c r="F7" s="26"/>
      <c r="G7" s="26" t="s">
        <v>136</v>
      </c>
      <c r="H7" s="31" t="s">
        <v>109</v>
      </c>
      <c r="I7" s="29">
        <v>1</v>
      </c>
      <c r="J7" s="29">
        <v>1.52</v>
      </c>
      <c r="K7" s="30">
        <v>43818.396678240744</v>
      </c>
      <c r="L7" s="27">
        <v>0.24999999994179201</v>
      </c>
      <c r="M7" s="26"/>
      <c r="N7" s="26" t="s">
        <v>20</v>
      </c>
      <c r="O7" s="28"/>
      <c r="P7" s="26">
        <v>2</v>
      </c>
      <c r="Q7" s="26" t="s">
        <v>123</v>
      </c>
    </row>
    <row r="8" spans="1:18" x14ac:dyDescent="0.25">
      <c r="A8" s="26" t="s">
        <v>117</v>
      </c>
      <c r="B8" s="25" t="s">
        <v>129</v>
      </c>
      <c r="C8" s="25"/>
      <c r="D8" s="26"/>
      <c r="E8" s="26"/>
      <c r="F8" s="26"/>
      <c r="G8" s="26" t="s">
        <v>134</v>
      </c>
      <c r="H8" s="31" t="s">
        <v>109</v>
      </c>
      <c r="I8" s="29">
        <v>2</v>
      </c>
      <c r="J8" s="29">
        <v>4.415</v>
      </c>
      <c r="K8" s="30">
        <v>43818.51730324074</v>
      </c>
      <c r="L8" s="27">
        <v>0</v>
      </c>
      <c r="M8" s="26"/>
      <c r="N8" s="26" t="s">
        <v>20</v>
      </c>
      <c r="O8" s="28"/>
      <c r="P8" s="26">
        <v>1</v>
      </c>
      <c r="Q8" s="26" t="s">
        <v>128</v>
      </c>
    </row>
    <row r="9" spans="1:18" x14ac:dyDescent="0.25">
      <c r="A9" s="26"/>
      <c r="B9" s="25"/>
      <c r="C9" s="25"/>
      <c r="D9" s="26"/>
      <c r="E9" s="26"/>
      <c r="F9" s="26"/>
      <c r="G9" s="26"/>
      <c r="H9" s="31"/>
      <c r="I9" s="29"/>
      <c r="J9" s="29"/>
      <c r="K9" s="30"/>
      <c r="L9" s="27"/>
      <c r="M9" s="26"/>
      <c r="N9" s="26"/>
      <c r="O9" s="28"/>
      <c r="P9" s="26"/>
      <c r="Q9" s="26"/>
    </row>
    <row r="10" spans="1:18" x14ac:dyDescent="0.25">
      <c r="A10" s="26"/>
      <c r="B10" s="25"/>
      <c r="C10" s="25"/>
      <c r="D10" s="26"/>
      <c r="E10" s="26"/>
      <c r="F10" s="26"/>
      <c r="G10" s="26"/>
      <c r="H10" s="31"/>
      <c r="I10" s="29"/>
      <c r="J10" s="29"/>
      <c r="K10" s="30"/>
      <c r="L10" s="27"/>
      <c r="M10" s="26"/>
      <c r="N10" s="26"/>
      <c r="O10" s="28"/>
      <c r="P10" s="26"/>
      <c r="Q10" s="26"/>
    </row>
    <row r="15" spans="1:18" x14ac:dyDescent="0.25">
      <c r="B15" s="12"/>
    </row>
    <row r="39" spans="19:19" x14ac:dyDescent="0.25">
      <c r="S39" t="s">
        <v>101</v>
      </c>
    </row>
  </sheetData>
  <dataConsolidate/>
  <conditionalFormatting sqref="D1:D1048576">
    <cfRule type="containsText" dxfId="25" priority="5" operator="containsText" text="&lt;current">
      <formula>NOT(ISERROR(SEARCH("&lt;current",D1)))</formula>
    </cfRule>
  </conditionalFormatting>
  <conditionalFormatting sqref="H1:N1 H3:N3 J2:N2 H11:N1048576 H4:J10 L4:N8">
    <cfRule type="containsText" dxfId="24" priority="6" operator="containsText" text="Done">
      <formula>NOT(ISERROR(SEARCH("Done",H1)))</formula>
    </cfRule>
    <cfRule type="containsText" dxfId="23" priority="7" operator="containsText" text="In progress">
      <formula>NOT(ISERROR(SEARCH("In progress",H1)))</formula>
    </cfRule>
    <cfRule type="containsText" dxfId="22" priority="8" operator="containsText" text="To do">
      <formula>NOT(ISERROR(SEARCH("To do",H1)))</formula>
    </cfRule>
  </conditionalFormatting>
  <conditionalFormatting sqref="P1:P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8" xr:uid="{3ECC8279-A030-4FE8-A745-B48DD7D83552}">
      <formula1>"Me"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9F542B9B-6457-4DF0-A686-12CFDB2D0871}">
      <formula1>"Important"</formula1>
    </dataValidation>
  </dataValidations>
  <hyperlinks>
    <hyperlink ref="B7" location="Planning!A1" display="Planning!A1" xr:uid="{E7E9EB20-9A6A-43A4-85F6-0260588D6383}"/>
    <hyperlink ref="B5" location="Planning!A1" display="Planning!A1" xr:uid="{FCF18BA7-767E-42AC-9D94-128940FF679B}"/>
    <hyperlink ref="B6" location="Planning!A1" display="Planning!A1" xr:uid="{F2059489-B87D-48E9-ACF8-FDDAAE5BAA21}"/>
    <hyperlink ref="B8" location="Planning!A1" display="Planning!A1" xr:uid="{8CFA1261-F85D-4859-A4DC-8DA15B465660}"/>
    <hyperlink ref="B4" location="Planning!A1" display="Planning!A1" xr:uid="{FB1E17D5-9329-412C-A215-AF443F84EE8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5037E-C54F-4CCB-8788-A97FC1AAC569}">
  <sheetPr codeName="TaskSheetTemplate1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26</v>
      </c>
    </row>
    <row r="2" spans="1:13" x14ac:dyDescent="0.25">
      <c r="A2" t="s">
        <v>3</v>
      </c>
      <c r="B2" t="s">
        <v>126</v>
      </c>
    </row>
    <row r="3" spans="1:13" x14ac:dyDescent="0.25">
      <c r="A3" t="s">
        <v>81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111</v>
      </c>
    </row>
    <row r="6" spans="1:13" x14ac:dyDescent="0.25">
      <c r="A6" t="s">
        <v>15</v>
      </c>
      <c r="B6" s="5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5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127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115</v>
      </c>
      <c r="B12" t="s">
        <v>133</v>
      </c>
    </row>
    <row r="13" spans="1:13" x14ac:dyDescent="0.25">
      <c r="A13" t="s">
        <v>116</v>
      </c>
      <c r="B13" t="s">
        <v>137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6" t="s">
        <v>71</v>
      </c>
      <c r="K14" s="2" t="s">
        <v>72</v>
      </c>
      <c r="L14" t="s">
        <v>74</v>
      </c>
      <c r="M14" t="s">
        <v>75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/>
      <c r="M15" s="17"/>
    </row>
  </sheetData>
  <dataConsolidate/>
  <hyperlinks>
    <hyperlink ref="A1" location="Planning!A1" display="Go back to 'Planning' sheet" xr:uid="{45225AE7-D4B8-4135-A53D-3ED8053A4ECD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D6956-8D38-43C5-B0C3-F4405D748776}">
  <sheetPr codeName="TaskSheetTemplate2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26</v>
      </c>
    </row>
    <row r="2" spans="1:13" x14ac:dyDescent="0.25">
      <c r="A2" t="s">
        <v>3</v>
      </c>
      <c r="B2" t="s">
        <v>124</v>
      </c>
    </row>
    <row r="3" spans="1:13" x14ac:dyDescent="0.25">
      <c r="A3" t="s">
        <v>81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0.24999999994179234</v>
      </c>
      <c r="C4" t="s">
        <v>4</v>
      </c>
    </row>
    <row r="5" spans="1:13" x14ac:dyDescent="0.25">
      <c r="A5" t="s">
        <v>14</v>
      </c>
      <c r="B5" s="5" t="s">
        <v>111</v>
      </c>
    </row>
    <row r="6" spans="1:13" x14ac:dyDescent="0.25">
      <c r="A6" t="s">
        <v>15</v>
      </c>
      <c r="B6" s="5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5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123</v>
      </c>
    </row>
    <row r="11" spans="1:13" x14ac:dyDescent="0.25">
      <c r="A11" t="s">
        <v>5</v>
      </c>
      <c r="B11" s="2">
        <f>B3/B4</f>
        <v>4.0000000009313226</v>
      </c>
      <c r="C11" t="s">
        <v>6</v>
      </c>
    </row>
    <row r="12" spans="1:13" x14ac:dyDescent="0.25">
      <c r="A12" t="s">
        <v>115</v>
      </c>
      <c r="B12" t="s">
        <v>133</v>
      </c>
    </row>
    <row r="13" spans="1:13" x14ac:dyDescent="0.25">
      <c r="A13" t="s">
        <v>116</v>
      </c>
      <c r="B13" t="s">
        <v>137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6" t="s">
        <v>71</v>
      </c>
      <c r="K14" s="2" t="s">
        <v>72</v>
      </c>
      <c r="L14" t="s">
        <v>74</v>
      </c>
      <c r="M14" t="s">
        <v>75</v>
      </c>
    </row>
    <row r="15" spans="1:13" x14ac:dyDescent="0.25">
      <c r="A15" t="s">
        <v>108</v>
      </c>
      <c r="B15" s="1">
        <v>43817.077002314814</v>
      </c>
      <c r="C15" s="1">
        <v>43817.087418981479</v>
      </c>
      <c r="D15" s="2">
        <f>MAX((C15-B15)*24,0)</f>
        <v>0.24999999994179234</v>
      </c>
      <c r="F15" s="32" t="s">
        <v>143</v>
      </c>
      <c r="G15" s="32" t="s">
        <v>144</v>
      </c>
      <c r="J15" s="16"/>
      <c r="K15" s="2"/>
      <c r="L15" s="2"/>
      <c r="M15" s="17"/>
    </row>
  </sheetData>
  <dataConsolidate/>
  <hyperlinks>
    <hyperlink ref="A1" location="Planning!A1" display="Go back to 'Planning' sheet" xr:uid="{B446CAF9-BD30-4859-8DA2-6526EA521387}"/>
    <hyperlink ref="F15" location="$F$15" display="$F$15" xr:uid="{B47F8F9C-7FD9-45D2-A37E-A262C1CE808B}"/>
    <hyperlink ref="G15" location="$G$15" display="$G$15" xr:uid="{D2CA0C03-38E5-4FE4-B645-D2C3E66B307E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4B580-7B74-43A4-AB15-F1084DF3713D}">
  <sheetPr codeName="TaskSheetTemplate3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26</v>
      </c>
    </row>
    <row r="2" spans="1:13" x14ac:dyDescent="0.25">
      <c r="A2" t="s">
        <v>3</v>
      </c>
      <c r="B2" t="s">
        <v>129</v>
      </c>
    </row>
    <row r="3" spans="1:13" x14ac:dyDescent="0.25">
      <c r="A3" t="s">
        <v>81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111</v>
      </c>
    </row>
    <row r="6" spans="1:13" x14ac:dyDescent="0.25">
      <c r="A6" t="s">
        <v>15</v>
      </c>
      <c r="B6" s="5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5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128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115</v>
      </c>
      <c r="B12" t="s">
        <v>133</v>
      </c>
    </row>
    <row r="13" spans="1:13" x14ac:dyDescent="0.25">
      <c r="A13" t="s">
        <v>116</v>
      </c>
      <c r="B13" t="s">
        <v>135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6" t="s">
        <v>71</v>
      </c>
      <c r="K14" s="2" t="s">
        <v>72</v>
      </c>
      <c r="L14" t="s">
        <v>74</v>
      </c>
      <c r="M14" t="s">
        <v>75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/>
      <c r="M15" s="17"/>
    </row>
  </sheetData>
  <dataConsolidate/>
  <hyperlinks>
    <hyperlink ref="A1" location="Planning!A1" display="Go back to 'Planning' sheet" xr:uid="{D52540DB-A01E-4EEA-B131-C7228A4D496B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A594-4990-4019-B288-7B9071CD2363}">
  <sheetPr codeName="TaskSheetTemplate4"/>
  <dimension ref="A1:M17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26</v>
      </c>
    </row>
    <row r="2" spans="1:13" x14ac:dyDescent="0.25">
      <c r="A2" t="s">
        <v>3</v>
      </c>
      <c r="B2" t="s">
        <v>131</v>
      </c>
    </row>
    <row r="3" spans="1:13" x14ac:dyDescent="0.25">
      <c r="A3" t="s">
        <v>81</v>
      </c>
      <c r="B3" s="2">
        <v>0.5</v>
      </c>
      <c r="C3" t="s">
        <v>4</v>
      </c>
    </row>
    <row r="4" spans="1:13" x14ac:dyDescent="0.25">
      <c r="A4" t="s">
        <v>0</v>
      </c>
      <c r="B4" s="2">
        <f>SUM(D:D)</f>
        <v>0.74999999982537702</v>
      </c>
      <c r="C4" t="s">
        <v>4</v>
      </c>
    </row>
    <row r="5" spans="1:13" x14ac:dyDescent="0.25">
      <c r="A5" t="s">
        <v>14</v>
      </c>
      <c r="B5" s="5" t="s">
        <v>111</v>
      </c>
    </row>
    <row r="6" spans="1:13" x14ac:dyDescent="0.25">
      <c r="A6" t="s">
        <v>15</v>
      </c>
      <c r="B6" s="5" t="s">
        <v>20</v>
      </c>
    </row>
    <row r="7" spans="1:13" x14ac:dyDescent="0.25">
      <c r="A7" t="s">
        <v>1</v>
      </c>
      <c r="B7" t="s">
        <v>145</v>
      </c>
    </row>
    <row r="8" spans="1:13" x14ac:dyDescent="0.25">
      <c r="A8" t="s">
        <v>16</v>
      </c>
      <c r="B8" s="5">
        <v>43817.078483796293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130</v>
      </c>
    </row>
    <row r="11" spans="1:13" x14ac:dyDescent="0.25">
      <c r="A11" t="s">
        <v>5</v>
      </c>
      <c r="B11" s="2">
        <f>B3/B4</f>
        <v>0.66666666682188713</v>
      </c>
      <c r="C11" t="s">
        <v>6</v>
      </c>
    </row>
    <row r="12" spans="1:13" x14ac:dyDescent="0.25">
      <c r="A12" t="s">
        <v>115</v>
      </c>
      <c r="B12" t="s">
        <v>139</v>
      </c>
    </row>
    <row r="13" spans="1:13" x14ac:dyDescent="0.25">
      <c r="A13" t="s">
        <v>116</v>
      </c>
      <c r="B13" t="s">
        <v>140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6" t="s">
        <v>71</v>
      </c>
      <c r="K14" s="2" t="s">
        <v>72</v>
      </c>
      <c r="L14" t="s">
        <v>74</v>
      </c>
      <c r="M14" t="s">
        <v>75</v>
      </c>
    </row>
    <row r="15" spans="1:13" x14ac:dyDescent="0.25">
      <c r="A15" t="s">
        <v>108</v>
      </c>
      <c r="B15" s="1">
        <v>43817.068055555559</v>
      </c>
      <c r="C15" s="1">
        <v>43817.078472222223</v>
      </c>
      <c r="D15" s="2">
        <f>MAX((C15-B15)*24,0)</f>
        <v>0.24999999994179234</v>
      </c>
      <c r="F15" s="32" t="s">
        <v>143</v>
      </c>
      <c r="G15" s="32" t="s">
        <v>144</v>
      </c>
      <c r="J15" s="16"/>
      <c r="K15" s="2"/>
      <c r="L15" s="2"/>
      <c r="M15" s="17"/>
    </row>
    <row r="16" spans="1:13" x14ac:dyDescent="0.25">
      <c r="A16" t="s">
        <v>112</v>
      </c>
      <c r="B16" s="1">
        <v>43817.068067129629</v>
      </c>
      <c r="C16" s="1">
        <v>43817.078483796293</v>
      </c>
      <c r="D16" s="2">
        <f>MAX((C16-B16)*24,0)</f>
        <v>0.24999999994179234</v>
      </c>
      <c r="F16" s="32" t="s">
        <v>143</v>
      </c>
      <c r="G16" s="32" t="s">
        <v>144</v>
      </c>
    </row>
    <row r="17" spans="1:7" x14ac:dyDescent="0.25">
      <c r="A17" t="s">
        <v>113</v>
      </c>
      <c r="B17" s="1">
        <v>43817.068067129629</v>
      </c>
      <c r="C17" s="1">
        <v>43817.078483796293</v>
      </c>
      <c r="D17" s="2">
        <f>MAX((C17-B17)*24,0)</f>
        <v>0.24999999994179234</v>
      </c>
      <c r="F17" s="32" t="s">
        <v>143</v>
      </c>
      <c r="G17" s="32" t="s">
        <v>144</v>
      </c>
    </row>
  </sheetData>
  <dataConsolidate/>
  <hyperlinks>
    <hyperlink ref="A1" location="Planning!A1" display="Go back to 'Planning' sheet" xr:uid="{ED1CCDCD-992B-4C52-8288-90DAA01BBAAA}"/>
    <hyperlink ref="F15" location="$F$15" display="$F$15" xr:uid="{B320A6AB-9FED-49A4-90CE-D91B01A50419}"/>
    <hyperlink ref="G15" location="$G$15" display="$G$15" xr:uid="{51C2777C-F13A-4DE7-8163-DA16DE377825}"/>
    <hyperlink ref="F16" location="$F$16" display="$F$16" xr:uid="{BF77D078-65A3-43A4-A784-91238649D5FE}"/>
    <hyperlink ref="G16" location="$G$16" display="$G$16" xr:uid="{6F473BC9-4B35-4851-988C-C0FE0DCFDD70}"/>
    <hyperlink ref="F17" location="$F$17" display="$F$17" xr:uid="{ED0A2721-A0FD-43D7-845B-31CAE8AA10F6}"/>
    <hyperlink ref="G17" location="$G$17" display="$G$17" xr:uid="{F6F12F89-D54B-41E4-A21D-C4735E10371C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C63C4-1455-4F35-8D43-EBA87D188CF8}">
  <sheetPr codeName="TaskSheetTemplate5"/>
  <dimension ref="A1:M18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26</v>
      </c>
    </row>
    <row r="2" spans="1:13" x14ac:dyDescent="0.25">
      <c r="A2" t="s">
        <v>3</v>
      </c>
      <c r="B2" t="s">
        <v>141</v>
      </c>
    </row>
    <row r="3" spans="1:13" x14ac:dyDescent="0.25">
      <c r="A3" t="s">
        <v>81</v>
      </c>
      <c r="B3" s="2">
        <v>0.75</v>
      </c>
      <c r="C3" t="s">
        <v>4</v>
      </c>
    </row>
    <row r="4" spans="1:13" x14ac:dyDescent="0.25">
      <c r="A4" t="s">
        <v>0</v>
      </c>
      <c r="B4" s="2">
        <f>SUM(D:D)</f>
        <v>0.99999999994179234</v>
      </c>
      <c r="C4" t="s">
        <v>4</v>
      </c>
    </row>
    <row r="5" spans="1:13" x14ac:dyDescent="0.25">
      <c r="A5" t="s">
        <v>14</v>
      </c>
      <c r="B5" s="5" t="s">
        <v>111</v>
      </c>
    </row>
    <row r="6" spans="1:13" x14ac:dyDescent="0.25">
      <c r="A6" t="s">
        <v>15</v>
      </c>
      <c r="B6" s="5" t="s">
        <v>20</v>
      </c>
    </row>
    <row r="7" spans="1:13" x14ac:dyDescent="0.25">
      <c r="A7" t="s">
        <v>1</v>
      </c>
      <c r="B7" t="s">
        <v>145</v>
      </c>
    </row>
    <row r="8" spans="1:13" x14ac:dyDescent="0.25">
      <c r="A8" t="s">
        <v>16</v>
      </c>
      <c r="B8" s="5">
        <v>43817.07885416667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125</v>
      </c>
    </row>
    <row r="11" spans="1:13" x14ac:dyDescent="0.25">
      <c r="A11" t="s">
        <v>5</v>
      </c>
      <c r="B11" s="2">
        <f>B3/B4</f>
        <v>0.75000000004365575</v>
      </c>
      <c r="C11" t="s">
        <v>6</v>
      </c>
    </row>
    <row r="12" spans="1:13" x14ac:dyDescent="0.25">
      <c r="A12" t="s">
        <v>115</v>
      </c>
      <c r="B12" t="s">
        <v>133</v>
      </c>
    </row>
    <row r="13" spans="1:13" x14ac:dyDescent="0.25">
      <c r="A13" t="s">
        <v>116</v>
      </c>
      <c r="B13" t="s">
        <v>137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6" t="s">
        <v>71</v>
      </c>
      <c r="K14" s="2" t="s">
        <v>72</v>
      </c>
      <c r="L14" t="s">
        <v>74</v>
      </c>
      <c r="M14" t="s">
        <v>75</v>
      </c>
    </row>
    <row r="15" spans="1:13" x14ac:dyDescent="0.25">
      <c r="A15" t="s">
        <v>108</v>
      </c>
      <c r="B15" s="1">
        <v>43817.068194444444</v>
      </c>
      <c r="C15" s="1">
        <v>43817.078611111108</v>
      </c>
      <c r="D15" s="2">
        <f>MAX((C15-B15)*24,0)</f>
        <v>0.24999999994179234</v>
      </c>
      <c r="F15" s="32" t="s">
        <v>143</v>
      </c>
      <c r="G15" s="32" t="s">
        <v>144</v>
      </c>
      <c r="J15" s="16"/>
      <c r="K15" s="2"/>
      <c r="L15" s="2"/>
      <c r="M15" s="17"/>
    </row>
    <row r="16" spans="1:13" x14ac:dyDescent="0.25">
      <c r="A16" t="s">
        <v>112</v>
      </c>
      <c r="B16" s="1">
        <v>43817.068229166667</v>
      </c>
      <c r="C16" s="1">
        <v>43817.078645833331</v>
      </c>
      <c r="D16" s="2">
        <f>MAX((C16-B16)*24,0)</f>
        <v>0.24999999994179234</v>
      </c>
      <c r="F16" s="32" t="s">
        <v>143</v>
      </c>
      <c r="G16" s="32" t="s">
        <v>144</v>
      </c>
    </row>
    <row r="17" spans="1:7" x14ac:dyDescent="0.25">
      <c r="A17" t="s">
        <v>113</v>
      </c>
      <c r="B17" s="1">
        <v>43817.06826388889</v>
      </c>
      <c r="C17" s="1">
        <v>43817.078680555554</v>
      </c>
      <c r="D17" s="2">
        <f>MAX((C17-B17)*24,0)</f>
        <v>0.24999999994179234</v>
      </c>
      <c r="F17" s="32" t="s">
        <v>143</v>
      </c>
      <c r="G17" s="32" t="s">
        <v>144</v>
      </c>
    </row>
    <row r="18" spans="1:7" x14ac:dyDescent="0.25">
      <c r="A18" t="s">
        <v>117</v>
      </c>
      <c r="B18" s="1">
        <v>43817.068437499998</v>
      </c>
      <c r="C18" s="1">
        <v>43817.07885416667</v>
      </c>
      <c r="D18" s="2">
        <f>MAX((C18-B18)*24,0)</f>
        <v>0.25000000011641532</v>
      </c>
      <c r="F18" s="32" t="s">
        <v>143</v>
      </c>
      <c r="G18" s="32" t="s">
        <v>144</v>
      </c>
    </row>
  </sheetData>
  <dataConsolidate/>
  <hyperlinks>
    <hyperlink ref="A1" location="Planning!A1" display="Go back to 'Planning' sheet" xr:uid="{DA8F908E-92CD-4A0F-8A63-2EE94B054F31}"/>
    <hyperlink ref="F15" location="$F$15" display="$F$15" xr:uid="{76B511C2-990E-43FC-8E5B-B126EE3AAA16}"/>
    <hyperlink ref="G15" location="$G$15" display="$G$15" xr:uid="{3D41B00D-9944-4C0C-86D8-8630167C3771}"/>
    <hyperlink ref="F16" location="$F$16" display="$F$16" xr:uid="{35289A58-C90B-4439-B339-A600BEF0CD59}"/>
    <hyperlink ref="G16" location="$G$16" display="$G$16" xr:uid="{CAAAE1D1-4B8E-4110-A2B1-308A533EF1DC}"/>
    <hyperlink ref="F17" location="$F$17" display="$F$17" xr:uid="{B2553F18-0D9C-44B1-A536-AED2CF3438FF}"/>
    <hyperlink ref="G17" location="$G$17" display="$G$17" xr:uid="{96E64A1C-A521-4679-807D-DE925718E166}"/>
    <hyperlink ref="F18" location="$F$18" display="$F$18" xr:uid="{B803E01F-9BD6-4567-BAFD-080EFCB86D37}"/>
    <hyperlink ref="G18" location="$G$18" display="$G$18" xr:uid="{1C2EB924-AA21-4394-9AF9-2F925EFEF6B4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9880-FEF9-49E7-BBD8-4ACABDA44FD6}">
  <sheetPr codeName="EbsSheetTemplate1"/>
  <dimension ref="A15:T48"/>
  <sheetViews>
    <sheetView workbookViewId="0">
      <selection activeCell="E26" sqref="E26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77</v>
      </c>
      <c r="F15" s="33" t="s">
        <v>148</v>
      </c>
      <c r="G15" s="34"/>
      <c r="H15" s="34"/>
    </row>
    <row r="16" spans="5:8" x14ac:dyDescent="0.25">
      <c r="E16" s="15" t="s">
        <v>76</v>
      </c>
      <c r="F16" s="33" t="s">
        <v>39</v>
      </c>
      <c r="G16" s="34"/>
      <c r="H16" s="34"/>
    </row>
    <row r="17" spans="1:20" x14ac:dyDescent="0.25">
      <c r="J17" s="11" t="s">
        <v>46</v>
      </c>
      <c r="K17" s="11"/>
    </row>
    <row r="18" spans="1:20" x14ac:dyDescent="0.25">
      <c r="A18" t="s">
        <v>17</v>
      </c>
      <c r="B18" t="s">
        <v>52</v>
      </c>
      <c r="C18" t="s">
        <v>37</v>
      </c>
      <c r="D18" t="s">
        <v>28</v>
      </c>
      <c r="E18" t="s">
        <v>42</v>
      </c>
      <c r="F18" t="s">
        <v>38</v>
      </c>
      <c r="G18" t="s">
        <v>40</v>
      </c>
      <c r="H18" t="s">
        <v>50</v>
      </c>
      <c r="J18" t="s">
        <v>51</v>
      </c>
      <c r="K18" t="s">
        <v>49</v>
      </c>
      <c r="L18" t="s">
        <v>19</v>
      </c>
      <c r="M18" s="2" t="s">
        <v>41</v>
      </c>
      <c r="N18" s="2" t="s">
        <v>81</v>
      </c>
      <c r="O18" t="s">
        <v>43</v>
      </c>
      <c r="P18" t="s">
        <v>45</v>
      </c>
      <c r="Q18" t="s">
        <v>44</v>
      </c>
      <c r="R18" t="s">
        <v>42</v>
      </c>
      <c r="S18" t="s">
        <v>62</v>
      </c>
      <c r="T18" t="s">
        <v>61</v>
      </c>
    </row>
    <row r="19" spans="1:20" x14ac:dyDescent="0.25">
      <c r="A19" t="s">
        <v>108</v>
      </c>
      <c r="B19" s="18">
        <v>43817.078981481478</v>
      </c>
      <c r="C19" t="s">
        <v>147</v>
      </c>
      <c r="D19" t="s">
        <v>29</v>
      </c>
      <c r="E19" t="s">
        <v>110</v>
      </c>
      <c r="F19" t="s">
        <v>159</v>
      </c>
      <c r="G19" t="s">
        <v>160</v>
      </c>
      <c r="H19" t="s">
        <v>146</v>
      </c>
      <c r="J19" t="s">
        <v>108</v>
      </c>
      <c r="K19" t="s">
        <v>127</v>
      </c>
      <c r="L19">
        <v>3</v>
      </c>
      <c r="M19" s="2">
        <v>0</v>
      </c>
      <c r="N19" s="2">
        <v>0.25</v>
      </c>
      <c r="O19" t="s">
        <v>149</v>
      </c>
      <c r="P19" t="s">
        <v>149</v>
      </c>
      <c r="Q19" t="s">
        <v>149</v>
      </c>
      <c r="R19" t="s">
        <v>110</v>
      </c>
      <c r="S19" t="s">
        <v>150</v>
      </c>
      <c r="T19" t="s">
        <v>151</v>
      </c>
    </row>
    <row r="20" spans="1:20" x14ac:dyDescent="0.25">
      <c r="B20" s="18"/>
      <c r="J20" t="s">
        <v>112</v>
      </c>
      <c r="K20" t="s">
        <v>123</v>
      </c>
      <c r="L20">
        <v>2</v>
      </c>
      <c r="M20" s="2">
        <v>0.24999999994179201</v>
      </c>
      <c r="N20" s="2">
        <v>1</v>
      </c>
      <c r="O20" t="s">
        <v>152</v>
      </c>
      <c r="P20" t="s">
        <v>153</v>
      </c>
      <c r="Q20" t="s">
        <v>154</v>
      </c>
      <c r="R20" t="s">
        <v>110</v>
      </c>
      <c r="S20" t="s">
        <v>155</v>
      </c>
      <c r="T20" t="s">
        <v>156</v>
      </c>
    </row>
    <row r="21" spans="1:20" x14ac:dyDescent="0.25">
      <c r="B21" s="18"/>
      <c r="J21" t="s">
        <v>113</v>
      </c>
      <c r="K21" t="s">
        <v>128</v>
      </c>
      <c r="L21">
        <v>1</v>
      </c>
      <c r="M21" s="2">
        <v>0</v>
      </c>
      <c r="N21" s="2">
        <v>2</v>
      </c>
      <c r="O21" t="s">
        <v>157</v>
      </c>
      <c r="P21" t="s">
        <v>157</v>
      </c>
      <c r="Q21" t="s">
        <v>158</v>
      </c>
      <c r="R21" t="s">
        <v>110</v>
      </c>
      <c r="S21" t="s">
        <v>159</v>
      </c>
      <c r="T21" t="s">
        <v>160</v>
      </c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  <c r="M24" s="2"/>
      <c r="N24" s="2"/>
    </row>
    <row r="25" spans="1:20" x14ac:dyDescent="0.25">
      <c r="B25" s="18"/>
      <c r="M25" s="2"/>
      <c r="N25" s="2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CC114084-1C82-4FF9-8F0F-70BF6BA64AD0}">
      <formula1>"Yes,No"</formula1>
    </dataValidation>
    <dataValidation type="list" allowBlank="1" showInputMessage="1" showErrorMessage="1" sqref="F16" xr:uid="{DF276DEA-550E-4FB5-9537-1C5012D891AE}">
      <formula1>"Time,Date"</formula1>
    </dataValidation>
    <dataValidation type="list" allowBlank="1" showInputMessage="1" showErrorMessage="1" sqref="F15:H15" xr:uid="{BBC9F402-9C49-40D0-A347-6B610D81C62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3"/>
  <sheetViews>
    <sheetView workbookViewId="0">
      <selection activeCell="B24" sqref="B24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26</v>
      </c>
    </row>
    <row r="3" spans="1:10" x14ac:dyDescent="0.25">
      <c r="A3" t="s">
        <v>15</v>
      </c>
      <c r="B3" s="2" t="s">
        <v>63</v>
      </c>
      <c r="C3" s="2" t="s">
        <v>102</v>
      </c>
      <c r="D3" s="2" t="s">
        <v>103</v>
      </c>
      <c r="E3" s="2" t="s">
        <v>68</v>
      </c>
      <c r="F3" t="s">
        <v>65</v>
      </c>
      <c r="G3" t="s">
        <v>66</v>
      </c>
      <c r="H3" t="s">
        <v>64</v>
      </c>
      <c r="I3" t="s">
        <v>70</v>
      </c>
      <c r="J3" t="s">
        <v>69</v>
      </c>
    </row>
    <row r="4" spans="1:10" x14ac:dyDescent="0.25">
      <c r="A4" t="s">
        <v>20</v>
      </c>
      <c r="B4" s="13" t="s">
        <v>119</v>
      </c>
      <c r="C4" t="s">
        <v>120</v>
      </c>
      <c r="D4" t="s">
        <v>104</v>
      </c>
      <c r="E4" s="14" t="s">
        <v>86</v>
      </c>
      <c r="F4" s="14">
        <v>0.33333333333333331</v>
      </c>
      <c r="G4" s="14">
        <v>0.77083333333333337</v>
      </c>
      <c r="H4" t="s">
        <v>67</v>
      </c>
      <c r="I4" s="2">
        <v>0.25</v>
      </c>
      <c r="J4" s="2">
        <f>5/60</f>
        <v>8.3333333333333329E-2</v>
      </c>
    </row>
    <row r="5" spans="1:10" x14ac:dyDescent="0.25">
      <c r="B5" s="5"/>
      <c r="C5" s="5"/>
      <c r="D5" s="5"/>
      <c r="E5" s="5"/>
    </row>
    <row r="6" spans="1:10" x14ac:dyDescent="0.25">
      <c r="A6" t="s">
        <v>82</v>
      </c>
      <c r="B6" s="22"/>
      <c r="C6" s="22"/>
      <c r="D6" s="22"/>
      <c r="E6" s="5"/>
    </row>
    <row r="7" spans="1:10" x14ac:dyDescent="0.25">
      <c r="A7" t="s">
        <v>83</v>
      </c>
      <c r="B7" s="24"/>
      <c r="C7" s="24"/>
      <c r="D7" s="24"/>
    </row>
    <row r="8" spans="1:10" x14ac:dyDescent="0.25">
      <c r="A8" t="s">
        <v>84</v>
      </c>
      <c r="B8" s="23"/>
      <c r="C8" s="23"/>
      <c r="D8" s="23"/>
      <c r="E8" s="5"/>
    </row>
    <row r="10" spans="1:10" x14ac:dyDescent="0.25">
      <c r="B10" t="s">
        <v>106</v>
      </c>
      <c r="C10" t="s">
        <v>120</v>
      </c>
    </row>
    <row r="11" spans="1:10" x14ac:dyDescent="0.25">
      <c r="B11" t="s">
        <v>105</v>
      </c>
      <c r="C11" t="s">
        <v>121</v>
      </c>
      <c r="D11" s="2"/>
      <c r="E11" s="2"/>
    </row>
    <row r="12" spans="1:10" x14ac:dyDescent="0.25">
      <c r="B12" s="2" t="s">
        <v>107</v>
      </c>
      <c r="C12" s="13" t="s">
        <v>122</v>
      </c>
    </row>
    <row r="15" spans="1:10" x14ac:dyDescent="0.25">
      <c r="A15" t="s">
        <v>87</v>
      </c>
    </row>
    <row r="23" spans="1:2" x14ac:dyDescent="0.25">
      <c r="A23" t="s">
        <v>114</v>
      </c>
      <c r="B23" s="22" t="s">
        <v>142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2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26</v>
      </c>
    </row>
    <row r="2" spans="1:13" x14ac:dyDescent="0.25">
      <c r="A2" t="s">
        <v>3</v>
      </c>
      <c r="B2" t="s">
        <v>111</v>
      </c>
    </row>
    <row r="3" spans="1:13" x14ac:dyDescent="0.25">
      <c r="A3" t="s">
        <v>81</v>
      </c>
      <c r="B3" s="2" t="s">
        <v>111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111</v>
      </c>
    </row>
    <row r="6" spans="1:13" x14ac:dyDescent="0.25">
      <c r="A6" t="s">
        <v>15</v>
      </c>
      <c r="B6" s="5" t="s">
        <v>20</v>
      </c>
    </row>
    <row r="7" spans="1:13" x14ac:dyDescent="0.25">
      <c r="A7" t="s">
        <v>1</v>
      </c>
      <c r="B7" t="s">
        <v>109</v>
      </c>
    </row>
    <row r="8" spans="1:13" x14ac:dyDescent="0.25">
      <c r="A8" t="s">
        <v>16</v>
      </c>
      <c r="B8" s="5" t="s">
        <v>111</v>
      </c>
    </row>
    <row r="9" spans="1:13" x14ac:dyDescent="0.25">
      <c r="A9" t="s">
        <v>2</v>
      </c>
    </row>
    <row r="10" spans="1:13" x14ac:dyDescent="0.25">
      <c r="A10" t="s">
        <v>49</v>
      </c>
      <c r="B10" t="s">
        <v>111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115</v>
      </c>
    </row>
    <row r="13" spans="1:13" x14ac:dyDescent="0.25">
      <c r="A13" t="s">
        <v>116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88</v>
      </c>
      <c r="G14" t="s">
        <v>89</v>
      </c>
      <c r="I14" t="s">
        <v>73</v>
      </c>
      <c r="J14" s="16" t="s">
        <v>71</v>
      </c>
      <c r="K14" s="2" t="s">
        <v>72</v>
      </c>
      <c r="L14" t="s">
        <v>74</v>
      </c>
      <c r="M14" t="s">
        <v>75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>
        <f>$B$4</f>
        <v>0</v>
      </c>
      <c r="M15" s="17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4"/>
  <sheetViews>
    <sheetView topLeftCell="A6" workbookViewId="0">
      <selection activeCell="B26" sqref="B26"/>
    </sheetView>
  </sheetViews>
  <sheetFormatPr baseColWidth="10" defaultColWidth="11.42578125" defaultRowHeight="15" x14ac:dyDescent="0.25"/>
  <sheetData>
    <row r="1" spans="1:3" x14ac:dyDescent="0.25">
      <c r="A1" s="11" t="s">
        <v>36</v>
      </c>
    </row>
    <row r="2" spans="1:3" x14ac:dyDescent="0.25">
      <c r="A2" t="s">
        <v>21</v>
      </c>
    </row>
    <row r="3" spans="1:3" x14ac:dyDescent="0.25">
      <c r="A3" t="s">
        <v>22</v>
      </c>
    </row>
    <row r="5" spans="1:3" x14ac:dyDescent="0.25">
      <c r="A5" s="11" t="s">
        <v>30</v>
      </c>
    </row>
    <row r="6" spans="1:3" x14ac:dyDescent="0.25">
      <c r="A6" t="s">
        <v>31</v>
      </c>
    </row>
    <row r="7" spans="1:3" x14ac:dyDescent="0.25">
      <c r="B7" t="s">
        <v>32</v>
      </c>
    </row>
    <row r="8" spans="1:3" x14ac:dyDescent="0.25">
      <c r="B8" t="s">
        <v>33</v>
      </c>
    </row>
    <row r="9" spans="1:3" x14ac:dyDescent="0.25">
      <c r="A9" t="s">
        <v>34</v>
      </c>
    </row>
    <row r="10" spans="1:3" x14ac:dyDescent="0.25">
      <c r="B10" t="s">
        <v>35</v>
      </c>
    </row>
    <row r="11" spans="1:3" x14ac:dyDescent="0.25">
      <c r="A11" s="11" t="s">
        <v>48</v>
      </c>
    </row>
    <row r="12" spans="1:3" x14ac:dyDescent="0.25">
      <c r="A12" t="s">
        <v>31</v>
      </c>
    </row>
    <row r="13" spans="1:3" x14ac:dyDescent="0.25">
      <c r="B13" t="s">
        <v>47</v>
      </c>
    </row>
    <row r="14" spans="1:3" x14ac:dyDescent="0.25">
      <c r="A14" s="11" t="s">
        <v>53</v>
      </c>
    </row>
    <row r="15" spans="1:3" x14ac:dyDescent="0.25">
      <c r="B15" t="s">
        <v>54</v>
      </c>
    </row>
    <row r="16" spans="1:3" x14ac:dyDescent="0.25">
      <c r="C16" t="s">
        <v>55</v>
      </c>
    </row>
    <row r="17" spans="1:3" x14ac:dyDescent="0.25">
      <c r="C17" t="s">
        <v>57</v>
      </c>
    </row>
    <row r="18" spans="1:3" x14ac:dyDescent="0.25">
      <c r="B18" t="s">
        <v>58</v>
      </c>
    </row>
    <row r="19" spans="1:3" x14ac:dyDescent="0.25">
      <c r="B19" t="s">
        <v>56</v>
      </c>
    </row>
    <row r="20" spans="1:3" x14ac:dyDescent="0.25">
      <c r="A20" s="11" t="s">
        <v>59</v>
      </c>
    </row>
    <row r="21" spans="1:3" x14ac:dyDescent="0.25">
      <c r="B21" t="s">
        <v>60</v>
      </c>
    </row>
    <row r="23" spans="1:3" x14ac:dyDescent="0.25">
      <c r="A23" s="11" t="s">
        <v>100</v>
      </c>
      <c r="B23" s="11" t="s">
        <v>98</v>
      </c>
    </row>
    <row r="24" spans="1:3" x14ac:dyDescent="0.25">
      <c r="A24" t="s">
        <v>90</v>
      </c>
      <c r="B24">
        <v>883</v>
      </c>
    </row>
    <row r="25" spans="1:3" x14ac:dyDescent="0.25">
      <c r="A25" t="s">
        <v>91</v>
      </c>
      <c r="B25">
        <v>673</v>
      </c>
    </row>
    <row r="26" spans="1:3" x14ac:dyDescent="0.25">
      <c r="A26" t="s">
        <v>92</v>
      </c>
      <c r="B26">
        <v>380</v>
      </c>
    </row>
    <row r="27" spans="1:3" x14ac:dyDescent="0.25">
      <c r="A27" t="s">
        <v>93</v>
      </c>
      <c r="B27">
        <v>27</v>
      </c>
    </row>
    <row r="28" spans="1:3" x14ac:dyDescent="0.25">
      <c r="A28" t="s">
        <v>94</v>
      </c>
      <c r="B28">
        <v>1130</v>
      </c>
    </row>
    <row r="29" spans="1:3" x14ac:dyDescent="0.25">
      <c r="A29" t="s">
        <v>27</v>
      </c>
      <c r="B29">
        <v>1687</v>
      </c>
    </row>
    <row r="30" spans="1:3" x14ac:dyDescent="0.25">
      <c r="A30" t="s">
        <v>95</v>
      </c>
      <c r="B30">
        <v>193</v>
      </c>
    </row>
    <row r="31" spans="1:3" x14ac:dyDescent="0.25">
      <c r="A31" t="s">
        <v>97</v>
      </c>
      <c r="B31">
        <v>952</v>
      </c>
    </row>
    <row r="32" spans="1:3" x14ac:dyDescent="0.25">
      <c r="A32" t="s">
        <v>96</v>
      </c>
      <c r="B32">
        <v>607</v>
      </c>
    </row>
    <row r="33" spans="1:2" x14ac:dyDescent="0.25">
      <c r="A33" t="s">
        <v>99</v>
      </c>
      <c r="B33">
        <v>484</v>
      </c>
    </row>
    <row r="34" spans="1:2" x14ac:dyDescent="0.25">
      <c r="B34">
        <f>SUM(B24:B33)</f>
        <v>7016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77</v>
      </c>
      <c r="F15" s="33" t="s">
        <v>78</v>
      </c>
      <c r="G15" s="34"/>
      <c r="H15" s="34"/>
    </row>
    <row r="16" spans="5:8" x14ac:dyDescent="0.25">
      <c r="E16" s="15" t="s">
        <v>76</v>
      </c>
      <c r="F16" s="33" t="s">
        <v>39</v>
      </c>
      <c r="G16" s="34"/>
      <c r="H16" s="34"/>
    </row>
    <row r="17" spans="1:20" x14ac:dyDescent="0.25">
      <c r="J17" s="11" t="s">
        <v>46</v>
      </c>
      <c r="K17" s="11"/>
    </row>
    <row r="18" spans="1:20" x14ac:dyDescent="0.25">
      <c r="A18" t="s">
        <v>17</v>
      </c>
      <c r="B18" t="s">
        <v>52</v>
      </c>
      <c r="C18" t="s">
        <v>37</v>
      </c>
      <c r="D18" t="s">
        <v>28</v>
      </c>
      <c r="E18" t="s">
        <v>42</v>
      </c>
      <c r="F18" t="s">
        <v>38</v>
      </c>
      <c r="G18" t="s">
        <v>40</v>
      </c>
      <c r="H18" t="s">
        <v>50</v>
      </c>
      <c r="J18" t="s">
        <v>51</v>
      </c>
      <c r="K18" t="s">
        <v>49</v>
      </c>
      <c r="L18" t="s">
        <v>19</v>
      </c>
      <c r="M18" s="2" t="s">
        <v>41</v>
      </c>
      <c r="N18" s="2" t="s">
        <v>81</v>
      </c>
      <c r="O18" t="s">
        <v>43</v>
      </c>
      <c r="P18" t="s">
        <v>45</v>
      </c>
      <c r="Q18" t="s">
        <v>44</v>
      </c>
      <c r="R18" t="s">
        <v>42</v>
      </c>
      <c r="S18" t="s">
        <v>62</v>
      </c>
      <c r="T18" t="s">
        <v>61</v>
      </c>
    </row>
    <row r="19" spans="1:20" x14ac:dyDescent="0.25">
      <c r="B19" s="18"/>
      <c r="D19" t="s">
        <v>29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Planning</vt:lpstr>
      <vt:lpstr>t50344759B92C4C0A3</vt:lpstr>
      <vt:lpstr>t5C33AE2C601539DCA</vt:lpstr>
      <vt:lpstr>t35EBA085FF3A95514</vt:lpstr>
      <vt:lpstr>tD63F7F4494CABA67B</vt:lpstr>
      <vt:lpstr>tA4B130DB37AD50E73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2019-12-18T21:59:25Z</dcterms:modified>
  <cp:category/>
  <cp:contentStatus/>
</cp:coreProperties>
</file>